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matthewgilgo/Desktop/github/Fantasy_Baseball/yearly_draft_guides/"/>
    </mc:Choice>
  </mc:AlternateContent>
  <xr:revisionPtr revIDLastSave="0" documentId="13_ncr:1_{1291A8DA-DB52-F645-A245-95C576689B4C}" xr6:coauthVersionLast="47" xr6:coauthVersionMax="47" xr10:uidLastSave="{00000000-0000-0000-0000-000000000000}"/>
  <bookViews>
    <workbookView xWindow="0" yWindow="500" windowWidth="28800" windowHeight="16580" xr2:uid="{617A30E1-45C1-45FD-9B14-2C512446505A}"/>
  </bookViews>
  <sheets>
    <sheet name="Ideal_Lineup" sheetId="3" r:id="rId1"/>
    <sheet name="Batter_Tiers" sheetId="1" r:id="rId2"/>
    <sheet name="Pitcher_Tiers" sheetId="2" r:id="rId3"/>
    <sheet name="ADP" sheetId="4" r:id="rId4"/>
  </sheets>
  <definedNames>
    <definedName name="_xlnm._FilterDatabase" localSheetId="0" hidden="1">Ideal_Lineup!$A$31:$G$213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8" i="1" l="1" a="1"/>
  <c r="I58" i="1" s="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C48" i="2" a="1"/>
  <c r="C48" i="2" s="1"/>
  <c r="C49" i="2" a="1"/>
  <c r="C49" i="2" s="1"/>
  <c r="C50" i="2" a="1"/>
  <c r="C50" i="2" s="1"/>
  <c r="C51" i="2" a="1"/>
  <c r="C51" i="2" s="1"/>
  <c r="E51" i="2" s="1"/>
  <c r="C52" i="2" a="1"/>
  <c r="C52" i="2" s="1"/>
  <c r="E52" i="2" s="1"/>
  <c r="C53" i="2" a="1"/>
  <c r="C53" i="2" s="1"/>
  <c r="C54" i="2" a="1"/>
  <c r="E54" i="2" s="1"/>
  <c r="C54" i="2"/>
  <c r="C55" i="2" a="1"/>
  <c r="C55" i="2" s="1"/>
  <c r="E55" i="2" s="1"/>
  <c r="C56" i="2" a="1"/>
  <c r="C56" i="2" s="1"/>
  <c r="C57" i="2" a="1"/>
  <c r="C57" i="2" s="1"/>
  <c r="C58" i="2" a="1"/>
  <c r="C58" i="2" s="1"/>
  <c r="C59" i="2" a="1"/>
  <c r="C59" i="2"/>
  <c r="E59" i="2"/>
  <c r="C60" i="2" a="1"/>
  <c r="C60" i="2" s="1"/>
  <c r="E60" i="2" s="1"/>
  <c r="C61" i="2" a="1"/>
  <c r="C61" i="2" s="1"/>
  <c r="C62" i="2" a="1"/>
  <c r="C62" i="2"/>
  <c r="E62" i="2"/>
  <c r="C63" i="2" a="1"/>
  <c r="C63" i="2" s="1"/>
  <c r="E63" i="2" s="1"/>
  <c r="C64" i="2" a="1"/>
  <c r="C64" i="2"/>
  <c r="E64" i="2"/>
  <c r="C65" i="2" a="1"/>
  <c r="C65" i="2" s="1"/>
  <c r="E65" i="2" s="1"/>
  <c r="C66" i="2" a="1"/>
  <c r="C66" i="2"/>
  <c r="E66" i="2" s="1"/>
  <c r="C67" i="2" a="1"/>
  <c r="C67" i="2"/>
  <c r="E67" i="2"/>
  <c r="C68" i="2" a="1"/>
  <c r="C68" i="2" s="1"/>
  <c r="C69" i="2" a="1"/>
  <c r="C69" i="2"/>
  <c r="E69" i="2" s="1"/>
  <c r="C70" i="2" a="1"/>
  <c r="E70" i="2" s="1"/>
  <c r="C70" i="2"/>
  <c r="C71" i="2" a="1"/>
  <c r="C71" i="2"/>
  <c r="E71" i="2" s="1"/>
  <c r="C72" i="2" a="1"/>
  <c r="C72" i="2"/>
  <c r="E72" i="2"/>
  <c r="C73" i="2" a="1"/>
  <c r="C73" i="2" s="1"/>
  <c r="C74" i="2" a="1"/>
  <c r="E74" i="2" s="1"/>
  <c r="C74" i="2"/>
  <c r="C75" i="2" a="1"/>
  <c r="C75" i="2" s="1"/>
  <c r="E75" i="2" s="1"/>
  <c r="C76" i="2" a="1"/>
  <c r="C76" i="2" s="1"/>
  <c r="C77" i="2" a="1"/>
  <c r="C77" i="2" s="1"/>
  <c r="C78" i="2" a="1"/>
  <c r="C78" i="2" s="1"/>
  <c r="C79" i="2" a="1"/>
  <c r="C79" i="2"/>
  <c r="E79" i="2"/>
  <c r="C80" i="2" a="1"/>
  <c r="C80" i="2" s="1"/>
  <c r="E80" i="2" s="1"/>
  <c r="C81" i="2" a="1"/>
  <c r="C81" i="2" s="1"/>
  <c r="C82" i="2" a="1"/>
  <c r="C82" i="2"/>
  <c r="E82" i="2"/>
  <c r="C83" i="2" a="1"/>
  <c r="C83" i="2" s="1"/>
  <c r="E83" i="2" s="1"/>
  <c r="C84" i="2" a="1"/>
  <c r="C84" i="2"/>
  <c r="E84" i="2"/>
  <c r="C85" i="2" a="1"/>
  <c r="C85" i="2" s="1"/>
  <c r="E85" i="2" s="1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2" i="2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2" i="1"/>
  <c r="C3" i="2" a="1"/>
  <c r="C3" i="2" s="1"/>
  <c r="C4" i="2" a="1"/>
  <c r="C4" i="2" s="1"/>
  <c r="E4" i="2" s="1"/>
  <c r="G4" i="2" s="1"/>
  <c r="C5" i="2" a="1"/>
  <c r="C5" i="2" s="1"/>
  <c r="E5" i="2" s="1"/>
  <c r="G5" i="2" s="1"/>
  <c r="C6" i="2" a="1"/>
  <c r="C6" i="2" s="1"/>
  <c r="E6" i="2" s="1"/>
  <c r="G6" i="2" s="1"/>
  <c r="C7" i="2" a="1"/>
  <c r="C7" i="2" s="1"/>
  <c r="C8" i="2" a="1"/>
  <c r="C8" i="2" s="1"/>
  <c r="C9" i="2" a="1"/>
  <c r="C9" i="2" s="1"/>
  <c r="C10" i="2" a="1"/>
  <c r="C10" i="2" s="1"/>
  <c r="E10" i="2" s="1"/>
  <c r="G10" i="2" s="1"/>
  <c r="C11" i="2" a="1"/>
  <c r="C11" i="2" s="1"/>
  <c r="E11" i="2" s="1"/>
  <c r="G11" i="2" s="1"/>
  <c r="C12" i="2" a="1"/>
  <c r="C12" i="2" s="1"/>
  <c r="E12" i="2" s="1"/>
  <c r="G12" i="2" s="1"/>
  <c r="C13" i="2" a="1"/>
  <c r="C13" i="2" s="1"/>
  <c r="C14" i="2" a="1"/>
  <c r="C14" i="2" s="1"/>
  <c r="E14" i="2" s="1"/>
  <c r="G14" i="2" s="1"/>
  <c r="C15" i="2" a="1"/>
  <c r="C15" i="2" s="1"/>
  <c r="E15" i="2" s="1"/>
  <c r="G15" i="2" s="1"/>
  <c r="C16" i="2" a="1"/>
  <c r="C16" i="2" s="1"/>
  <c r="E16" i="2" s="1"/>
  <c r="G16" i="2" s="1"/>
  <c r="C17" i="2" a="1"/>
  <c r="C17" i="2" s="1"/>
  <c r="E17" i="2" s="1"/>
  <c r="G17" i="2" s="1"/>
  <c r="C18" i="2" a="1"/>
  <c r="C18" i="2" s="1"/>
  <c r="C19" i="2" a="1"/>
  <c r="C19" i="2" s="1"/>
  <c r="C20" i="2" a="1"/>
  <c r="C20" i="2" s="1"/>
  <c r="E20" i="2" s="1"/>
  <c r="G20" i="2" s="1"/>
  <c r="C21" i="2" a="1"/>
  <c r="C21" i="2" s="1"/>
  <c r="E21" i="2" s="1"/>
  <c r="G21" i="2" s="1"/>
  <c r="C22" i="2" a="1"/>
  <c r="C22" i="2" s="1"/>
  <c r="E22" i="2" s="1"/>
  <c r="G22" i="2" s="1"/>
  <c r="C23" i="2" a="1"/>
  <c r="C23" i="2" s="1"/>
  <c r="C24" i="2" a="1"/>
  <c r="C24" i="2" s="1"/>
  <c r="C25" i="2" a="1"/>
  <c r="C25" i="2" s="1"/>
  <c r="E25" i="2" s="1"/>
  <c r="G25" i="2" s="1"/>
  <c r="C26" i="2" a="1"/>
  <c r="C26" i="2" s="1"/>
  <c r="E26" i="2" s="1"/>
  <c r="G26" i="2" s="1"/>
  <c r="C27" i="2" a="1"/>
  <c r="C27" i="2" s="1"/>
  <c r="E27" i="2" s="1"/>
  <c r="G27" i="2" s="1"/>
  <c r="C28" i="2" a="1"/>
  <c r="C28" i="2" s="1"/>
  <c r="C29" i="2" a="1"/>
  <c r="C29" i="2" s="1"/>
  <c r="E29" i="2" s="1"/>
  <c r="G29" i="2" s="1"/>
  <c r="C30" i="2" a="1"/>
  <c r="C30" i="2" s="1"/>
  <c r="E30" i="2" s="1"/>
  <c r="G30" i="2" s="1"/>
  <c r="C31" i="2" a="1"/>
  <c r="C31" i="2" s="1"/>
  <c r="E31" i="2" s="1"/>
  <c r="G31" i="2" s="1"/>
  <c r="C32" i="2" a="1"/>
  <c r="C32" i="2" s="1"/>
  <c r="C33" i="2" a="1"/>
  <c r="C33" i="2" s="1"/>
  <c r="C34" i="2" a="1"/>
  <c r="C34" i="2" s="1"/>
  <c r="E34" i="2" s="1"/>
  <c r="G34" i="2" s="1"/>
  <c r="C35" i="2" a="1"/>
  <c r="C35" i="2" s="1"/>
  <c r="E35" i="2" s="1"/>
  <c r="G35" i="2" s="1"/>
  <c r="C36" i="2" a="1"/>
  <c r="C36" i="2" s="1"/>
  <c r="E36" i="2" s="1"/>
  <c r="G36" i="2" s="1"/>
  <c r="C37" i="2" a="1"/>
  <c r="C37" i="2" s="1"/>
  <c r="C38" i="2" a="1"/>
  <c r="C38" i="2" s="1"/>
  <c r="C39" i="2" a="1"/>
  <c r="C39" i="2" s="1"/>
  <c r="E39" i="2" s="1"/>
  <c r="G39" i="2" s="1"/>
  <c r="C40" i="2" a="1"/>
  <c r="C40" i="2" s="1"/>
  <c r="E40" i="2" s="1"/>
  <c r="G40" i="2" s="1"/>
  <c r="C41" i="2" a="1"/>
  <c r="C41" i="2" s="1"/>
  <c r="E41" i="2" s="1"/>
  <c r="G41" i="2" s="1"/>
  <c r="C42" i="2" a="1"/>
  <c r="C42" i="2" s="1"/>
  <c r="C43" i="2" a="1"/>
  <c r="C43" i="2" s="1"/>
  <c r="C44" i="2" a="1"/>
  <c r="C44" i="2" s="1"/>
  <c r="E44" i="2" s="1"/>
  <c r="G44" i="2" s="1"/>
  <c r="C45" i="2" a="1"/>
  <c r="C45" i="2" s="1"/>
  <c r="E45" i="2" s="1"/>
  <c r="G45" i="2" s="1"/>
  <c r="C46" i="2" a="1"/>
  <c r="C46" i="2" s="1"/>
  <c r="E46" i="2" s="1"/>
  <c r="G46" i="2" s="1"/>
  <c r="C47" i="2" a="1"/>
  <c r="C47" i="2" s="1"/>
  <c r="C2" i="2" a="1"/>
  <c r="C2" i="2" s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2" i="1"/>
  <c r="K2" i="1"/>
  <c r="V9" i="1"/>
  <c r="K65" i="1"/>
  <c r="K64" i="1"/>
  <c r="K48" i="1"/>
  <c r="K47" i="1"/>
  <c r="K38" i="1"/>
  <c r="K37" i="1"/>
  <c r="K36" i="1"/>
  <c r="K22" i="1"/>
  <c r="K21" i="1"/>
  <c r="K4" i="1"/>
  <c r="K5" i="1"/>
  <c r="K14" i="1"/>
  <c r="K23" i="1"/>
  <c r="K25" i="1"/>
  <c r="K26" i="1"/>
  <c r="K27" i="1"/>
  <c r="K28" i="1"/>
  <c r="K46" i="1"/>
  <c r="K66" i="1"/>
  <c r="K68" i="1"/>
  <c r="K69" i="1"/>
  <c r="K70" i="1"/>
  <c r="K71" i="1"/>
  <c r="K78" i="1"/>
  <c r="K83" i="1"/>
  <c r="K86" i="1"/>
  <c r="K87" i="1"/>
  <c r="K89" i="1"/>
  <c r="K90" i="1"/>
  <c r="K91" i="1"/>
  <c r="K98" i="1"/>
  <c r="K99" i="1"/>
  <c r="K100" i="1"/>
  <c r="I5" i="1" a="1"/>
  <c r="I5" i="1"/>
  <c r="I6" i="1" a="1"/>
  <c r="I6" i="1" s="1"/>
  <c r="I7" i="1" a="1"/>
  <c r="I7" i="1" s="1"/>
  <c r="I8" i="1" a="1"/>
  <c r="I8" i="1" s="1"/>
  <c r="I9" i="1" a="1"/>
  <c r="I9" i="1" s="1"/>
  <c r="I10" i="1" a="1"/>
  <c r="I10" i="1" s="1"/>
  <c r="I11" i="1" a="1"/>
  <c r="I12" i="1" a="1"/>
  <c r="I13" i="1" a="1"/>
  <c r="I13" i="1" s="1"/>
  <c r="I14" i="1" a="1"/>
  <c r="I14" i="1"/>
  <c r="I15" i="1" a="1"/>
  <c r="K15" i="1" s="1"/>
  <c r="I15" i="1"/>
  <c r="I16" i="1" a="1"/>
  <c r="K16" i="1" s="1"/>
  <c r="I16" i="1"/>
  <c r="I17" i="1" a="1"/>
  <c r="K17" i="1" s="1"/>
  <c r="I17" i="1"/>
  <c r="I18" i="1" a="1"/>
  <c r="I18" i="1" s="1"/>
  <c r="I19" i="1" a="1"/>
  <c r="I20" i="1" a="1"/>
  <c r="K20" i="1" s="1"/>
  <c r="I20" i="1"/>
  <c r="I21" i="1" a="1"/>
  <c r="I21" i="1"/>
  <c r="I22" i="1" a="1"/>
  <c r="I23" i="1" a="1"/>
  <c r="I23" i="1"/>
  <c r="I24" i="1" a="1"/>
  <c r="I24" i="1" s="1"/>
  <c r="K24" i="1" s="1"/>
  <c r="I25" i="1" a="1"/>
  <c r="I25" i="1"/>
  <c r="I26" i="1" a="1"/>
  <c r="I26" i="1" s="1"/>
  <c r="I27" i="1" a="1"/>
  <c r="I27" i="1"/>
  <c r="I28" i="1" a="1"/>
  <c r="I28" i="1"/>
  <c r="I29" i="1" a="1"/>
  <c r="K29" i="1" s="1"/>
  <c r="I29" i="1"/>
  <c r="I30" i="1" a="1"/>
  <c r="I30" i="1"/>
  <c r="K30" i="1" s="1"/>
  <c r="I31" i="1" a="1"/>
  <c r="I31" i="1" s="1"/>
  <c r="I32" i="1" a="1"/>
  <c r="K32" i="1" s="1"/>
  <c r="I32" i="1"/>
  <c r="I33" i="1" a="1"/>
  <c r="I34" i="1" a="1"/>
  <c r="I34" i="1" s="1"/>
  <c r="I35" i="1" a="1"/>
  <c r="I35" i="1"/>
  <c r="K35" i="1" s="1"/>
  <c r="I36" i="1" a="1"/>
  <c r="I36" i="1"/>
  <c r="I37" i="1" a="1"/>
  <c r="I37" i="1" s="1"/>
  <c r="I38" i="1" a="1"/>
  <c r="I38" i="1" s="1"/>
  <c r="I39" i="1" a="1"/>
  <c r="K39" i="1" s="1"/>
  <c r="I39" i="1"/>
  <c r="I40" i="1" a="1"/>
  <c r="K40" i="1" s="1"/>
  <c r="I40" i="1"/>
  <c r="I41" i="1" a="1"/>
  <c r="K41" i="1" s="1"/>
  <c r="I41" i="1"/>
  <c r="I42" i="1" a="1"/>
  <c r="I42" i="1" s="1"/>
  <c r="I43" i="1" a="1"/>
  <c r="K43" i="1" s="1"/>
  <c r="I43" i="1"/>
  <c r="I44" i="1" a="1"/>
  <c r="I44" i="1" s="1"/>
  <c r="K44" i="1" s="1"/>
  <c r="I45" i="1" a="1"/>
  <c r="I45" i="1" s="1"/>
  <c r="K45" i="1" s="1"/>
  <c r="I46" i="1" a="1"/>
  <c r="I46" i="1" s="1"/>
  <c r="I47" i="1" a="1"/>
  <c r="I47" i="1"/>
  <c r="I48" i="1" a="1"/>
  <c r="I48" i="1"/>
  <c r="I49" i="1" a="1"/>
  <c r="K49" i="1" s="1"/>
  <c r="I49" i="1"/>
  <c r="I50" i="1" a="1"/>
  <c r="K50" i="1" s="1"/>
  <c r="I50" i="1"/>
  <c r="I51" i="1" a="1"/>
  <c r="I51" i="1" s="1"/>
  <c r="I52" i="1" a="1"/>
  <c r="K52" i="1" s="1"/>
  <c r="I52" i="1"/>
  <c r="I53" i="1" a="1"/>
  <c r="K53" i="1" s="1"/>
  <c r="I53" i="1"/>
  <c r="I54" i="1" a="1"/>
  <c r="I54" i="1" s="1"/>
  <c r="I55" i="1" a="1"/>
  <c r="K55" i="1" s="1"/>
  <c r="I55" i="1"/>
  <c r="I56" i="1" a="1"/>
  <c r="I57" i="1" a="1"/>
  <c r="K57" i="1" s="1"/>
  <c r="I57" i="1"/>
  <c r="I59" i="1" a="1"/>
  <c r="K59" i="1" s="1"/>
  <c r="I59" i="1"/>
  <c r="I60" i="1" a="1"/>
  <c r="K60" i="1" s="1"/>
  <c r="I60" i="1"/>
  <c r="I61" i="1" a="1"/>
  <c r="K61" i="1" s="1"/>
  <c r="I61" i="1"/>
  <c r="I62" i="1" a="1"/>
  <c r="K62" i="1" s="1"/>
  <c r="I62" i="1"/>
  <c r="I63" i="1" a="1"/>
  <c r="I64" i="1" a="1"/>
  <c r="I64" i="1"/>
  <c r="I65" i="1" a="1"/>
  <c r="I65" i="1" s="1"/>
  <c r="I66" i="1" a="1"/>
  <c r="I66" i="1" s="1"/>
  <c r="I67" i="1" a="1"/>
  <c r="I67" i="1" s="1"/>
  <c r="K67" i="1" s="1"/>
  <c r="I68" i="1" a="1"/>
  <c r="I68" i="1"/>
  <c r="I69" i="1" a="1"/>
  <c r="I69" i="1"/>
  <c r="I70" i="1" a="1"/>
  <c r="I70" i="1"/>
  <c r="I71" i="1" a="1"/>
  <c r="I71" i="1"/>
  <c r="I72" i="1" a="1"/>
  <c r="I72" i="1" s="1"/>
  <c r="I73" i="1" a="1"/>
  <c r="K73" i="1" s="1"/>
  <c r="I73" i="1"/>
  <c r="I74" i="1" a="1"/>
  <c r="K74" i="1" s="1"/>
  <c r="I74" i="1"/>
  <c r="I75" i="1" a="1"/>
  <c r="I76" i="1" a="1"/>
  <c r="K76" i="1" s="1"/>
  <c r="I76" i="1"/>
  <c r="I77" i="1" a="1"/>
  <c r="I77" i="1" s="1"/>
  <c r="I78" i="1" a="1"/>
  <c r="I78" i="1" s="1"/>
  <c r="I79" i="1" a="1"/>
  <c r="I79" i="1"/>
  <c r="K79" i="1" s="1"/>
  <c r="I80" i="1" a="1"/>
  <c r="K80" i="1" s="1"/>
  <c r="I80" i="1"/>
  <c r="I81" i="1" a="1"/>
  <c r="K81" i="1" s="1"/>
  <c r="I81" i="1"/>
  <c r="I82" i="1" a="1"/>
  <c r="K82" i="1" s="1"/>
  <c r="I82" i="1"/>
  <c r="I83" i="1" a="1"/>
  <c r="I83" i="1"/>
  <c r="I84" i="1" a="1"/>
  <c r="I85" i="1" a="1"/>
  <c r="I85" i="1"/>
  <c r="K85" i="1" s="1"/>
  <c r="I86" i="1" a="1"/>
  <c r="I86" i="1" s="1"/>
  <c r="I87" i="1" a="1"/>
  <c r="I87" i="1"/>
  <c r="I88" i="1" a="1"/>
  <c r="I88" i="1" s="1"/>
  <c r="K88" i="1" s="1"/>
  <c r="I89" i="1" a="1"/>
  <c r="I89" i="1"/>
  <c r="I90" i="1" a="1"/>
  <c r="I90" i="1"/>
  <c r="I91" i="1" a="1"/>
  <c r="I91" i="1"/>
  <c r="I92" i="1" a="1"/>
  <c r="K92" i="1" s="1"/>
  <c r="I92" i="1"/>
  <c r="I93" i="1" a="1"/>
  <c r="I93" i="1" s="1"/>
  <c r="I94" i="1" a="1"/>
  <c r="K94" i="1" s="1"/>
  <c r="I94" i="1"/>
  <c r="I95" i="1" a="1"/>
  <c r="K95" i="1" s="1"/>
  <c r="I95" i="1"/>
  <c r="I96" i="1" a="1"/>
  <c r="I97" i="1" a="1"/>
  <c r="K97" i="1" s="1"/>
  <c r="I97" i="1"/>
  <c r="I98" i="1" a="1"/>
  <c r="I98" i="1" s="1"/>
  <c r="I99" i="1" a="1"/>
  <c r="I99" i="1"/>
  <c r="I100" i="1" a="1"/>
  <c r="I100" i="1"/>
  <c r="I101" i="1" a="1"/>
  <c r="I101" i="1"/>
  <c r="K101" i="1" s="1"/>
  <c r="I102" i="1" a="1"/>
  <c r="K102" i="1" s="1"/>
  <c r="I102" i="1"/>
  <c r="I3" i="1" a="1"/>
  <c r="I3" i="1" s="1"/>
  <c r="I4" i="1" a="1"/>
  <c r="I4" i="1" s="1"/>
  <c r="I2" i="1" a="1"/>
  <c r="I2" i="1" s="1"/>
  <c r="E73" i="2" l="1"/>
  <c r="E53" i="2"/>
  <c r="E78" i="2"/>
  <c r="E58" i="2"/>
  <c r="E77" i="2"/>
  <c r="E57" i="2"/>
  <c r="E50" i="2"/>
  <c r="E76" i="2"/>
  <c r="E56" i="2"/>
  <c r="E49" i="2"/>
  <c r="E68" i="2"/>
  <c r="E48" i="2"/>
  <c r="E81" i="2"/>
  <c r="E61" i="2"/>
  <c r="E42" i="2"/>
  <c r="G42" i="2" s="1"/>
  <c r="E24" i="2"/>
  <c r="G24" i="2" s="1"/>
  <c r="E47" i="2"/>
  <c r="G47" i="2" s="1"/>
  <c r="E37" i="2"/>
  <c r="G37" i="2" s="1"/>
  <c r="E2" i="2"/>
  <c r="G2" i="2" s="1"/>
  <c r="E9" i="2"/>
  <c r="G9" i="2" s="1"/>
  <c r="E32" i="2"/>
  <c r="G32" i="2" s="1"/>
  <c r="E19" i="2"/>
  <c r="G19" i="2" s="1"/>
  <c r="E7" i="2"/>
  <c r="G7" i="2" s="1"/>
  <c r="E43" i="2"/>
  <c r="G43" i="2" s="1"/>
  <c r="E38" i="2"/>
  <c r="G38" i="2" s="1"/>
  <c r="E33" i="2"/>
  <c r="G33" i="2" s="1"/>
  <c r="E28" i="2"/>
  <c r="G28" i="2" s="1"/>
  <c r="E23" i="2"/>
  <c r="G23" i="2" s="1"/>
  <c r="E18" i="2"/>
  <c r="G18" i="2" s="1"/>
  <c r="E13" i="2"/>
  <c r="G13" i="2" s="1"/>
  <c r="E8" i="2"/>
  <c r="G8" i="2" s="1"/>
  <c r="E3" i="2"/>
  <c r="G3" i="2" s="1"/>
  <c r="K12" i="1"/>
  <c r="K11" i="1"/>
  <c r="K96" i="1"/>
  <c r="K3" i="1"/>
  <c r="C2" i="1" s="1"/>
  <c r="C5" i="1"/>
  <c r="K54" i="1"/>
  <c r="K34" i="1"/>
  <c r="I33" i="1"/>
  <c r="K33" i="1" s="1"/>
  <c r="I12" i="1"/>
  <c r="K93" i="1"/>
  <c r="K13" i="1"/>
  <c r="K42" i="1"/>
  <c r="I96" i="1"/>
  <c r="I75" i="1"/>
  <c r="K75" i="1" s="1"/>
  <c r="I22" i="1"/>
  <c r="K72" i="1"/>
  <c r="K51" i="1"/>
  <c r="K31" i="1"/>
  <c r="K10" i="1"/>
  <c r="I84" i="1"/>
  <c r="K84" i="1" s="1"/>
  <c r="I63" i="1"/>
  <c r="K63" i="1" s="1"/>
  <c r="K9" i="1"/>
  <c r="K8" i="1"/>
  <c r="K7" i="1"/>
  <c r="I19" i="1"/>
  <c r="K19" i="1" s="1"/>
  <c r="K6" i="1"/>
  <c r="C36" i="1"/>
  <c r="K77" i="1"/>
  <c r="K58" i="1"/>
  <c r="M58" i="1" s="1"/>
  <c r="N58" i="1" s="1"/>
  <c r="K18" i="1"/>
  <c r="I56" i="1"/>
  <c r="K56" i="1" s="1"/>
  <c r="I11" i="1"/>
  <c r="C19" i="1" l="1"/>
  <c r="C25" i="1"/>
  <c r="C18" i="1"/>
  <c r="C21" i="1"/>
  <c r="C26" i="1"/>
  <c r="C24" i="1"/>
  <c r="C31" i="1"/>
  <c r="C28" i="1"/>
  <c r="C29" i="1"/>
  <c r="C9" i="1"/>
  <c r="C8" i="1"/>
  <c r="C27" i="1"/>
  <c r="C32" i="1"/>
  <c r="C33" i="1"/>
  <c r="C35" i="1"/>
  <c r="C37" i="1"/>
  <c r="C38" i="1"/>
  <c r="C13" i="1"/>
  <c r="C14" i="1"/>
  <c r="C17" i="1"/>
  <c r="C12" i="1"/>
  <c r="C16" i="1"/>
  <c r="C30" i="1"/>
  <c r="C15" i="1"/>
  <c r="C20" i="1"/>
  <c r="C3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<sst xmlns="http://schemas.openxmlformats.org/spreadsheetml/2006/main" count="4242" uniqueCount="1455">
  <si>
    <t>Tier 1</t>
  </si>
  <si>
    <t>Aaron Judge</t>
  </si>
  <si>
    <t>Tier 2</t>
  </si>
  <si>
    <t>Improve or Regress</t>
  </si>
  <si>
    <t>Regress</t>
  </si>
  <si>
    <t>Shohei Ohtani</t>
  </si>
  <si>
    <t>Same</t>
  </si>
  <si>
    <t>Yordan Alvarez</t>
  </si>
  <si>
    <t>Tier 3</t>
  </si>
  <si>
    <t>Juan Soto</t>
  </si>
  <si>
    <t>Tier 4</t>
  </si>
  <si>
    <t>Bobby Witt Jr.</t>
  </si>
  <si>
    <t>Brent Rooker</t>
  </si>
  <si>
    <t>Bryce Harper</t>
  </si>
  <si>
    <t>Freddie Freeman</t>
  </si>
  <si>
    <t>Improve</t>
  </si>
  <si>
    <t>Gunnar Henderson</t>
  </si>
  <si>
    <t>Jose Altuve</t>
  </si>
  <si>
    <t>Kyle Tucker</t>
  </si>
  <si>
    <t>Matt Wallner</t>
  </si>
  <si>
    <t>Mookie Betts</t>
  </si>
  <si>
    <t>Ronald Acuna Jr</t>
  </si>
  <si>
    <t>Tier 5</t>
  </si>
  <si>
    <t>Byron Buxton</t>
  </si>
  <si>
    <t>Corbin Carroll</t>
  </si>
  <si>
    <t>Corey Seager</t>
  </si>
  <si>
    <t>Francisco Lindor</t>
  </si>
  <si>
    <t>Jackson Merrill</t>
  </si>
  <si>
    <t>Joc Perderson</t>
  </si>
  <si>
    <t>Jose Ramirez</t>
  </si>
  <si>
    <t>Julio Rodriguez</t>
  </si>
  <si>
    <t>Kerry Carpenter</t>
  </si>
  <si>
    <t>Ketel Marte</t>
  </si>
  <si>
    <t>Marcell Ozuna</t>
  </si>
  <si>
    <t>Tyler Fitzgerald</t>
  </si>
  <si>
    <t>Vladimir Guerrero Jr.</t>
  </si>
  <si>
    <t>Xavier Edwards</t>
  </si>
  <si>
    <t>Yandy Diaz</t>
  </si>
  <si>
    <t>Sane</t>
  </si>
  <si>
    <t>last_name, first_name</t>
  </si>
  <si>
    <t>Sum(great_season_probability)</t>
  </si>
  <si>
    <t>Skenes, Paul</t>
  </si>
  <si>
    <t>Crochet, Garrett</t>
  </si>
  <si>
    <t>Kirby, George</t>
  </si>
  <si>
    <t>Sánchez, Cristopher</t>
  </si>
  <si>
    <t>Gilbert, Logan</t>
  </si>
  <si>
    <t>Skubal, Tarik</t>
  </si>
  <si>
    <t>Steele, Justin</t>
  </si>
  <si>
    <t>Martinez, Nick</t>
  </si>
  <si>
    <t>Greene, Hunter</t>
  </si>
  <si>
    <t>Cease, Dylan</t>
  </si>
  <si>
    <t>Fried, Max</t>
  </si>
  <si>
    <t>López, Reynaldo</t>
  </si>
  <si>
    <t>Jones, Jared</t>
  </si>
  <si>
    <t>Anderson, Tyler</t>
  </si>
  <si>
    <t>Ragans, Cole</t>
  </si>
  <si>
    <t>Blanco, Ronel</t>
  </si>
  <si>
    <t>Gray, Sonny</t>
  </si>
  <si>
    <t>Eovaldi, Nathan</t>
  </si>
  <si>
    <t>Burnes, Corbin</t>
  </si>
  <si>
    <t>Brown, Hunter</t>
  </si>
  <si>
    <t>Valdez, Framber</t>
  </si>
  <si>
    <t>Bradley, Taj</t>
  </si>
  <si>
    <t>Wheeler, Zack</t>
  </si>
  <si>
    <t>Pfaadt, Brandon</t>
  </si>
  <si>
    <t>Stone, Gavin</t>
  </si>
  <si>
    <t>Ryan, Joe</t>
  </si>
  <si>
    <t>Montgomery, Jordan</t>
  </si>
  <si>
    <t>Imanaga, Shota</t>
  </si>
  <si>
    <t>Castillo, Luis</t>
  </si>
  <si>
    <t>Pepiot, Ryan</t>
  </si>
  <si>
    <t>Rodón, Carlos</t>
  </si>
  <si>
    <t>Glasnow, Tyler</t>
  </si>
  <si>
    <t>Sale, Chris</t>
  </si>
  <si>
    <t>Suárez, Ranger</t>
  </si>
  <si>
    <t>Wacha, Michael</t>
  </si>
  <si>
    <t>Kikuchi, Yusei</t>
  </si>
  <si>
    <t>Bibee, Tanner</t>
  </si>
  <si>
    <t>Gore, MacKenzie</t>
  </si>
  <si>
    <t>Bello, Brayan</t>
  </si>
  <si>
    <t>Peralta, Freddy</t>
  </si>
  <si>
    <t>Gibson, Kyle</t>
  </si>
  <si>
    <t>Suárez, Albert</t>
  </si>
  <si>
    <t>Morton, Charlie</t>
  </si>
  <si>
    <t>López, Pablo</t>
  </si>
  <si>
    <t>Flaherty, Jack</t>
  </si>
  <si>
    <t>Crawford, Kutter</t>
  </si>
  <si>
    <t>Ohtani, Shohei</t>
  </si>
  <si>
    <t>Judge, Aaron</t>
  </si>
  <si>
    <t>Guerrero Jr., Vladimir</t>
  </si>
  <si>
    <t>Tatis Jr., Fernando</t>
  </si>
  <si>
    <t>Soto, Juan</t>
  </si>
  <si>
    <t>Alvarez, Yordan</t>
  </si>
  <si>
    <t>Devers, Rafael</t>
  </si>
  <si>
    <t>Riley, Austin</t>
  </si>
  <si>
    <t>Witt Jr., Bobby</t>
  </si>
  <si>
    <t>Encarnacion, Jerar</t>
  </si>
  <si>
    <t>Seager, Corey</t>
  </si>
  <si>
    <t>Chapman, Matt</t>
  </si>
  <si>
    <t>Henderson, Gunnar</t>
  </si>
  <si>
    <t>Trout, Mike</t>
  </si>
  <si>
    <t>Stanton, Giancarlo</t>
  </si>
  <si>
    <t>Merrill, Jackson</t>
  </si>
  <si>
    <t>Walker, Christian</t>
  </si>
  <si>
    <t>Westburg, Jordan</t>
  </si>
  <si>
    <t>Olson, Matt</t>
  </si>
  <si>
    <t>Buxton, Byron</t>
  </si>
  <si>
    <t>Crow-Armstrong, Pete</t>
  </si>
  <si>
    <t>Marte, Ketel</t>
  </si>
  <si>
    <t>Gonzalez, Romy</t>
  </si>
  <si>
    <t>Harris II, Michael</t>
  </si>
  <si>
    <t>Tucker, Kyle</t>
  </si>
  <si>
    <t>Chourio, Jackson</t>
  </si>
  <si>
    <t>Wallner, Matt</t>
  </si>
  <si>
    <t>Rodríguez, Julio</t>
  </si>
  <si>
    <t>Taveras, Leody</t>
  </si>
  <si>
    <t>Lowe, Brandon</t>
  </si>
  <si>
    <t>Sánchez, Jesús</t>
  </si>
  <si>
    <t>Semien, Marcus</t>
  </si>
  <si>
    <t>Perez, Salvador</t>
  </si>
  <si>
    <t>Machado, Manny</t>
  </si>
  <si>
    <t>Cruz, Oneil</t>
  </si>
  <si>
    <t>Ozuna, Marcell</t>
  </si>
  <si>
    <t>Wood, James</t>
  </si>
  <si>
    <t>Caminero, Junior</t>
  </si>
  <si>
    <t>Sosa, Edmundo</t>
  </si>
  <si>
    <t>Lindor, Francisco</t>
  </si>
  <si>
    <t>Grichuk, Randal</t>
  </si>
  <si>
    <t>Duran, Jarren</t>
  </si>
  <si>
    <t>Nido, Tomás</t>
  </si>
  <si>
    <t>Santander, Anthony</t>
  </si>
  <si>
    <t>Melendez Jr., MJ</t>
  </si>
  <si>
    <t>Langford, Wyatt</t>
  </si>
  <si>
    <t>Schwarber, Kyle</t>
  </si>
  <si>
    <t>Contreras, William</t>
  </si>
  <si>
    <t>Yelich, Christian</t>
  </si>
  <si>
    <t>Nootbaar, Lars</t>
  </si>
  <si>
    <t>Hilliard, Sam</t>
  </si>
  <si>
    <t>Doyle, Brenton</t>
  </si>
  <si>
    <t>Vargas, Miguel</t>
  </si>
  <si>
    <t>Soderstrom, Tyler</t>
  </si>
  <si>
    <t>Harper, Bryce</t>
  </si>
  <si>
    <t>Robert Jr., Luis</t>
  </si>
  <si>
    <t>Tovar, Ezequiel</t>
  </si>
  <si>
    <t>Varsho, Daulton</t>
  </si>
  <si>
    <t>Conforto, Michael</t>
  </si>
  <si>
    <t>McCray, Grant</t>
  </si>
  <si>
    <t>Ramos, Bryan</t>
  </si>
  <si>
    <t>Alonso, Pete</t>
  </si>
  <si>
    <t>Stott, Bryson</t>
  </si>
  <si>
    <t>Thomas, Lane</t>
  </si>
  <si>
    <t>Ramírez, José</t>
  </si>
  <si>
    <t>De La Cruz, Elly</t>
  </si>
  <si>
    <t>Adell, Jo</t>
  </si>
  <si>
    <t>Larnach, Trevor</t>
  </si>
  <si>
    <t>Carroll, Corbin</t>
  </si>
  <si>
    <t>Ramos, Heliot</t>
  </si>
  <si>
    <t>Meadows, Parker</t>
  </si>
  <si>
    <t>Raley, Luke</t>
  </si>
  <si>
    <t>Winn, Masyn</t>
  </si>
  <si>
    <t>Díaz, Yandy</t>
  </si>
  <si>
    <t>Outman, James</t>
  </si>
  <si>
    <t>Turner, Trea</t>
  </si>
  <si>
    <t>Wade, Tyler</t>
  </si>
  <si>
    <t>Stowers, Kyle</t>
  </si>
  <si>
    <t>Betts, Mookie</t>
  </si>
  <si>
    <t>Tellez, Rowdy</t>
  </si>
  <si>
    <t>Santana, Carlos</t>
  </si>
  <si>
    <t>Bethancourt, Christian</t>
  </si>
  <si>
    <t>Gonzales, Nick</t>
  </si>
  <si>
    <t>Blanco, Dairon</t>
  </si>
  <si>
    <t>Diaz, Yainer</t>
  </si>
  <si>
    <t>Paredes, Isaac</t>
  </si>
  <si>
    <t>Pederson, Joc</t>
  </si>
  <si>
    <t>Happ, Ian</t>
  </si>
  <si>
    <t>Vierling, Matt</t>
  </si>
  <si>
    <t>Crews, Dylan</t>
  </si>
  <si>
    <t>Sosa, Lenyn</t>
  </si>
  <si>
    <t>Kjerstad, Heston</t>
  </si>
  <si>
    <t>Schmitt, Casey</t>
  </si>
  <si>
    <t>Pasquantino, Vinnie</t>
  </si>
  <si>
    <t>Benson, Will</t>
  </si>
  <si>
    <t>Ward, Taylor</t>
  </si>
  <si>
    <t>Arias, Gabriel</t>
  </si>
  <si>
    <t>Contreras, Willson</t>
  </si>
  <si>
    <t>Baldwin, Brooks</t>
  </si>
  <si>
    <t>Merrifield, Whit</t>
  </si>
  <si>
    <t>Name</t>
  </si>
  <si>
    <t>Great Season Prob</t>
  </si>
  <si>
    <t>Watch List</t>
  </si>
  <si>
    <t>C</t>
  </si>
  <si>
    <t>1B</t>
  </si>
  <si>
    <t>2B</t>
  </si>
  <si>
    <t>3B</t>
  </si>
  <si>
    <t>SS</t>
  </si>
  <si>
    <t>OF</t>
  </si>
  <si>
    <t>SP</t>
  </si>
  <si>
    <t>RP</t>
  </si>
  <si>
    <t>Fernando Tatis Jr.</t>
  </si>
  <si>
    <t>Rafael Devers</t>
  </si>
  <si>
    <t>Austin Riley</t>
  </si>
  <si>
    <t>Util</t>
  </si>
  <si>
    <t>Matt Chapman</t>
  </si>
  <si>
    <t>Mike Trout</t>
  </si>
  <si>
    <t>Giancarlo Stanton</t>
  </si>
  <si>
    <t>Christian Walker</t>
  </si>
  <si>
    <t>Jordan Westburg</t>
  </si>
  <si>
    <t>Matt Olson</t>
  </si>
  <si>
    <t>Michael Harris II</t>
  </si>
  <si>
    <t>Jackson Chourio</t>
  </si>
  <si>
    <t>Julio Rodríguez</t>
  </si>
  <si>
    <t>Leody Taveras</t>
  </si>
  <si>
    <t>Brandon Lowe</t>
  </si>
  <si>
    <t>Jesús Sánchez</t>
  </si>
  <si>
    <t>Marcus Semien</t>
  </si>
  <si>
    <t>Salvador Perez</t>
  </si>
  <si>
    <t>Manny Machado</t>
  </si>
  <si>
    <t>Oneil Cruz</t>
  </si>
  <si>
    <t>Edmundo Sosa</t>
  </si>
  <si>
    <t>Anthony Santander</t>
  </si>
  <si>
    <t>MJ Melendez Jr.</t>
  </si>
  <si>
    <t>Wyatt Langford</t>
  </si>
  <si>
    <t>Kyle Schwarber</t>
  </si>
  <si>
    <t>William Contreras</t>
  </si>
  <si>
    <t>Christian Yelich</t>
  </si>
  <si>
    <t>Lars Nootbaar</t>
  </si>
  <si>
    <t>Sam Hilliard</t>
  </si>
  <si>
    <t>Brenton Doyle</t>
  </si>
  <si>
    <t>Miguel Vargas</t>
  </si>
  <si>
    <t>Tyler Soderstrom</t>
  </si>
  <si>
    <t>Luis Robert Jr.</t>
  </si>
  <si>
    <t>Brent Rooker Jr.</t>
  </si>
  <si>
    <t>Ezequiel Tovar</t>
  </si>
  <si>
    <t>Daulton Varsho</t>
  </si>
  <si>
    <t>Michael Conforto</t>
  </si>
  <si>
    <t>Pete Alonso</t>
  </si>
  <si>
    <t>Bryson Stott</t>
  </si>
  <si>
    <t>Lane Thomas</t>
  </si>
  <si>
    <t>José Ramírez</t>
  </si>
  <si>
    <t>Elly De La Cruz</t>
  </si>
  <si>
    <t>Jo Adell</t>
  </si>
  <si>
    <t>Trevor Larnach</t>
  </si>
  <si>
    <t>Heliot Ramos</t>
  </si>
  <si>
    <t>Parker Meadows</t>
  </si>
  <si>
    <t>Luke Raley</t>
  </si>
  <si>
    <t>Masyn Winn</t>
  </si>
  <si>
    <t>Yandy Díaz</t>
  </si>
  <si>
    <t>Dylan Crews</t>
  </si>
  <si>
    <t>Round</t>
  </si>
  <si>
    <t>First Pick</t>
  </si>
  <si>
    <t>Back Up</t>
  </si>
  <si>
    <t>Back Up 2</t>
  </si>
  <si>
    <t>Tyler Glasnow</t>
  </si>
  <si>
    <t>Matt McLain</t>
  </si>
  <si>
    <t>Sonny Gray</t>
  </si>
  <si>
    <t>Luis Garcia Jr</t>
  </si>
  <si>
    <t>Justin Steele</t>
  </si>
  <si>
    <t>Pete Crow-Armstrong</t>
  </si>
  <si>
    <t>Reynaldo Lopez</t>
  </si>
  <si>
    <t>Ryan Pepiot</t>
  </si>
  <si>
    <t>Yusei Kikuchi</t>
  </si>
  <si>
    <t>Jordan Romano</t>
  </si>
  <si>
    <t>Josh Jung</t>
  </si>
  <si>
    <t>Jason Adam</t>
  </si>
  <si>
    <t>Ronel Blanco</t>
  </si>
  <si>
    <t>Orion Kerkering</t>
  </si>
  <si>
    <t>Evan Phillips</t>
  </si>
  <si>
    <t>Nick Lodolo</t>
  </si>
  <si>
    <t>Garrett Crochet</t>
  </si>
  <si>
    <t>George Kirby</t>
  </si>
  <si>
    <t>Brent Rooker Jr</t>
  </si>
  <si>
    <t>Framber Valdez</t>
  </si>
  <si>
    <t>Shoto Imanaga</t>
  </si>
  <si>
    <t>Junior Caminero</t>
  </si>
  <si>
    <t>Bailey Ober</t>
  </si>
  <si>
    <t>Cal Raleigh</t>
  </si>
  <si>
    <t>Max Fried</t>
  </si>
  <si>
    <t>Spencer Strider</t>
  </si>
  <si>
    <t>Jared Jones</t>
  </si>
  <si>
    <t>Bryan Woo</t>
  </si>
  <si>
    <t>Cristoper Sanchez</t>
  </si>
  <si>
    <t>Xander Bogaerts</t>
  </si>
  <si>
    <t>Nathan Eovaldi</t>
  </si>
  <si>
    <t>Taj Bradley</t>
  </si>
  <si>
    <t>Luis Gil</t>
  </si>
  <si>
    <t>Jackson Jobe</t>
  </si>
  <si>
    <t>MacKenzie Gore</t>
  </si>
  <si>
    <t>Nick Martinez</t>
  </si>
  <si>
    <t>Jackson Holliday</t>
  </si>
  <si>
    <t>Griffin Jax</t>
  </si>
  <si>
    <t>Brandon Marsh</t>
  </si>
  <si>
    <t>Jerar Encarnacion</t>
  </si>
  <si>
    <t>Mark Leiter Jr.</t>
  </si>
  <si>
    <t>Reed Garrett</t>
  </si>
  <si>
    <t>#</t>
  </si>
  <si>
    <t>Team</t>
  </si>
  <si>
    <t>POS</t>
  </si>
  <si>
    <t>ADP</t>
  </si>
  <si>
    <t>Roster%</t>
  </si>
  <si>
    <t>Start%</t>
  </si>
  <si>
    <t>PA</t>
  </si>
  <si>
    <t>SB</t>
  </si>
  <si>
    <t>HR</t>
  </si>
  <si>
    <t>Dollars</t>
  </si>
  <si>
    <t>Card</t>
  </si>
  <si>
    <t>LAD</t>
  </si>
  <si>
    <t>DH</t>
  </si>
  <si>
    <t>KCR</t>
  </si>
  <si>
    <t>NYY</t>
  </si>
  <si>
    <t>OF/DH</t>
  </si>
  <si>
    <t>CIN</t>
  </si>
  <si>
    <t>CLE</t>
  </si>
  <si>
    <t>3B/DH</t>
  </si>
  <si>
    <t>BAL</t>
  </si>
  <si>
    <t>NYM</t>
  </si>
  <si>
    <t>CHC</t>
  </si>
  <si>
    <t>ARI</t>
  </si>
  <si>
    <t>SDP</t>
  </si>
  <si>
    <t>SS/OF</t>
  </si>
  <si>
    <t>SEA</t>
  </si>
  <si>
    <t>TOR</t>
  </si>
  <si>
    <t>1B/DH</t>
  </si>
  <si>
    <t>MIL</t>
  </si>
  <si>
    <t>HOU</t>
  </si>
  <si>
    <t>Jarren Duran</t>
  </si>
  <si>
    <t>BOS</t>
  </si>
  <si>
    <t>PHI</t>
  </si>
  <si>
    <t>Jazz Chisholm Jr.</t>
  </si>
  <si>
    <t>3B/OF</t>
  </si>
  <si>
    <t>C/DH</t>
  </si>
  <si>
    <t>Trea Turner</t>
  </si>
  <si>
    <t>ATL</t>
  </si>
  <si>
    <t>2B/DH</t>
  </si>
  <si>
    <t>Ronald Acuña Jr.</t>
  </si>
  <si>
    <t>PIT</t>
  </si>
  <si>
    <t>TEX</t>
  </si>
  <si>
    <t>CJ Abrams</t>
  </si>
  <si>
    <t>WSN</t>
  </si>
  <si>
    <t>James Wood</t>
  </si>
  <si>
    <t>Yainer Diaz</t>
  </si>
  <si>
    <t>Teoscar Hernández</t>
  </si>
  <si>
    <t>Adley Rutschman</t>
  </si>
  <si>
    <t>ATH</t>
  </si>
  <si>
    <t>Lawrence Butler</t>
  </si>
  <si>
    <t>Ozzie Albies</t>
  </si>
  <si>
    <t>C/1B/DH</t>
  </si>
  <si>
    <t>TBR</t>
  </si>
  <si>
    <t>Willson Contreras</t>
  </si>
  <si>
    <t>STL</t>
  </si>
  <si>
    <t>COL</t>
  </si>
  <si>
    <t>CHW</t>
  </si>
  <si>
    <t>Seiya Suzuki</t>
  </si>
  <si>
    <t>2B/3B</t>
  </si>
  <si>
    <t>Willy Adames</t>
  </si>
  <si>
    <t>SFG</t>
  </si>
  <si>
    <t>Bryan Reynolds</t>
  </si>
  <si>
    <t>Mark Vientos</t>
  </si>
  <si>
    <t>Will Smith</t>
  </si>
  <si>
    <t>Cody Bellinger</t>
  </si>
  <si>
    <t>1B/OF/DH</t>
  </si>
  <si>
    <t>Josh Naylor</t>
  </si>
  <si>
    <t>Riley Greene</t>
  </si>
  <si>
    <t>DET</t>
  </si>
  <si>
    <t>Vinnie Pasquantino</t>
  </si>
  <si>
    <t>Jake Burger</t>
  </si>
  <si>
    <t>1B/3B/DH</t>
  </si>
  <si>
    <t>Shea Langeliers</t>
  </si>
  <si>
    <t>LAA</t>
  </si>
  <si>
    <t>Triston Casas</t>
  </si>
  <si>
    <t>Bo Bichette</t>
  </si>
  <si>
    <t>Royce Lewis</t>
  </si>
  <si>
    <t>MIN</t>
  </si>
  <si>
    <t>Luis García Jr.</t>
  </si>
  <si>
    <t>Spencer Steer</t>
  </si>
  <si>
    <t>1B/OF</t>
  </si>
  <si>
    <t>Alex Bregman</t>
  </si>
  <si>
    <t>Ian Happ</t>
  </si>
  <si>
    <t>Logan O'Hoppe</t>
  </si>
  <si>
    <t>Randy Arozarena</t>
  </si>
  <si>
    <t>Anthony Volpe</t>
  </si>
  <si>
    <t>J.T. Realmuto</t>
  </si>
  <si>
    <t>Jasson Domínguez</t>
  </si>
  <si>
    <t>Brice Turang</t>
  </si>
  <si>
    <t>Steven Kwan</t>
  </si>
  <si>
    <t>2B/SS</t>
  </si>
  <si>
    <t>MIA</t>
  </si>
  <si>
    <t>Josh Lowe</t>
  </si>
  <si>
    <t>Adolis García</t>
  </si>
  <si>
    <t>Francisco Alvarez</t>
  </si>
  <si>
    <t>Tyler Stephenson</t>
  </si>
  <si>
    <t>Luis Rengifo</t>
  </si>
  <si>
    <t>Jeremy Peña</t>
  </si>
  <si>
    <t>Colton Cowser</t>
  </si>
  <si>
    <t>Andrés Giménez</t>
  </si>
  <si>
    <t>Dansby Swanson</t>
  </si>
  <si>
    <t>Paul Goldschmidt</t>
  </si>
  <si>
    <t>Nick Castellanos</t>
  </si>
  <si>
    <t>Tommy Edman</t>
  </si>
  <si>
    <t>Alec Bohm</t>
  </si>
  <si>
    <t>Eugenio Suárez</t>
  </si>
  <si>
    <t>Taylor Ward</t>
  </si>
  <si>
    <t>Brandon Nimmo</t>
  </si>
  <si>
    <t>Jurickson Profar</t>
  </si>
  <si>
    <t>Gabriel Moreno</t>
  </si>
  <si>
    <t>Ceddanne Rafaela</t>
  </si>
  <si>
    <t>Luis Arraez</t>
  </si>
  <si>
    <t>1B/2B/DH</t>
  </si>
  <si>
    <t>Victor Robles</t>
  </si>
  <si>
    <t>Austin Wells</t>
  </si>
  <si>
    <t>Isaac Paredes</t>
  </si>
  <si>
    <t>Michael Toglia</t>
  </si>
  <si>
    <t>Zach Neto</t>
  </si>
  <si>
    <t>Tyler O'Neill</t>
  </si>
  <si>
    <t>Nico Hoerner</t>
  </si>
  <si>
    <t>Keibert Ruiz</t>
  </si>
  <si>
    <t>Zack Gelof</t>
  </si>
  <si>
    <t>Sean Murphy</t>
  </si>
  <si>
    <t>Maikel Garcia</t>
  </si>
  <si>
    <t>Cedric Mullins</t>
  </si>
  <si>
    <t>Jake McCarthy</t>
  </si>
  <si>
    <t>Jorge Soler</t>
  </si>
  <si>
    <t>Lourdes Gurriel Jr.</t>
  </si>
  <si>
    <t>Gleyber Torres</t>
  </si>
  <si>
    <t>Willi Castro</t>
  </si>
  <si>
    <t>2B/3B/SS/OF</t>
  </si>
  <si>
    <t>Ryan Jeffers</t>
  </si>
  <si>
    <t>Connor Wong</t>
  </si>
  <si>
    <t>Nolan Arenado</t>
  </si>
  <si>
    <t>Ryan Mountcastle</t>
  </si>
  <si>
    <t>Alec Burleson</t>
  </si>
  <si>
    <t>Brendan Donovan</t>
  </si>
  <si>
    <t>2B/OF</t>
  </si>
  <si>
    <t>Jung Hoo Lee</t>
  </si>
  <si>
    <t>Iván Herrera</t>
  </si>
  <si>
    <t>George Springer</t>
  </si>
  <si>
    <t>Carlos Correa</t>
  </si>
  <si>
    <t>Nolan Jones</t>
  </si>
  <si>
    <t>Christian Encarnacion-Strand</t>
  </si>
  <si>
    <t>Jonathan India</t>
  </si>
  <si>
    <t>Trevor Story</t>
  </si>
  <si>
    <t>Colt Keith</t>
  </si>
  <si>
    <t>Garrett Mitchell</t>
  </si>
  <si>
    <t>TJ Friedl</t>
  </si>
  <si>
    <t>Alejandro Kirk</t>
  </si>
  <si>
    <t>Nathaniel Lowe</t>
  </si>
  <si>
    <t>Max Muncy</t>
  </si>
  <si>
    <t>Michael Busch</t>
  </si>
  <si>
    <t>Andrew Vaughn</t>
  </si>
  <si>
    <t>Joey Bart</t>
  </si>
  <si>
    <t>Christopher Morel</t>
  </si>
  <si>
    <t>2B/3B/DH</t>
  </si>
  <si>
    <t>JJ Bleday</t>
  </si>
  <si>
    <t>Connor Norby</t>
  </si>
  <si>
    <t>Ryan McMahon</t>
  </si>
  <si>
    <t>Jordan Walker</t>
  </si>
  <si>
    <t>Rhys Hoskins</t>
  </si>
  <si>
    <t>Joey Ortiz</t>
  </si>
  <si>
    <t>Evan Carter</t>
  </si>
  <si>
    <t>Bo Naylor</t>
  </si>
  <si>
    <t>Jake Cronenworth</t>
  </si>
  <si>
    <t>1B/2B</t>
  </si>
  <si>
    <t>Jacob Young</t>
  </si>
  <si>
    <t>Jeimer Candelario</t>
  </si>
  <si>
    <t>Thairo Estrada</t>
  </si>
  <si>
    <t>Danny Jansen</t>
  </si>
  <si>
    <t>Patrick Bailey</t>
  </si>
  <si>
    <t>Wilyer Abreu</t>
  </si>
  <si>
    <t>Jonah Heim</t>
  </si>
  <si>
    <t>Nolan Schanuel</t>
  </si>
  <si>
    <t>Jonathan Aranda</t>
  </si>
  <si>
    <t>Matt Vierling</t>
  </si>
  <si>
    <t>Joc Pederson</t>
  </si>
  <si>
    <t>Ha-Seong Kim</t>
  </si>
  <si>
    <t>Otto Lopez</t>
  </si>
  <si>
    <t>José Caballero</t>
  </si>
  <si>
    <t>2B/3B/SS</t>
  </si>
  <si>
    <t>Josh Bell</t>
  </si>
  <si>
    <t>Gavin Lux</t>
  </si>
  <si>
    <t>Jonny DeLuca</t>
  </si>
  <si>
    <t>Hunter Goodman</t>
  </si>
  <si>
    <t>C/OF</t>
  </si>
  <si>
    <t>Jacob Wilson</t>
  </si>
  <si>
    <t>Ke'Bryan Hayes</t>
  </si>
  <si>
    <t>Heston Kjerstad</t>
  </si>
  <si>
    <t>Dylan Moore</t>
  </si>
  <si>
    <t>Carlos Santana</t>
  </si>
  <si>
    <t>Ryan O'Hearn</t>
  </si>
  <si>
    <t>Nolan Gorman</t>
  </si>
  <si>
    <t>Isiah Kiner-Falefa</t>
  </si>
  <si>
    <t>Jose Miranda</t>
  </si>
  <si>
    <t>Max Kepler</t>
  </si>
  <si>
    <t>Andrew Benintendi</t>
  </si>
  <si>
    <t>Miguel Amaya</t>
  </si>
  <si>
    <t>Freddy Fermin</t>
  </si>
  <si>
    <t>Kyle Manzardo</t>
  </si>
  <si>
    <t>Spencer Horwitz</t>
  </si>
  <si>
    <t>Kyle Higashioka</t>
  </si>
  <si>
    <t>Sal Frelick</t>
  </si>
  <si>
    <t>Pavin Smith</t>
  </si>
  <si>
    <t>Jake Fraley</t>
  </si>
  <si>
    <t>Michael Massey</t>
  </si>
  <si>
    <t>Jhonkensy Noel</t>
  </si>
  <si>
    <t>MJ Melendez</t>
  </si>
  <si>
    <t>Ernie Clement</t>
  </si>
  <si>
    <t>3B/SS</t>
  </si>
  <si>
    <t>Brooks Lee</t>
  </si>
  <si>
    <t>Jeff McNeil</t>
  </si>
  <si>
    <t>Luis Campusano</t>
  </si>
  <si>
    <t>Coby Mayo</t>
  </si>
  <si>
    <t>1B/3B</t>
  </si>
  <si>
    <t>Noelvi Marte</t>
  </si>
  <si>
    <t>Luisangel Acuña</t>
  </si>
  <si>
    <t>2B/SS/DH</t>
  </si>
  <si>
    <t>David Hamilton</t>
  </si>
  <si>
    <t>Victor Scott II</t>
  </si>
  <si>
    <t>Nick Gonzales</t>
  </si>
  <si>
    <t>Jesse Winker</t>
  </si>
  <si>
    <t>Chas McCormick</t>
  </si>
  <si>
    <t>Jordan Beck</t>
  </si>
  <si>
    <t>Austin Hays</t>
  </si>
  <si>
    <t>Jorge Polanco</t>
  </si>
  <si>
    <t>Josh Smith</t>
  </si>
  <si>
    <t>Andy Pages</t>
  </si>
  <si>
    <t>Travis d'Arnaud</t>
  </si>
  <si>
    <t>Tommy Pham</t>
  </si>
  <si>
    <t>J.P. Crawford</t>
  </si>
  <si>
    <t>Orlando Arcia</t>
  </si>
  <si>
    <t>Starling Marte</t>
  </si>
  <si>
    <t>Mike Yastrzemski</t>
  </si>
  <si>
    <t>Masataka Yoshida</t>
  </si>
  <si>
    <t>Geraldo Perdomo</t>
  </si>
  <si>
    <t>LaMonte Wade Jr.</t>
  </si>
  <si>
    <t>Jose Siri</t>
  </si>
  <si>
    <t>Spencer Torkelson</t>
  </si>
  <si>
    <t>José Tena</t>
  </si>
  <si>
    <t>Jake Meyers</t>
  </si>
  <si>
    <t>Brayan Rocchio</t>
  </si>
  <si>
    <t>Lenyn Sosa</t>
  </si>
  <si>
    <t>Yoán Moncada</t>
  </si>
  <si>
    <t>Jonah Bride</t>
  </si>
  <si>
    <t>Seth Brown</t>
  </si>
  <si>
    <t>Harrison Bader</t>
  </si>
  <si>
    <t>Adrian Del Castillo</t>
  </si>
  <si>
    <t>Jacob Stallings</t>
  </si>
  <si>
    <t>Jace Jung</t>
  </si>
  <si>
    <t>Trey Sweeney</t>
  </si>
  <si>
    <t>Mitch Garver</t>
  </si>
  <si>
    <t>Mike Tauchman</t>
  </si>
  <si>
    <t>Bryan De La Cruz</t>
  </si>
  <si>
    <t>Paul DeJong</t>
  </si>
  <si>
    <t>Ty France</t>
  </si>
  <si>
    <t>Nick Yorke</t>
  </si>
  <si>
    <t>2B/3B/OF</t>
  </si>
  <si>
    <t>Jarred Kelenic</t>
  </si>
  <si>
    <t>Mauricio Dubón</t>
  </si>
  <si>
    <t>1B/2B/OF</t>
  </si>
  <si>
    <t>David Fry</t>
  </si>
  <si>
    <t>C/1B/OF/DH</t>
  </si>
  <si>
    <t>Jake Rogers</t>
  </si>
  <si>
    <t>Alex Verdugo</t>
  </si>
  <si>
    <t>Justin Turner</t>
  </si>
  <si>
    <t>Richie Palacios</t>
  </si>
  <si>
    <t>Henry Davis</t>
  </si>
  <si>
    <t>Elias Díaz</t>
  </si>
  <si>
    <t>Alek Thomas</t>
  </si>
  <si>
    <t>Esteury Ruiz</t>
  </si>
  <si>
    <t>Gio Urshela</t>
  </si>
  <si>
    <t>Kyle Stowers</t>
  </si>
  <si>
    <t>Zach Dezenzo</t>
  </si>
  <si>
    <t>Gary Sánchez</t>
  </si>
  <si>
    <t>Will Wagner</t>
  </si>
  <si>
    <t>Carson Kelly</t>
  </si>
  <si>
    <t>Kyle Isbel</t>
  </si>
  <si>
    <t>Ben Rice</t>
  </si>
  <si>
    <t>Kris Bryant</t>
  </si>
  <si>
    <t>Hunter Renfroe</t>
  </si>
  <si>
    <t>Josh Rojas</t>
  </si>
  <si>
    <t>Amed Rosario</t>
  </si>
  <si>
    <t>2B/OF/DH</t>
  </si>
  <si>
    <t>Wenceel Pérez</t>
  </si>
  <si>
    <t>Victor Caratini</t>
  </si>
  <si>
    <t>Brendan Rodgers</t>
  </si>
  <si>
    <t>Eloy Jiménez</t>
  </si>
  <si>
    <t>Randal Grichuk</t>
  </si>
  <si>
    <t>Johan Rojas</t>
  </si>
  <si>
    <t>Tyler Black</t>
  </si>
  <si>
    <t>Derek Hill</t>
  </si>
  <si>
    <t>Vaughn Grissom</t>
  </si>
  <si>
    <t>Pedro Pagés</t>
  </si>
  <si>
    <t>Edouard Julien</t>
  </si>
  <si>
    <t>DJ LeMahieu</t>
  </si>
  <si>
    <t>Ryan Bliss</t>
  </si>
  <si>
    <t>Orelvis Martinez</t>
  </si>
  <si>
    <t>Joey Loperfido</t>
  </si>
  <si>
    <t>Brett Baty</t>
  </si>
  <si>
    <t>Oswaldo Cabrera</t>
  </si>
  <si>
    <t>Dillon Dingler</t>
  </si>
  <si>
    <t>Korey Lee</t>
  </si>
  <si>
    <t>Mickey Moniak</t>
  </si>
  <si>
    <t>Ramón Laureano</t>
  </si>
  <si>
    <t>Blake Perkins</t>
  </si>
  <si>
    <t>Andrew McCutchen</t>
  </si>
  <si>
    <t>Michael Siani</t>
  </si>
  <si>
    <t>Jared Triolo</t>
  </si>
  <si>
    <t>Zach McKinstry</t>
  </si>
  <si>
    <t>3B/SS/OF</t>
  </si>
  <si>
    <t>Luis Matos</t>
  </si>
  <si>
    <t>Thomas Saggese</t>
  </si>
  <si>
    <t>Miguel Andujar</t>
  </si>
  <si>
    <t>Donovan Solano</t>
  </si>
  <si>
    <t>Matt Mervis</t>
  </si>
  <si>
    <t>Nick Fortes</t>
  </si>
  <si>
    <t>Max Schuemann</t>
  </si>
  <si>
    <t>Juan Yepez</t>
  </si>
  <si>
    <t>Will Benson</t>
  </si>
  <si>
    <t>Kyle Farmer</t>
  </si>
  <si>
    <t>Jose Trevino</t>
  </si>
  <si>
    <t>Wilmer Flores</t>
  </si>
  <si>
    <t>Enrique Hernández</t>
  </si>
  <si>
    <t>Mitch Haniger</t>
  </si>
  <si>
    <t>Johnathan Rodriguez</t>
  </si>
  <si>
    <t>Mark Canha</t>
  </si>
  <si>
    <t>Drew Romo</t>
  </si>
  <si>
    <t>Connor Joe</t>
  </si>
  <si>
    <t>Romy Gonzalez</t>
  </si>
  <si>
    <t>1B/2B/SS</t>
  </si>
  <si>
    <t>Ezequiel Duran</t>
  </si>
  <si>
    <t>Tim Anderson</t>
  </si>
  <si>
    <t>Christian Vázquez</t>
  </si>
  <si>
    <t>Bryan Ramos</t>
  </si>
  <si>
    <t>Billy Cook</t>
  </si>
  <si>
    <t>Shay Whitcomb</t>
  </si>
  <si>
    <t>Eguy Rosario</t>
  </si>
  <si>
    <t>Jonatan Clase</t>
  </si>
  <si>
    <t>Dairon Blanco</t>
  </si>
  <si>
    <t>Santiago Espinal</t>
  </si>
  <si>
    <t>Jack Suwinski</t>
  </si>
  <si>
    <t>J.D. Martinez</t>
  </si>
  <si>
    <t>Will Brennan</t>
  </si>
  <si>
    <t>Addison Barger</t>
  </si>
  <si>
    <t>Kevin Newman</t>
  </si>
  <si>
    <t>Jason Heyward</t>
  </si>
  <si>
    <t>Tyrone Taylor</t>
  </si>
  <si>
    <t>Javier Báez</t>
  </si>
  <si>
    <t>Jon Berti</t>
  </si>
  <si>
    <t>2B/3B/OF/DH</t>
  </si>
  <si>
    <t>Ramón Urías</t>
  </si>
  <si>
    <t>Brandon Drury</t>
  </si>
  <si>
    <t>Adael Amador</t>
  </si>
  <si>
    <t>Dane Myers</t>
  </si>
  <si>
    <t>Kevin Alcántara</t>
  </si>
  <si>
    <t>Jorge Mateo</t>
  </si>
  <si>
    <t>Brooks Baldwin</t>
  </si>
  <si>
    <t>Vidal Bruján</t>
  </si>
  <si>
    <t>2B/SS/OF</t>
  </si>
  <si>
    <t>Gavin Sheets</t>
  </si>
  <si>
    <t>Justyn-Henry Malloy</t>
  </si>
  <si>
    <t>Tyler Locklear</t>
  </si>
  <si>
    <t>Anthony Rizzo</t>
  </si>
  <si>
    <t>James Outman</t>
  </si>
  <si>
    <t>Davis Schneider</t>
  </si>
  <si>
    <t>Griffin Conine</t>
  </si>
  <si>
    <t>Taylor Walls</t>
  </si>
  <si>
    <t>Curtis Mead</t>
  </si>
  <si>
    <t>Marco Luciano</t>
  </si>
  <si>
    <t>Miguel Rojas</t>
  </si>
  <si>
    <t>Jake Bauers</t>
  </si>
  <si>
    <t>Oswald Peraza</t>
  </si>
  <si>
    <t>Eric Haase</t>
  </si>
  <si>
    <t>Ben Rortvedt</t>
  </si>
  <si>
    <t>Jose Iglesias</t>
  </si>
  <si>
    <t>Chris Taylor</t>
  </si>
  <si>
    <t>Michael A. Taylor</t>
  </si>
  <si>
    <t>Stone Garrett</t>
  </si>
  <si>
    <t>Rowdy Tellez</t>
  </si>
  <si>
    <t>Oliver Dunn</t>
  </si>
  <si>
    <t>Rob Refsnyder</t>
  </si>
  <si>
    <t>Joey Gallo</t>
  </si>
  <si>
    <t>Alex Call</t>
  </si>
  <si>
    <t>Nacho Alvarez Jr.</t>
  </si>
  <si>
    <t>J.D. Davis</t>
  </si>
  <si>
    <t>Jon Singleton</t>
  </si>
  <si>
    <t>Nelson Velázquez</t>
  </si>
  <si>
    <t>Gabriel Arias</t>
  </si>
  <si>
    <t>Oscar Colás</t>
  </si>
  <si>
    <t>Rece Hinds</t>
  </si>
  <si>
    <t>Carlos Narvaez</t>
  </si>
  <si>
    <t>Tyler Freeman</t>
  </si>
  <si>
    <t>Rafael Marchán</t>
  </si>
  <si>
    <t>Yasmani Grandal</t>
  </si>
  <si>
    <t>Austin Barnes</t>
  </si>
  <si>
    <t>Luis Urías</t>
  </si>
  <si>
    <t>Dylan Carlson</t>
  </si>
  <si>
    <t>Whit Merrifield</t>
  </si>
  <si>
    <t>Luken Baker</t>
  </si>
  <si>
    <t>Nathan Lukes</t>
  </si>
  <si>
    <t>Joey Wiemer</t>
  </si>
  <si>
    <t>Grant McCray</t>
  </si>
  <si>
    <t>Eddie Rosario</t>
  </si>
  <si>
    <t>James McCann</t>
  </si>
  <si>
    <t>Manuel Margot</t>
  </si>
  <si>
    <t>Adam Frazier</t>
  </si>
  <si>
    <t>Luis Torrens</t>
  </si>
  <si>
    <t>Daniel Schneemann</t>
  </si>
  <si>
    <t>Aaron Schunk</t>
  </si>
  <si>
    <t>Alexander Canario</t>
  </si>
  <si>
    <t>Sean Bouchard</t>
  </si>
  <si>
    <t>Keston Hiura</t>
  </si>
  <si>
    <t>Blaze Alexander</t>
  </si>
  <si>
    <t>Joshua Palacios</t>
  </si>
  <si>
    <t>Eric Wagaman</t>
  </si>
  <si>
    <t>Ryan Noda</t>
  </si>
  <si>
    <t>Sam Huff</t>
  </si>
  <si>
    <t>Angel Martínez</t>
  </si>
  <si>
    <t>David Peralta</t>
  </si>
  <si>
    <t>Dominic Canzone</t>
  </si>
  <si>
    <t>Pedro León</t>
  </si>
  <si>
    <t>Nicky Lopez</t>
  </si>
  <si>
    <t>Austin Slater</t>
  </si>
  <si>
    <t>Chadwick Tromp</t>
  </si>
  <si>
    <t>Trent Grisham</t>
  </si>
  <si>
    <t>José Abreu</t>
  </si>
  <si>
    <t>Trey Lipscomb</t>
  </si>
  <si>
    <t>Drew Millas</t>
  </si>
  <si>
    <t>Anthony Rendon</t>
  </si>
  <si>
    <t>Casey Schmitt</t>
  </si>
  <si>
    <t>2B/3B/SS/DH</t>
  </si>
  <si>
    <t>Ben Gamel</t>
  </si>
  <si>
    <t>Nick Allen</t>
  </si>
  <si>
    <t>Stuart Fairchild</t>
  </si>
  <si>
    <t>Austin Martin</t>
  </si>
  <si>
    <t>Alex Jackson</t>
  </si>
  <si>
    <t>Tom Murphy</t>
  </si>
  <si>
    <t>Dominic Smith</t>
  </si>
  <si>
    <t>Andy Ibáñez</t>
  </si>
  <si>
    <t>Enmanuel Valdez</t>
  </si>
  <si>
    <t>Jhonny Pereda</t>
  </si>
  <si>
    <t>C/1B</t>
  </si>
  <si>
    <t>Adam Duvall</t>
  </si>
  <si>
    <t>David Bote</t>
  </si>
  <si>
    <t>Garrett Hampson</t>
  </si>
  <si>
    <t>César Salazar</t>
  </si>
  <si>
    <t>Liover Peguero</t>
  </si>
  <si>
    <t>Gustavo Campero</t>
  </si>
  <si>
    <t>Brett Wisely</t>
  </si>
  <si>
    <t>Tyler Heineman</t>
  </si>
  <si>
    <t>Garrett Stubbs</t>
  </si>
  <si>
    <t>Kevin Pillar</t>
  </si>
  <si>
    <t>Nick Gordon</t>
  </si>
  <si>
    <t>Nick Senzel</t>
  </si>
  <si>
    <t>Darell Hernaiz</t>
  </si>
  <si>
    <t>Austin Shenton</t>
  </si>
  <si>
    <t>Bobby Dalbec</t>
  </si>
  <si>
    <t>Alex Kirilloff</t>
  </si>
  <si>
    <t>Greg Jones</t>
  </si>
  <si>
    <t>Elehuris Montero</t>
  </si>
  <si>
    <t>Tyler Wade</t>
  </si>
  <si>
    <t>Steward Berroa</t>
  </si>
  <si>
    <t>Kyle McCann</t>
  </si>
  <si>
    <t>Brandon Lockridge</t>
  </si>
  <si>
    <t>Riley Adams</t>
  </si>
  <si>
    <t>Nick Loftin</t>
  </si>
  <si>
    <t>Dustin Harris</t>
  </si>
  <si>
    <t>Jose Herrera</t>
  </si>
  <si>
    <t>Andrés Chaparro</t>
  </si>
  <si>
    <t>Blake Sabol</t>
  </si>
  <si>
    <t>Charlie Blackmon</t>
  </si>
  <si>
    <t>Jake Cave</t>
  </si>
  <si>
    <t>Christian Bethancourt</t>
  </si>
  <si>
    <t>Reese McGuire</t>
  </si>
  <si>
    <t>Matt Thaiss</t>
  </si>
  <si>
    <t>Abraham Toro</t>
  </si>
  <si>
    <t>Tomás Nido</t>
  </si>
  <si>
    <t>Harold Ramírez</t>
  </si>
  <si>
    <t>Austin Hedges</t>
  </si>
  <si>
    <t>René Pinto</t>
  </si>
  <si>
    <t>Curt Casali</t>
  </si>
  <si>
    <t>Emmanuel Rivera</t>
  </si>
  <si>
    <t>Ildemaro Vargas</t>
  </si>
  <si>
    <t>Tucker Barnhart</t>
  </si>
  <si>
    <t>Austin Wynns</t>
  </si>
  <si>
    <t>Kevin Kiermaier</t>
  </si>
  <si>
    <t>Luke Maile</t>
  </si>
  <si>
    <t>Jason Delay</t>
  </si>
  <si>
    <t>Logan Driscoll</t>
  </si>
  <si>
    <t>Hunter Feduccia</t>
  </si>
  <si>
    <t>Yan Gomes</t>
  </si>
  <si>
    <t>Joey Meneses</t>
  </si>
  <si>
    <t>Andrew Knizner</t>
  </si>
  <si>
    <t>Brett Sullivan</t>
  </si>
  <si>
    <t>Edward Olivares</t>
  </si>
  <si>
    <t>Seby Zavala</t>
  </si>
  <si>
    <t>Jakson Reetz</t>
  </si>
  <si>
    <t>Ali Sánchez</t>
  </si>
  <si>
    <t>Martín Maldonado</t>
  </si>
  <si>
    <t>Brian Serven</t>
  </si>
  <si>
    <t>Andrew Knapp</t>
  </si>
  <si>
    <t>Jair Camargo</t>
  </si>
  <si>
    <t>Omar Narváez</t>
  </si>
  <si>
    <t>Grant Koch</t>
  </si>
  <si>
    <t>Rob Brantly</t>
  </si>
  <si>
    <t>Aramis Garcia</t>
  </si>
  <si>
    <t>Willie Calhoun</t>
  </si>
  <si>
    <t>Daz Cameron</t>
  </si>
  <si>
    <t>Nick Martini</t>
  </si>
  <si>
    <t>Weston Wilson</t>
  </si>
  <si>
    <t>Cavan Biggio</t>
  </si>
  <si>
    <t>Tyler Nevin</t>
  </si>
  <si>
    <t>1B/3B/OF</t>
  </si>
  <si>
    <t>Patrick Wisdom</t>
  </si>
  <si>
    <t>Chuckie Robinson</t>
  </si>
  <si>
    <t>Kody Clemens</t>
  </si>
  <si>
    <t>1B/2B/3B/OF/DH</t>
  </si>
  <si>
    <t>Corey Julks</t>
  </si>
  <si>
    <t>Travis Jankowski</t>
  </si>
  <si>
    <t>Robbie Grossman</t>
  </si>
  <si>
    <t>Leo Jiménez</t>
  </si>
  <si>
    <t>Nick Ahmed</t>
  </si>
  <si>
    <t>DJ Stewart</t>
  </si>
  <si>
    <t>Andruw Monasterio</t>
  </si>
  <si>
    <t>Matt Carpenter</t>
  </si>
  <si>
    <t>Danny Mendick</t>
  </si>
  <si>
    <t>Nick Sogard</t>
  </si>
  <si>
    <t>1B/2B/3B/SS</t>
  </si>
  <si>
    <t>Eli White</t>
  </si>
  <si>
    <t>Nasim Nuñez</t>
  </si>
  <si>
    <t>Estevan Florial</t>
  </si>
  <si>
    <t>Ji Hwan Bae</t>
  </si>
  <si>
    <t>José Azocar</t>
  </si>
  <si>
    <t>Cristian Pache</t>
  </si>
  <si>
    <t>Trey Cabbage</t>
  </si>
  <si>
    <t>David Dahl</t>
  </si>
  <si>
    <t>Dominic Fletcher</t>
  </si>
  <si>
    <t>Brett Harris</t>
  </si>
  <si>
    <t>Leo Rivas</t>
  </si>
  <si>
    <t>Zach DeLoach</t>
  </si>
  <si>
    <t>Luis Guillorme</t>
  </si>
  <si>
    <t>Jordyn Adams</t>
  </si>
  <si>
    <t>David Hensley</t>
  </si>
  <si>
    <t>1B/3B/OF/DH</t>
  </si>
  <si>
    <t>Miguel Sanó</t>
  </si>
  <si>
    <t>Ryan McKenna</t>
  </si>
  <si>
    <t>Forrest Wall</t>
  </si>
  <si>
    <t>Garrett Cooper</t>
  </si>
  <si>
    <t>Blake Dunn</t>
  </si>
  <si>
    <t>Nick Madrigal</t>
  </si>
  <si>
    <t>Bryce Johnson</t>
  </si>
  <si>
    <t>Niko Kavadas</t>
  </si>
  <si>
    <t>Jahmai Jones</t>
  </si>
  <si>
    <t>Avisaíl García</t>
  </si>
  <si>
    <t>Bubba Thompson</t>
  </si>
  <si>
    <t>Charles Leblanc</t>
  </si>
  <si>
    <t>1B/2B/3B/DH</t>
  </si>
  <si>
    <t>Duke Ellis</t>
  </si>
  <si>
    <t>Jacob Hurtubise</t>
  </si>
  <si>
    <t>Cal Stevenson</t>
  </si>
  <si>
    <t>Alika Williams</t>
  </si>
  <si>
    <t>Bligh Madris</t>
  </si>
  <si>
    <t>Ryan Vilade</t>
  </si>
  <si>
    <t>Luke Williams</t>
  </si>
  <si>
    <t>2B/3B/SS/OF/DH</t>
  </si>
  <si>
    <t>Jared Walsh</t>
  </si>
  <si>
    <t>Jack López</t>
  </si>
  <si>
    <t>Graham Pauley</t>
  </si>
  <si>
    <t>Buddy Kennedy</t>
  </si>
  <si>
    <t>Myles Straw</t>
  </si>
  <si>
    <t>Akil Baddoo</t>
  </si>
  <si>
    <t>Armando Alvarez</t>
  </si>
  <si>
    <t>1B/2B/3B/OF</t>
  </si>
  <si>
    <t>Diego A. Castillo</t>
  </si>
  <si>
    <t>Rafael Ortega</t>
  </si>
  <si>
    <t>Zack Short</t>
  </si>
  <si>
    <t>Yuli Gurriel</t>
  </si>
  <si>
    <t>Billy McKinney</t>
  </si>
  <si>
    <t>Michael Stefanic</t>
  </si>
  <si>
    <t>Jorge Barrosa</t>
  </si>
  <si>
    <t>Cole Tucker</t>
  </si>
  <si>
    <t>3B/OF/DH</t>
  </si>
  <si>
    <t>Jamie Westbrook</t>
  </si>
  <si>
    <t>Samad Taylor</t>
  </si>
  <si>
    <t>Aaron Hicks</t>
  </si>
  <si>
    <t>Ryan Kreidler</t>
  </si>
  <si>
    <t>J.P. Martínez</t>
  </si>
  <si>
    <t>Conner Capel</t>
  </si>
  <si>
    <t>DaShawn Keirsey Jr.</t>
  </si>
  <si>
    <t>Mason McCoy</t>
  </si>
  <si>
    <t>Jason Vosler</t>
  </si>
  <si>
    <t>Drew Waters</t>
  </si>
  <si>
    <t>Michael Helman</t>
  </si>
  <si>
    <t>Matt Duffy</t>
  </si>
  <si>
    <t>Cade Marlowe</t>
  </si>
  <si>
    <t>Travis Blankenhorn</t>
  </si>
  <si>
    <t>Taylor Trammell</t>
  </si>
  <si>
    <t>Darren Baker</t>
  </si>
  <si>
    <t>Miles Mastrobuoni</t>
  </si>
  <si>
    <t>Ehire Adrianza</t>
  </si>
  <si>
    <t>David Villar</t>
  </si>
  <si>
    <t>Brewer Hicklen</t>
  </si>
  <si>
    <t>Sam Haggerty</t>
  </si>
  <si>
    <t>Braden Shewmake</t>
  </si>
  <si>
    <t>Zach Remillard</t>
  </si>
  <si>
    <t>Pablo Reyes</t>
  </si>
  <si>
    <t>1B/2B/3B/SS/DH</t>
  </si>
  <si>
    <t>Cooper Hummel</t>
  </si>
  <si>
    <t>Sandro Fabian</t>
  </si>
  <si>
    <t>Tyler Gentry</t>
  </si>
  <si>
    <t>Daniel Vogelbach</t>
  </si>
  <si>
    <t>Bryce Teodosio</t>
  </si>
  <si>
    <t>Luis De Los Santos</t>
  </si>
  <si>
    <t>Joey Wendle</t>
  </si>
  <si>
    <t>Donovan Walton</t>
  </si>
  <si>
    <t>José Fermín</t>
  </si>
  <si>
    <t>Javier Sanoja</t>
  </si>
  <si>
    <t>2B/SS/OF/DH</t>
  </si>
  <si>
    <t>CJ Alexander</t>
  </si>
  <si>
    <t>Brian Anderson</t>
  </si>
  <si>
    <t>Owen Miller</t>
  </si>
  <si>
    <t>1B/2B/3B</t>
  </si>
  <si>
    <t>David Fletcher</t>
  </si>
  <si>
    <t>Kyren Paris</t>
  </si>
  <si>
    <t>Jonathan Ornelas</t>
  </si>
  <si>
    <t>Brandon Crawford</t>
  </si>
  <si>
    <t>3B/SS/DH</t>
  </si>
  <si>
    <t>Kameron Misner</t>
  </si>
  <si>
    <t>José Devers</t>
  </si>
  <si>
    <t>Livan Soto</t>
  </si>
  <si>
    <t>Levi Jordan</t>
  </si>
  <si>
    <t>Jacob Amaya</t>
  </si>
  <si>
    <t>Luis Vazquez</t>
  </si>
  <si>
    <t>Vinny Capra</t>
  </si>
  <si>
    <t>Nick Maton</t>
  </si>
  <si>
    <t>Eddy Alvarez</t>
  </si>
  <si>
    <t>Isaac Collins</t>
  </si>
  <si>
    <t>Tristan Gray</t>
  </si>
  <si>
    <t>Tony Kemp</t>
  </si>
  <si>
    <t>Davis Wendzel</t>
  </si>
  <si>
    <t>Matthew Batten</t>
  </si>
  <si>
    <t>Trenton Brooks</t>
  </si>
  <si>
    <t>Niko Goodrum</t>
  </si>
  <si>
    <t>1B/2B/3B/SS/OF</t>
  </si>
  <si>
    <t>Jace Peterson</t>
  </si>
  <si>
    <t>Grae Kessinger</t>
  </si>
  <si>
    <t>Edwin Ríos</t>
  </si>
  <si>
    <t>Mike Ford</t>
  </si>
  <si>
    <t>Aledmys Díaz</t>
  </si>
  <si>
    <t>Mickey Gasper</t>
  </si>
  <si>
    <t>Alan Trejo</t>
  </si>
  <si>
    <t>Justin Foscue</t>
  </si>
  <si>
    <t>IP</t>
  </si>
  <si>
    <t>Tarik Skubal</t>
  </si>
  <si>
    <t>Zack Wheeler</t>
  </si>
  <si>
    <t>Chris Sale</t>
  </si>
  <si>
    <t>Paul Skenes</t>
  </si>
  <si>
    <t>Logan Gilbert</t>
  </si>
  <si>
    <t>Shota Imanaga</t>
  </si>
  <si>
    <t>Emmanuel Clase</t>
  </si>
  <si>
    <t>Bryce Miller</t>
  </si>
  <si>
    <t>Seth Lugo</t>
  </si>
  <si>
    <t>Corbin Burnes</t>
  </si>
  <si>
    <t>Dylan Cease</t>
  </si>
  <si>
    <t>Jack Flaherty</t>
  </si>
  <si>
    <t>Hunter Greene</t>
  </si>
  <si>
    <t>Tyler Holton</t>
  </si>
  <si>
    <t>Reynaldo López</t>
  </si>
  <si>
    <t>Cole Ragans</t>
  </si>
  <si>
    <t>Michael King</t>
  </si>
  <si>
    <t>Kirby Yates</t>
  </si>
  <si>
    <t>Ryan Helsley</t>
  </si>
  <si>
    <t>Raisel Iglesias</t>
  </si>
  <si>
    <t>Sean Manaea</t>
  </si>
  <si>
    <t>Tanner Bibee</t>
  </si>
  <si>
    <t>Ryan Walker</t>
  </si>
  <si>
    <t>José Berríos</t>
  </si>
  <si>
    <t>Aaron Nola</t>
  </si>
  <si>
    <t>Jameson Taillon</t>
  </si>
  <si>
    <t>Robert Suarez</t>
  </si>
  <si>
    <t>Carlos Rodón</t>
  </si>
  <si>
    <t>Josh Hader</t>
  </si>
  <si>
    <t>Tanner Houck</t>
  </si>
  <si>
    <t>Joe Ryan</t>
  </si>
  <si>
    <t>Michael Wacha</t>
  </si>
  <si>
    <t>Tanner Scott</t>
  </si>
  <si>
    <t>Bowden Francis</t>
  </si>
  <si>
    <t>Pablo López</t>
  </si>
  <si>
    <t>Spencer Schwellenbach</t>
  </si>
  <si>
    <t>Luis Castillo</t>
  </si>
  <si>
    <t>Tobias Myers</t>
  </si>
  <si>
    <t>Blake Snell</t>
  </si>
  <si>
    <t>Ranger Suárez</t>
  </si>
  <si>
    <t>Freddy Peralta</t>
  </si>
  <si>
    <t>Erick Fedde</t>
  </si>
  <si>
    <t>Zac Gallen</t>
  </si>
  <si>
    <t>Logan Webb</t>
  </si>
  <si>
    <t>José Buttó</t>
  </si>
  <si>
    <t>Mason Miller</t>
  </si>
  <si>
    <t>OAK</t>
  </si>
  <si>
    <t>Kevin Gausman</t>
  </si>
  <si>
    <t>Hunter Brown</t>
  </si>
  <si>
    <t>Yoshinobu Yamamoto</t>
  </si>
  <si>
    <t>Cristopher Sánchez</t>
  </si>
  <si>
    <t>Grayson Rodriguez</t>
  </si>
  <si>
    <t>Zach Eflin</t>
  </si>
  <si>
    <t>Trevor Williams</t>
  </si>
  <si>
    <t>Nestor Cortes</t>
  </si>
  <si>
    <t>Jared Koenig</t>
  </si>
  <si>
    <t>SP/RP</t>
  </si>
  <si>
    <t>David Peterson</t>
  </si>
  <si>
    <t>Luis L. Ortiz</t>
  </si>
  <si>
    <t>Gavin Stone</t>
  </si>
  <si>
    <t>Gerrit Cole</t>
  </si>
  <si>
    <t>Hunter Gaddis</t>
  </si>
  <si>
    <t>Jakob Junis</t>
  </si>
  <si>
    <t>Cade Smith</t>
  </si>
  <si>
    <t>Matt Strahm</t>
  </si>
  <si>
    <t>Yu Darvish</t>
  </si>
  <si>
    <t>Andrés Muñoz</t>
  </si>
  <si>
    <t>Carlos Estévez</t>
  </si>
  <si>
    <t>Ben Lively</t>
  </si>
  <si>
    <t>Luke Weaver</t>
  </si>
  <si>
    <t>Bryan Hudson</t>
  </si>
  <si>
    <t>Clarke Schmidt</t>
  </si>
  <si>
    <t>Cody Bradford</t>
  </si>
  <si>
    <t>Nick Pivetta</t>
  </si>
  <si>
    <t>Luis Severino</t>
  </si>
  <si>
    <t>Kutter Crawford</t>
  </si>
  <si>
    <t>Alex Vesia</t>
  </si>
  <si>
    <t>Edwin Díaz</t>
  </si>
  <si>
    <t>Shane Baz</t>
  </si>
  <si>
    <t>Brady Singer</t>
  </si>
  <si>
    <t>Zack Littell</t>
  </si>
  <si>
    <t>Jose Quintana</t>
  </si>
  <si>
    <t>Jeff Hoffman</t>
  </si>
  <si>
    <t>Kenley Jansen</t>
  </si>
  <si>
    <t>Cole Sands</t>
  </si>
  <si>
    <t>Michael Lorenzen</t>
  </si>
  <si>
    <t>José Soriano</t>
  </si>
  <si>
    <t>Spencer Turnbull</t>
  </si>
  <si>
    <t>Osvaldo Bido</t>
  </si>
  <si>
    <t>Andrew Abbott</t>
  </si>
  <si>
    <t>Joe Musgrove</t>
  </si>
  <si>
    <t>Jhoan Duran</t>
  </si>
  <si>
    <t>Albert Suárez</t>
  </si>
  <si>
    <t>Tyler Anderson</t>
  </si>
  <si>
    <t>Reese Olson</t>
  </si>
  <si>
    <t>Tyson Miller</t>
  </si>
  <si>
    <t>Colin Rea</t>
  </si>
  <si>
    <t>Ryan Weathers</t>
  </si>
  <si>
    <t>Michael Kopech</t>
  </si>
  <si>
    <t>Dean Kremer</t>
  </si>
  <si>
    <t>Clay Holmes</t>
  </si>
  <si>
    <t>Blake Treinen</t>
  </si>
  <si>
    <t>Daniel Hudson</t>
  </si>
  <si>
    <t>Kyle Finnegan</t>
  </si>
  <si>
    <t>Tim Herrin</t>
  </si>
  <si>
    <t>Ryne Nelson</t>
  </si>
  <si>
    <t>Landon Knack</t>
  </si>
  <si>
    <t>Kyle Bradish</t>
  </si>
  <si>
    <t>Jake Irvin</t>
  </si>
  <si>
    <t>Jason Foley</t>
  </si>
  <si>
    <t>Mitch Keller</t>
  </si>
  <si>
    <t>Porter Hodge</t>
  </si>
  <si>
    <t>Brandon Pfaadt</t>
  </si>
  <si>
    <t>JP Sears</t>
  </si>
  <si>
    <t>Andre Pallante</t>
  </si>
  <si>
    <t>Jeremiah Estrada</t>
  </si>
  <si>
    <t>Brayan Bello</t>
  </si>
  <si>
    <t>Héctor Neris</t>
  </si>
  <si>
    <t>Matthew Boyd</t>
  </si>
  <si>
    <t>Tayler Scott</t>
  </si>
  <si>
    <t>Beau Brieske</t>
  </si>
  <si>
    <t>Alec Marsh</t>
  </si>
  <si>
    <t>Chad Green</t>
  </si>
  <si>
    <t>Merrill Kelly</t>
  </si>
  <si>
    <t>Derek Law</t>
  </si>
  <si>
    <t>Trevor Megill</t>
  </si>
  <si>
    <t>Hogan Harris</t>
  </si>
  <si>
    <t>Kevin Ginkel</t>
  </si>
  <si>
    <t>Kevin Kelly</t>
  </si>
  <si>
    <t>Edwin Uceta</t>
  </si>
  <si>
    <t>Lance Lynn</t>
  </si>
  <si>
    <t>Hayden Wesneski</t>
  </si>
  <si>
    <t>Erik Miller</t>
  </si>
  <si>
    <t>Justin Martinez</t>
  </si>
  <si>
    <t>Ben Brown</t>
  </si>
  <si>
    <t>Alex Faedo</t>
  </si>
  <si>
    <t>Grant Holmes</t>
  </si>
  <si>
    <t>DJ Herz</t>
  </si>
  <si>
    <t>Charlie Morton</t>
  </si>
  <si>
    <t>Keegan Akin</t>
  </si>
  <si>
    <t>Justin Slaten</t>
  </si>
  <si>
    <t>Pete Fairbanks</t>
  </si>
  <si>
    <t>Tylor Megill</t>
  </si>
  <si>
    <t>Dylan Lee</t>
  </si>
  <si>
    <t>Brant Hurter</t>
  </si>
  <si>
    <t>Lucas Erceg</t>
  </si>
  <si>
    <t>Craig Kimbrel</t>
  </si>
  <si>
    <t>Andrew Heaney</t>
  </si>
  <si>
    <t>Aroldis Chapman</t>
  </si>
  <si>
    <t>Joel Payamps</t>
  </si>
  <si>
    <t>Ryan Yarbrough</t>
  </si>
  <si>
    <t>David Robertson</t>
  </si>
  <si>
    <t>A.J. Puk</t>
  </si>
  <si>
    <t>Joe Jiménez</t>
  </si>
  <si>
    <t>Aaron Civale</t>
  </si>
  <si>
    <t>Max Scherzer</t>
  </si>
  <si>
    <t>Bryse Wilson</t>
  </si>
  <si>
    <t>Alexis Díaz</t>
  </si>
  <si>
    <t>Javier Assad</t>
  </si>
  <si>
    <t>Andrew Kittredge</t>
  </si>
  <si>
    <t>Mitchell Parker</t>
  </si>
  <si>
    <t>José Ureña</t>
  </si>
  <si>
    <t>Cooper Criswell</t>
  </si>
  <si>
    <t>Bryan Abreu</t>
  </si>
  <si>
    <t>Hayden Birdsong</t>
  </si>
  <si>
    <t>Simeon Woods Richardson</t>
  </si>
  <si>
    <t>JoJo Romero</t>
  </si>
  <si>
    <t>Joe Ross</t>
  </si>
  <si>
    <t>Ryan Thompson</t>
  </si>
  <si>
    <t>Xzavion Curry</t>
  </si>
  <si>
    <t>Valente Bellozo</t>
  </si>
  <si>
    <t>Kyle Gibson</t>
  </si>
  <si>
    <t>Yimi García</t>
  </si>
  <si>
    <t>Nick Sandlin</t>
  </si>
  <si>
    <t>Bailey Falter</t>
  </si>
  <si>
    <t>Kyle Harrison</t>
  </si>
  <si>
    <t>Paul Blackburn</t>
  </si>
  <si>
    <t>James Paxton</t>
  </si>
  <si>
    <t>Chris Bassitt</t>
  </si>
  <si>
    <t>Tyler Rogers</t>
  </si>
  <si>
    <t>Will Vest</t>
  </si>
  <si>
    <t>Eli Morgan</t>
  </si>
  <si>
    <t>Spencer Arrighetti</t>
  </si>
  <si>
    <t>Matthew Liberatore</t>
  </si>
  <si>
    <t>Jorge Alcala</t>
  </si>
  <si>
    <t>Josh Winckowski</t>
  </si>
  <si>
    <t>Garrett Cleavinger</t>
  </si>
  <si>
    <t>Joey Cantillo</t>
  </si>
  <si>
    <t>Jon Gray</t>
  </si>
  <si>
    <t>Braxton Garrett</t>
  </si>
  <si>
    <t>Jack Kochanowicz</t>
  </si>
  <si>
    <t>Shelby Miller</t>
  </si>
  <si>
    <t>Matt Waldron</t>
  </si>
  <si>
    <t>Manuel Rodríguez</t>
  </si>
  <si>
    <t>Tyler Ferguson</t>
  </si>
  <si>
    <t>Jake Cousins</t>
  </si>
  <si>
    <t>Trent Thornton</t>
  </si>
  <si>
    <t>Bryan Hoeing</t>
  </si>
  <si>
    <t>Collin Snider</t>
  </si>
  <si>
    <t>Yennier Cano</t>
  </si>
  <si>
    <t>Tyler Alexander</t>
  </si>
  <si>
    <t>Jesús Luzardo</t>
  </si>
  <si>
    <t>Pierce Johnson</t>
  </si>
  <si>
    <t>Keider Montero</t>
  </si>
  <si>
    <t>Camilo Doval</t>
  </si>
  <si>
    <t>David Festa</t>
  </si>
  <si>
    <t>Joey Estes</t>
  </si>
  <si>
    <t>Emerson Hancock</t>
  </si>
  <si>
    <t>Buck Farmer</t>
  </si>
  <si>
    <t>JT Chargois</t>
  </si>
  <si>
    <t>Hunter Strickland</t>
  </si>
  <si>
    <t>Ryne Stanek</t>
  </si>
  <si>
    <t>Paul Sewald</t>
  </si>
  <si>
    <t>Christian Scott</t>
  </si>
  <si>
    <t>Joe Mantiply</t>
  </si>
  <si>
    <t>Phil Maton</t>
  </si>
  <si>
    <t>Drew Thorpe</t>
  </si>
  <si>
    <t>Dennis Santana</t>
  </si>
  <si>
    <t>Gavin Williams</t>
  </si>
  <si>
    <t>Carmen Mlodzinski</t>
  </si>
  <si>
    <t>Quinn Priester</t>
  </si>
  <si>
    <t>Adrian Morejon</t>
  </si>
  <si>
    <t>Jonathan Cannon</t>
  </si>
  <si>
    <t>Edward Cabrera</t>
  </si>
  <si>
    <t>Chris Martin</t>
  </si>
  <si>
    <t>Elvis Peguero</t>
  </si>
  <si>
    <t>Jordan Hicks</t>
  </si>
  <si>
    <t>Yuki Matsui</t>
  </si>
  <si>
    <t>Mitch Spence</t>
  </si>
  <si>
    <t>Michael Tonkin</t>
  </si>
  <si>
    <t>José Alvarado</t>
  </si>
  <si>
    <t>Seranthony Domínguez</t>
  </si>
  <si>
    <t>Zack Kelly</t>
  </si>
  <si>
    <t>Jorge López</t>
  </si>
  <si>
    <t>Yariel Rodríguez</t>
  </si>
  <si>
    <t>Marcus Stroman</t>
  </si>
  <si>
    <t>Jacob Webb</t>
  </si>
  <si>
    <t>Eduardo Rodriguez</t>
  </si>
  <si>
    <t>Chris Paddack</t>
  </si>
  <si>
    <t>Jesus Tinoco</t>
  </si>
  <si>
    <t>Dylan Floro</t>
  </si>
  <si>
    <t>José Leclerc</t>
  </si>
  <si>
    <t>Daniel Lynch IV</t>
  </si>
  <si>
    <t>Taylor Rogers</t>
  </si>
  <si>
    <t>Austin Voth</t>
  </si>
  <si>
    <t>Pedro Avila</t>
  </si>
  <si>
    <t>Anthony Banda</t>
  </si>
  <si>
    <t>James McArthur</t>
  </si>
  <si>
    <t>Frankie Montas</t>
  </si>
  <si>
    <t>Sam Long</t>
  </si>
  <si>
    <t>Sam Moll</t>
  </si>
  <si>
    <t>Tyler Phillips</t>
  </si>
  <si>
    <t>John King</t>
  </si>
  <si>
    <t>Anthony Bender</t>
  </si>
  <si>
    <t>José Ruiz</t>
  </si>
  <si>
    <t>Greg Weissert</t>
  </si>
  <si>
    <t>Jacob Barnes</t>
  </si>
  <si>
    <t>Davis Martin</t>
  </si>
  <si>
    <t>Tommy Kahnle</t>
  </si>
  <si>
    <t>Justin Wrobleski</t>
  </si>
  <si>
    <t>Spencer Bivens</t>
  </si>
  <si>
    <t>Calvin Faucher</t>
  </si>
  <si>
    <t>Shawn Armstrong</t>
  </si>
  <si>
    <t>Luis Medina</t>
  </si>
  <si>
    <t>Colin Holderman</t>
  </si>
  <si>
    <t>Brent Suter</t>
  </si>
  <si>
    <t>Adam Oller</t>
  </si>
  <si>
    <t>Carson Fulmer</t>
  </si>
  <si>
    <t>Steven Matz</t>
  </si>
  <si>
    <t>Robert Garcia</t>
  </si>
  <si>
    <t>John Schreiber</t>
  </si>
  <si>
    <t>Jalen Beeks</t>
  </si>
  <si>
    <t>Max Meyer</t>
  </si>
  <si>
    <t>DL Hall</t>
  </si>
  <si>
    <t>Jesse Chavez</t>
  </si>
  <si>
    <t>David Bednar</t>
  </si>
  <si>
    <t>Hoby Milner</t>
  </si>
  <si>
    <t>Aaron Bummer</t>
  </si>
  <si>
    <t>Andrew Chafin</t>
  </si>
  <si>
    <t>Danny Young</t>
  </si>
  <si>
    <t>Michael Soroka</t>
  </si>
  <si>
    <t>Sean Hjelle</t>
  </si>
  <si>
    <t>Ryan Pressly</t>
  </si>
  <si>
    <t>Dane Dunning</t>
  </si>
  <si>
    <t>Justin Verlander</t>
  </si>
  <si>
    <t>Miles Mikolas</t>
  </si>
  <si>
    <t>Scott Alexander</t>
  </si>
  <si>
    <t>Hunter Stratton</t>
  </si>
  <si>
    <t>Graham Ashcraft</t>
  </si>
  <si>
    <t>Ryan Feltner</t>
  </si>
  <si>
    <t>Emilio Pagán</t>
  </si>
  <si>
    <t>Luis García</t>
  </si>
  <si>
    <t>Jordan Wicks</t>
  </si>
  <si>
    <t>Brent Honeywell</t>
  </si>
  <si>
    <t>Cade Povich</t>
  </si>
  <si>
    <t>Seth Martinez</t>
  </si>
  <si>
    <t>Victor Vodnik</t>
  </si>
  <si>
    <t>Tayler Saucedo</t>
  </si>
  <si>
    <t>Scott Barlow</t>
  </si>
  <si>
    <t>Cam Booser</t>
  </si>
  <si>
    <t>Brennan Bernardino</t>
  </si>
  <si>
    <t>Austin Gomber</t>
  </si>
  <si>
    <t>Tanner Banks</t>
  </si>
  <si>
    <t>Randy Rodríguez</t>
  </si>
  <si>
    <t>Colin Poche</t>
  </si>
  <si>
    <t>Kyle Leahy</t>
  </si>
  <si>
    <t>Drew Smyly</t>
  </si>
  <si>
    <t>Wandy Peralta</t>
  </si>
  <si>
    <t>Adam Ottavino</t>
  </si>
  <si>
    <t>Fernando Cruz</t>
  </si>
  <si>
    <t>Triston McKenzie</t>
  </si>
  <si>
    <t>Michael Grove</t>
  </si>
  <si>
    <t>Ryan Fernandez</t>
  </si>
  <si>
    <t>Andrew Nardi</t>
  </si>
  <si>
    <t>Cole Irvin</t>
  </si>
  <si>
    <t>Patrick Sandoval</t>
  </si>
  <si>
    <t>Alex Wood</t>
  </si>
  <si>
    <t>Zebby Matthews</t>
  </si>
  <si>
    <t>Huascar Brazobán</t>
  </si>
  <si>
    <t>Casey Mize</t>
  </si>
  <si>
    <t>Joe Boyle</t>
  </si>
  <si>
    <t>Matt Moore</t>
  </si>
  <si>
    <t>Nick Anderson</t>
  </si>
  <si>
    <t>Martín Pérez</t>
  </si>
  <si>
    <t>Mason Black</t>
  </si>
  <si>
    <t>T.J. McFarland</t>
  </si>
  <si>
    <t>Keaton Winn</t>
  </si>
  <si>
    <t>Tyler Kinley</t>
  </si>
  <si>
    <t>Trevor Richards</t>
  </si>
  <si>
    <t>Kyle Freeland</t>
  </si>
  <si>
    <t>Génesis Cabrera</t>
  </si>
  <si>
    <t>Carson Spiers</t>
  </si>
  <si>
    <t>Tim Hill</t>
  </si>
  <si>
    <t>Sixto Sánchez</t>
  </si>
  <si>
    <t>Hunter Harvey</t>
  </si>
  <si>
    <t>Nate Pearson</t>
  </si>
  <si>
    <t>Brendon Little</t>
  </si>
  <si>
    <t>Landen Roupp</t>
  </si>
  <si>
    <t>Darren McCaughan</t>
  </si>
  <si>
    <t>Randy Vásquez</t>
  </si>
  <si>
    <t>Logan Allen</t>
  </si>
  <si>
    <t>Tommy Henry</t>
  </si>
  <si>
    <t>Bryce Elder</t>
  </si>
  <si>
    <t>Ian Hamilton</t>
  </si>
  <si>
    <t>Gregory Soto</t>
  </si>
  <si>
    <t>Austin Adams</t>
  </si>
  <si>
    <t>Kyle Muller</t>
  </si>
  <si>
    <t>Erik Swanson</t>
  </si>
  <si>
    <t>Jacob Latz</t>
  </si>
  <si>
    <t>Burch Smith</t>
  </si>
  <si>
    <t>Angel Zerpa</t>
  </si>
  <si>
    <t>Steven Okert</t>
  </si>
  <si>
    <t>Declan Cronin</t>
  </si>
  <si>
    <t>Bryce Jarvis</t>
  </si>
  <si>
    <t>Luke Jackson</t>
  </si>
  <si>
    <t>Carlos Carrasco</t>
  </si>
  <si>
    <t>Kyle Nicolas</t>
  </si>
  <si>
    <t>Cionel Pérez</t>
  </si>
  <si>
    <t>Roansy Contreras</t>
  </si>
  <si>
    <t>Walker Buehler</t>
  </si>
  <si>
    <t>Jhony Brito</t>
  </si>
  <si>
    <t>Dillon Tate</t>
  </si>
  <si>
    <t>Shawn Dubin</t>
  </si>
  <si>
    <t>Lucas Sims</t>
  </si>
  <si>
    <t>Cal Quantrill</t>
  </si>
  <si>
    <t>Adrian Houser</t>
  </si>
  <si>
    <t>Caleb Ferguson</t>
  </si>
  <si>
    <t>Justin Anderson</t>
  </si>
  <si>
    <t>Slade Cecconi</t>
  </si>
  <si>
    <t>Nick Nastrini</t>
  </si>
  <si>
    <t>Rafael Montero</t>
  </si>
  <si>
    <t>Chris Stratton</t>
  </si>
  <si>
    <t>Caleb Thielbar</t>
  </si>
  <si>
    <t>Reid Detmers</t>
  </si>
  <si>
    <t>Stephen Kolek</t>
  </si>
  <si>
    <t>Zach Pop</t>
  </si>
  <si>
    <t>Jake Bird</t>
  </si>
  <si>
    <t>Griffin Canning</t>
  </si>
  <si>
    <t>Jonathan Hernández</t>
  </si>
  <si>
    <t>Joey Wentz</t>
  </si>
  <si>
    <t>Jared Shuster</t>
  </si>
  <si>
    <t>Kenta Maeda</t>
  </si>
  <si>
    <t>Justin Wilson</t>
  </si>
  <si>
    <t>Jack Leiter</t>
  </si>
  <si>
    <t>Enyel De Los Santos</t>
  </si>
  <si>
    <t>Mike Baumann</t>
  </si>
  <si>
    <t>John Brebbia</t>
  </si>
  <si>
    <t>Chase Anderson</t>
  </si>
  <si>
    <t>Louis Varland</t>
  </si>
  <si>
    <t>Tanner Rainey</t>
  </si>
  <si>
    <t>Thyago Vieira</t>
  </si>
  <si>
    <t>Chad Kuhl</t>
  </si>
  <si>
    <t>Ross Stripling</t>
  </si>
  <si>
    <t>Brad Keller</t>
  </si>
  <si>
    <t>Trevor Rogers</t>
  </si>
  <si>
    <t>Nick Mears</t>
  </si>
  <si>
    <t>Yohan Ramírez</t>
  </si>
  <si>
    <t>Roddery Muñoz</t>
  </si>
  <si>
    <t>José Suarez</t>
  </si>
  <si>
    <t>Chris Flexen</t>
  </si>
  <si>
    <t>Ty Blach</t>
  </si>
  <si>
    <t>Bobby Miller</t>
  </si>
  <si>
    <t>Jordan Montgomery</t>
  </si>
  <si>
    <t>Kyle Hendricks</t>
  </si>
  <si>
    <t>Tim Mayza</t>
  </si>
  <si>
    <t>Peter Lambert</t>
  </si>
  <si>
    <t>Jordan Weems</t>
  </si>
  <si>
    <t>Dakota Hudson</t>
  </si>
  <si>
    <t>Justin Lawrence</t>
  </si>
  <si>
    <t>Patrick Corbin</t>
  </si>
  <si>
    <t>Taijuan Walker</t>
  </si>
  <si>
    <t>Anthony Molina</t>
  </si>
  <si>
    <t>come back make a new table with player, position, probability, and adp so we can sort with it</t>
  </si>
  <si>
    <t>goal will be to optimize for great season and adp</t>
  </si>
  <si>
    <t>Garrett, Reed</t>
  </si>
  <si>
    <t>NÃºÃ±ez, Dedniel</t>
  </si>
  <si>
    <t>Cousins, Jake</t>
  </si>
  <si>
    <t>Kahnle, Tommy</t>
  </si>
  <si>
    <t>Jax, Griffin</t>
  </si>
  <si>
    <t>Hamilton, Ian</t>
  </si>
  <si>
    <t>Helsley, Ryan</t>
  </si>
  <si>
    <t>Estrada, Jeremiah</t>
  </si>
  <si>
    <t>Santana, Dennis</t>
  </si>
  <si>
    <t>Leiter Jr., Mark</t>
  </si>
  <si>
    <t>Hoffman, Jeff</t>
  </si>
  <si>
    <t>Adam, Jason</t>
  </si>
  <si>
    <t>MuÃ±oz, AndrÃ©s</t>
  </si>
  <si>
    <t>Miller, Mason</t>
  </si>
  <si>
    <t>Chivilli, Angel</t>
  </si>
  <si>
    <t>Holmes, Grant</t>
  </si>
  <si>
    <t>JimÃ©nez, Joe</t>
  </si>
  <si>
    <t>Lee, Dylan</t>
  </si>
  <si>
    <t>Snell, Blake</t>
  </si>
  <si>
    <t>Scott, Tanner</t>
  </si>
  <si>
    <t>Martinez, Justin</t>
  </si>
  <si>
    <t>Yates, Kirby</t>
  </si>
  <si>
    <t>Holton, Tyler</t>
  </si>
  <si>
    <t>Minter, A.J.</t>
  </si>
  <si>
    <t>Iglesias, Raisel</t>
  </si>
  <si>
    <t>Ray, Robbie</t>
  </si>
  <si>
    <t>DÃ­az, Edwin</t>
  </si>
  <si>
    <t>Matsui, Yuki</t>
  </si>
  <si>
    <t>Cano, Yennier</t>
  </si>
  <si>
    <t>Woo, Bryan</t>
  </si>
  <si>
    <t>Rasmussen, Drew</t>
  </si>
  <si>
    <t>Doval, Camilo</t>
  </si>
  <si>
    <t>Clase, Emmanuel</t>
  </si>
  <si>
    <t>Bazardo, Eduard</t>
  </si>
  <si>
    <t>Saucedo, Tayler</t>
  </si>
  <si>
    <t>Barlow, Scott</t>
  </si>
  <si>
    <t>Dedniel NÃºÃ±ez</t>
  </si>
  <si>
    <t>AndrÃ©s MuÃ±oz</t>
  </si>
  <si>
    <t>Angel Chivilli</t>
  </si>
  <si>
    <t>Joe JimÃ©nez</t>
  </si>
  <si>
    <t>A.J. Minter</t>
  </si>
  <si>
    <t>Robbie Ray</t>
  </si>
  <si>
    <t>Edwin DÃ­az</t>
  </si>
  <si>
    <t>Drew Rasmussen</t>
  </si>
  <si>
    <t>Eduard Bazardo</t>
  </si>
  <si>
    <t>Rooker, Brent</t>
  </si>
  <si>
    <t>Position</t>
  </si>
  <si>
    <t>BABIP_Expectation_Batter</t>
  </si>
  <si>
    <t>BABIP_Expectation_Pitcher</t>
  </si>
  <si>
    <t>Regression</t>
  </si>
  <si>
    <t>Andres Munoz</t>
  </si>
  <si>
    <t>Dedniel Nunez</t>
  </si>
  <si>
    <t>Joe Jimenez</t>
  </si>
  <si>
    <t>Edwin Diaz</t>
  </si>
  <si>
    <t>1b</t>
  </si>
  <si>
    <t>c</t>
  </si>
  <si>
    <t>2b</t>
  </si>
  <si>
    <t>3b</t>
  </si>
  <si>
    <t>ss</t>
  </si>
  <si>
    <t>of</t>
  </si>
  <si>
    <t>util</t>
  </si>
  <si>
    <t>sp</t>
  </si>
  <si>
    <t>rp</t>
  </si>
  <si>
    <t>p</t>
  </si>
  <si>
    <t>Wilson Contreras</t>
  </si>
  <si>
    <t>High Round</t>
  </si>
  <si>
    <t>Low Round</t>
  </si>
  <si>
    <t>Ideal Round</t>
  </si>
  <si>
    <t>Target</t>
  </si>
  <si>
    <t>Reach</t>
  </si>
  <si>
    <t>Fallback</t>
  </si>
  <si>
    <t>Vlad Guerrero Jr/Matt Olson</t>
  </si>
  <si>
    <t>Jordan Westburg/Marcus Semien</t>
  </si>
  <si>
    <t>Bryson Stott/Brandon Lowe</t>
  </si>
  <si>
    <t>Rafael Devers/Austin Riley</t>
  </si>
  <si>
    <t>Ezequiel Tovar/Bryson Stott/Masyn Winn</t>
  </si>
  <si>
    <t>Michael Harris/James Wood</t>
  </si>
  <si>
    <t>Michael Harris Jr</t>
  </si>
  <si>
    <t>Blake Snell/Garrett Crochet</t>
  </si>
  <si>
    <t>Tommy Kahnle/Jason Adam/Griffin Jax</t>
  </si>
  <si>
    <t>Reed Garrett/Dedniel Nunez/Dennis Santana</t>
  </si>
  <si>
    <t>Nate Eovaldi</t>
  </si>
  <si>
    <t>Cristopher Sánchez/Reynaldo Lopez/Jared Jones</t>
  </si>
  <si>
    <t>Yordan Alvarez/Ronald Acuna Jr</t>
  </si>
  <si>
    <t>Ronald Acuna/Jackson Merrill</t>
  </si>
  <si>
    <t>Grant Holmes/Ronel Blanco</t>
  </si>
  <si>
    <t>Nick Martinez/Taj Bradley</t>
  </si>
  <si>
    <t>Hunter Greene/Sonny Gray</t>
  </si>
  <si>
    <t>Player Rater</t>
  </si>
  <si>
    <t>Also consider</t>
  </si>
  <si>
    <t>Luisangel Acuna, Roman Anthony, Jac Caglione</t>
  </si>
  <si>
    <t>Roki Sasaki/Hunter Greene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</si>
</sst>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FFFFFF"/>
      <name val="Segoe UI"/>
      <family val="2"/>
    </font>
    <font>
      <sz val="11"/>
      <color rgb="FF000000"/>
      <name val="Segoe UI"/>
      <family val="2"/>
    </font>
    <font>
      <b/>
      <sz val="11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C00000"/>
        <bgColor indexed="64"/>
      </patternFill>
    </fill>
  </fills>
  <borders count="3">
    <border>
      <left/>
      <right/>
      <top/>
      <bottom/>
      <diagonal/>
    </border>
    <border>
      <left/>
      <right style="medium">
        <color rgb="FF333333"/>
      </right>
      <top/>
      <bottom/>
      <diagonal/>
    </border>
    <border>
      <left style="medium">
        <color rgb="FF333333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23">
    <xf numFmtId="0" fontId="0" fillId="0" borderId="0" xfId="0"/>
    <xf numFmtId="0" fontId="2" fillId="0" borderId="0" xfId="0" applyFont="1"/>
    <xf numFmtId="0" fontId="4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horizontal="right" vertical="center" wrapText="1"/>
    </xf>
    <xf numFmtId="0" fontId="4" fillId="3" borderId="1" xfId="0" applyFont="1" applyFill="1" applyBorder="1" applyAlignment="1">
      <alignment horizontal="right" vertical="center" wrapText="1"/>
    </xf>
    <xf numFmtId="0" fontId="4" fillId="3" borderId="2" xfId="0" applyFont="1" applyFill="1" applyBorder="1" applyAlignment="1">
      <alignment horizontal="right" vertical="center" wrapText="1"/>
    </xf>
    <xf numFmtId="0" fontId="5" fillId="2" borderId="0" xfId="0" applyFont="1" applyFill="1" applyAlignment="1">
      <alignment vertical="center"/>
    </xf>
    <xf numFmtId="0" fontId="3" fillId="2" borderId="0" xfId="2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5" fillId="4" borderId="0" xfId="0" applyFont="1" applyFill="1" applyAlignment="1">
      <alignment horizontal="right" vertical="center"/>
    </xf>
    <xf numFmtId="9" fontId="5" fillId="2" borderId="0" xfId="0" applyNumberFormat="1" applyFont="1" applyFill="1" applyAlignment="1">
      <alignment horizontal="right" vertical="center"/>
    </xf>
    <xf numFmtId="9" fontId="5" fillId="2" borderId="1" xfId="0" applyNumberFormat="1" applyFont="1" applyFill="1" applyBorder="1" applyAlignment="1">
      <alignment horizontal="right" vertical="center"/>
    </xf>
    <xf numFmtId="0" fontId="5" fillId="2" borderId="0" xfId="0" applyFont="1" applyFill="1" applyAlignment="1">
      <alignment horizontal="right" vertical="center"/>
    </xf>
    <xf numFmtId="8" fontId="5" fillId="2" borderId="2" xfId="0" applyNumberFormat="1" applyFont="1" applyFill="1" applyBorder="1" applyAlignment="1">
      <alignment horizontal="right" vertical="center"/>
    </xf>
    <xf numFmtId="0" fontId="5" fillId="2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right" vertical="center"/>
    </xf>
    <xf numFmtId="8" fontId="5" fillId="4" borderId="2" xfId="0" applyNumberFormat="1" applyFont="1" applyFill="1" applyBorder="1" applyAlignment="1">
      <alignment horizontal="right" vertical="center"/>
    </xf>
    <xf numFmtId="0" fontId="5" fillId="4" borderId="0" xfId="0" applyFont="1" applyFill="1" applyAlignment="1">
      <alignment horizontal="center" vertical="center"/>
    </xf>
    <xf numFmtId="10" fontId="0" fillId="0" borderId="0" xfId="1" applyNumberFormat="1" applyFont="1"/>
    <xf numFmtId="0" fontId="0" fillId="5" borderId="0" xfId="0" applyFill="1"/>
    <xf numFmtId="10" fontId="0" fillId="5" borderId="0" xfId="1" applyNumberFormat="1" applyFont="1" applyFill="1"/>
    <xf numFmtId="0" fontId="6" fillId="0" borderId="0" xfId="0" applyFont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fangraphs.com/players/ryan-mckenna/19928/stats" TargetMode="External"/><Relationship Id="rId170" Type="http://schemas.openxmlformats.org/officeDocument/2006/relationships/hyperlink" Target="https://www.fangraphs.com/teams/cardinals" TargetMode="External"/><Relationship Id="rId987" Type="http://schemas.openxmlformats.org/officeDocument/2006/relationships/hyperlink" Target="https://www.fangraphs.com/players/amed-rosario/15518/stats" TargetMode="External"/><Relationship Id="rId847" Type="http://schemas.openxmlformats.org/officeDocument/2006/relationships/hyperlink" Target="https://www.fangraphs.com/teams/marlins" TargetMode="External"/><Relationship Id="rId1477" Type="http://schemas.openxmlformats.org/officeDocument/2006/relationships/hyperlink" Target="https://www.fangraphs.com/players/walker-buehler/19374/stats" TargetMode="External"/><Relationship Id="rId1684" Type="http://schemas.openxmlformats.org/officeDocument/2006/relationships/hyperlink" Target="https://www.fangraphs.com/players/tanner-rainey/17610/stats" TargetMode="External"/><Relationship Id="rId1891" Type="http://schemas.openxmlformats.org/officeDocument/2006/relationships/hyperlink" Target="https://www.fangraphs.com/teams/guardians" TargetMode="External"/><Relationship Id="rId707" Type="http://schemas.openxmlformats.org/officeDocument/2006/relationships/hyperlink" Target="https://www.fangraphs.com/teams/phillies" TargetMode="External"/><Relationship Id="rId914" Type="http://schemas.openxmlformats.org/officeDocument/2006/relationships/hyperlink" Target="https://www.fangraphs.com/players/mike-tauchman/15274/stats" TargetMode="External"/><Relationship Id="rId1337" Type="http://schemas.openxmlformats.org/officeDocument/2006/relationships/hyperlink" Target="https://www.fangraphs.com/teams/yankees" TargetMode="External"/><Relationship Id="rId1544" Type="http://schemas.openxmlformats.org/officeDocument/2006/relationships/hyperlink" Target="https://www.fangraphs.com/players/jackson-holliday/31781/stats" TargetMode="External"/><Relationship Id="rId1751" Type="http://schemas.openxmlformats.org/officeDocument/2006/relationships/hyperlink" Target="https://www.fangraphs.com/players/estevan-florial/19151/stats" TargetMode="External"/><Relationship Id="rId43" Type="http://schemas.openxmlformats.org/officeDocument/2006/relationships/hyperlink" Target="https://www.fangraphs.com/players/teoscar-hernandez/13066/stats" TargetMode="External"/><Relationship Id="rId1404" Type="http://schemas.openxmlformats.org/officeDocument/2006/relationships/hyperlink" Target="https://www.fangraphs.com/players/edouard-julien/27534/stats" TargetMode="External"/><Relationship Id="rId1611" Type="http://schemas.openxmlformats.org/officeDocument/2006/relationships/hyperlink" Target="https://www.fangraphs.com/players/jared-shuster/27472/stats" TargetMode="External"/><Relationship Id="rId497" Type="http://schemas.openxmlformats.org/officeDocument/2006/relationships/hyperlink" Target="https://www.fangraphs.com/players/trevor-larnach/21501/stats" TargetMode="External"/><Relationship Id="rId357" Type="http://schemas.openxmlformats.org/officeDocument/2006/relationships/hyperlink" Target="https://www.fangraphs.com/players/jake-cronenworth/18036/stats" TargetMode="External"/><Relationship Id="rId1194" Type="http://schemas.openxmlformats.org/officeDocument/2006/relationships/hyperlink" Target="https://www.fangraphs.com/teams/mets" TargetMode="External"/><Relationship Id="rId2038" Type="http://schemas.openxmlformats.org/officeDocument/2006/relationships/hyperlink" Target="https://www.fangraphs.com/teams/orioles" TargetMode="External"/><Relationship Id="rId217" Type="http://schemas.openxmlformats.org/officeDocument/2006/relationships/hyperlink" Target="https://www.fangraphs.com/players/josh-hader/14212/stats" TargetMode="External"/><Relationship Id="rId564" Type="http://schemas.openxmlformats.org/officeDocument/2006/relationships/hyperlink" Target="https://www.fangraphs.com/players/reese-olson/24968/stats" TargetMode="External"/><Relationship Id="rId771" Type="http://schemas.openxmlformats.org/officeDocument/2006/relationships/hyperlink" Target="https://www.fangraphs.com/teams/mets" TargetMode="External"/><Relationship Id="rId869" Type="http://schemas.openxmlformats.org/officeDocument/2006/relationships/hyperlink" Target="https://www.fangraphs.com/players/christian-vazquez/9774/stats" TargetMode="External"/><Relationship Id="rId1499" Type="http://schemas.openxmlformats.org/officeDocument/2006/relationships/hyperlink" Target="https://www.fangraphs.com/teams/nationals" TargetMode="External"/><Relationship Id="rId424" Type="http://schemas.openxmlformats.org/officeDocument/2006/relationships/hyperlink" Target="https://www.fangraphs.com/teams/brewers" TargetMode="External"/><Relationship Id="rId631" Type="http://schemas.openxmlformats.org/officeDocument/2006/relationships/hyperlink" Target="https://www.fangraphs.com/players/sal-frelick/29622/stats" TargetMode="External"/><Relationship Id="rId729" Type="http://schemas.openxmlformats.org/officeDocument/2006/relationships/hyperlink" Target="https://www.fangraphs.com/players/keegan-akin/19362/stats" TargetMode="External"/><Relationship Id="rId1054" Type="http://schemas.openxmlformats.org/officeDocument/2006/relationships/hyperlink" Target="https://www.fangraphs.com/teams/nationals" TargetMode="External"/><Relationship Id="rId1261" Type="http://schemas.openxmlformats.org/officeDocument/2006/relationships/hyperlink" Target="https://www.fangraphs.com/players/abraham-toro/19844/stats" TargetMode="External"/><Relationship Id="rId1359" Type="http://schemas.openxmlformats.org/officeDocument/2006/relationships/hyperlink" Target="https://www.fangraphs.com/teams/marlins" TargetMode="External"/><Relationship Id="rId936" Type="http://schemas.openxmlformats.org/officeDocument/2006/relationships/hyperlink" Target="https://www.fangraphs.com/teams/rays" TargetMode="External"/><Relationship Id="rId1121" Type="http://schemas.openxmlformats.org/officeDocument/2006/relationships/hyperlink" Target="https://www.fangraphs.com/teams/guardians" TargetMode="External"/><Relationship Id="rId1219" Type="http://schemas.openxmlformats.org/officeDocument/2006/relationships/hyperlink" Target="https://www.fangraphs.com/players/scott-alexander/10591/stats" TargetMode="External"/><Relationship Id="rId1566" Type="http://schemas.openxmlformats.org/officeDocument/2006/relationships/hyperlink" Target="https://www.fangraphs.com/teams/white-sox" TargetMode="External"/><Relationship Id="rId1773" Type="http://schemas.openxmlformats.org/officeDocument/2006/relationships/hyperlink" Target="https://www.fangraphs.com/teams/yankees" TargetMode="External"/><Relationship Id="rId1980" Type="http://schemas.openxmlformats.org/officeDocument/2006/relationships/hyperlink" Target="https://www.fangraphs.com/players/patrick-corbin/9323/stats" TargetMode="External"/><Relationship Id="rId65" Type="http://schemas.openxmlformats.org/officeDocument/2006/relationships/hyperlink" Target="https://www.fangraphs.com/players/bryce-miller/29837/stats" TargetMode="External"/><Relationship Id="rId1426" Type="http://schemas.openxmlformats.org/officeDocument/2006/relationships/hyperlink" Target="https://www.fangraphs.com/teams/blue-jays" TargetMode="External"/><Relationship Id="rId1633" Type="http://schemas.openxmlformats.org/officeDocument/2006/relationships/hyperlink" Target="https://www.fangraphs.com/players/jordan-walker/27475/stats" TargetMode="External"/><Relationship Id="rId1840" Type="http://schemas.openxmlformats.org/officeDocument/2006/relationships/hyperlink" Target="https://www.fangraphs.com/players/jd-davis/16219/stats" TargetMode="External"/><Relationship Id="rId1700" Type="http://schemas.openxmlformats.org/officeDocument/2006/relationships/hyperlink" Target="https://www.fangraphs.com/players/andruw-monasterio/19455/stats" TargetMode="External"/><Relationship Id="rId1938" Type="http://schemas.openxmlformats.org/officeDocument/2006/relationships/hyperlink" Target="https://www.fangraphs.com/teams/giants" TargetMode="External"/><Relationship Id="rId281" Type="http://schemas.openxmlformats.org/officeDocument/2006/relationships/hyperlink" Target="https://www.fangraphs.com/players/ranger-suarez/17277/stats" TargetMode="External"/><Relationship Id="rId141" Type="http://schemas.openxmlformats.org/officeDocument/2006/relationships/hyperlink" Target="https://www.fangraphs.com/players/shea-langeliers/25816/stats" TargetMode="External"/><Relationship Id="rId379" Type="http://schemas.openxmlformats.org/officeDocument/2006/relationships/hyperlink" Target="https://www.fangraphs.com/players/willson-contreras/11609/stats" TargetMode="External"/><Relationship Id="rId586" Type="http://schemas.openxmlformats.org/officeDocument/2006/relationships/hyperlink" Target="https://www.fangraphs.com/teams/nationals" TargetMode="External"/><Relationship Id="rId793" Type="http://schemas.openxmlformats.org/officeDocument/2006/relationships/hyperlink" Target="https://www.fangraphs.com/teams/mets" TargetMode="External"/><Relationship Id="rId7" Type="http://schemas.openxmlformats.org/officeDocument/2006/relationships/hyperlink" Target="https://www.fangraphs.com/players/jose-ramirez/13510/stats" TargetMode="External"/><Relationship Id="rId239" Type="http://schemas.openxmlformats.org/officeDocument/2006/relationships/hyperlink" Target="https://www.fangraphs.com/players/joe-ryan/21390/stats" TargetMode="External"/><Relationship Id="rId446" Type="http://schemas.openxmlformats.org/officeDocument/2006/relationships/hyperlink" Target="https://www.fangraphs.com/teams/rays" TargetMode="External"/><Relationship Id="rId653" Type="http://schemas.openxmlformats.org/officeDocument/2006/relationships/hyperlink" Target="https://www.fangraphs.com/players/beau-brieske/26079/stats" TargetMode="External"/><Relationship Id="rId1076" Type="http://schemas.openxmlformats.org/officeDocument/2006/relationships/hyperlink" Target="https://www.fangraphs.com/teams/twins" TargetMode="External"/><Relationship Id="rId1283" Type="http://schemas.openxmlformats.org/officeDocument/2006/relationships/hyperlink" Target="https://www.fangraphs.com/teams/red-sox" TargetMode="External"/><Relationship Id="rId1490" Type="http://schemas.openxmlformats.org/officeDocument/2006/relationships/hyperlink" Target="https://www.fangraphs.com/players/jakson-reetz/17837/stats" TargetMode="External"/><Relationship Id="rId306" Type="http://schemas.openxmlformats.org/officeDocument/2006/relationships/hyperlink" Target="https://www.fangraphs.com/teams/athletics" TargetMode="External"/><Relationship Id="rId860" Type="http://schemas.openxmlformats.org/officeDocument/2006/relationships/hyperlink" Target="https://www.fangraphs.com/teams/pirates" TargetMode="External"/><Relationship Id="rId958" Type="http://schemas.openxmlformats.org/officeDocument/2006/relationships/hyperlink" Target="https://www.fangraphs.com/teams/phillies" TargetMode="External"/><Relationship Id="rId1143" Type="http://schemas.openxmlformats.org/officeDocument/2006/relationships/hyperlink" Target="https://www.fangraphs.com/teams/red-sox" TargetMode="External"/><Relationship Id="rId1588" Type="http://schemas.openxmlformats.org/officeDocument/2006/relationships/hyperlink" Target="https://www.fangraphs.com/teams/nationals" TargetMode="External"/><Relationship Id="rId1795" Type="http://schemas.openxmlformats.org/officeDocument/2006/relationships/hyperlink" Target="https://www.fangraphs.com/players/brooks-baldwin/31394/stats" TargetMode="External"/><Relationship Id="rId87" Type="http://schemas.openxmlformats.org/officeDocument/2006/relationships/hyperlink" Target="https://www.fangraphs.com/players/jackson-chourio/28806/stats" TargetMode="External"/><Relationship Id="rId513" Type="http://schemas.openxmlformats.org/officeDocument/2006/relationships/hyperlink" Target="https://www.fangraphs.com/players/gabriel-moreno/22664/stats" TargetMode="External"/><Relationship Id="rId720" Type="http://schemas.openxmlformats.org/officeDocument/2006/relationships/hyperlink" Target="https://www.fangraphs.com/teams/braves" TargetMode="External"/><Relationship Id="rId818" Type="http://schemas.openxmlformats.org/officeDocument/2006/relationships/hyperlink" Target="https://www.fangraphs.com/players/tyrone-taylor/13675/stats" TargetMode="External"/><Relationship Id="rId1350" Type="http://schemas.openxmlformats.org/officeDocument/2006/relationships/hyperlink" Target="https://www.fangraphs.com/players/genesis-cabrera/17490/stats" TargetMode="External"/><Relationship Id="rId1448" Type="http://schemas.openxmlformats.org/officeDocument/2006/relationships/hyperlink" Target="https://www.fangraphs.com/players/javier-baez/12979/stats" TargetMode="External"/><Relationship Id="rId1655" Type="http://schemas.openxmlformats.org/officeDocument/2006/relationships/hyperlink" Target="https://www.fangraphs.com/players/nathan-lukes/18123/stats" TargetMode="External"/><Relationship Id="rId1003" Type="http://schemas.openxmlformats.org/officeDocument/2006/relationships/hyperlink" Target="https://www.fangraphs.com/players/drew-thorpe/31967/stats" TargetMode="External"/><Relationship Id="rId1210" Type="http://schemas.openxmlformats.org/officeDocument/2006/relationships/hyperlink" Target="https://www.fangraphs.com/teams/orioles" TargetMode="External"/><Relationship Id="rId1308" Type="http://schemas.openxmlformats.org/officeDocument/2006/relationships/hyperlink" Target="https://www.fangraphs.com/teams/marlins" TargetMode="External"/><Relationship Id="rId1862" Type="http://schemas.openxmlformats.org/officeDocument/2006/relationships/hyperlink" Target="https://www.fangraphs.com/players/cal-stevenson/22411/stats" TargetMode="External"/><Relationship Id="rId1515" Type="http://schemas.openxmlformats.org/officeDocument/2006/relationships/hyperlink" Target="https://www.fangraphs.com/teams/padres" TargetMode="External"/><Relationship Id="rId1722" Type="http://schemas.openxmlformats.org/officeDocument/2006/relationships/hyperlink" Target="https://www.fangraphs.com/teams/blue-jays" TargetMode="External"/><Relationship Id="rId14" Type="http://schemas.openxmlformats.org/officeDocument/2006/relationships/hyperlink" Target="https://www.fangraphs.com/teams/orioles" TargetMode="External"/><Relationship Id="rId163" Type="http://schemas.openxmlformats.org/officeDocument/2006/relationships/hyperlink" Target="https://www.fangraphs.com/players/tanner-bibee/30134/stats" TargetMode="External"/><Relationship Id="rId370" Type="http://schemas.openxmlformats.org/officeDocument/2006/relationships/hyperlink" Target="https://www.fangraphs.com/teams/dodgers" TargetMode="External"/><Relationship Id="rId2051" Type="http://schemas.openxmlformats.org/officeDocument/2006/relationships/hyperlink" Target="https://www.fangraphs.com/players/tristan-gray/19877/stats" TargetMode="External"/><Relationship Id="rId230" Type="http://schemas.openxmlformats.org/officeDocument/2006/relationships/hyperlink" Target="https://www.fangraphs.com/teams/padres" TargetMode="External"/><Relationship Id="rId468" Type="http://schemas.openxmlformats.org/officeDocument/2006/relationships/hyperlink" Target="https://www.fangraphs.com/teams/rays" TargetMode="External"/><Relationship Id="rId675" Type="http://schemas.openxmlformats.org/officeDocument/2006/relationships/hyperlink" Target="https://www.fangraphs.com/players/miguel-amaya/21693/stats" TargetMode="External"/><Relationship Id="rId882" Type="http://schemas.openxmlformats.org/officeDocument/2006/relationships/hyperlink" Target="https://www.fangraphs.com/players/will-vest/19769/stats" TargetMode="External"/><Relationship Id="rId1098" Type="http://schemas.openxmlformats.org/officeDocument/2006/relationships/hyperlink" Target="https://www.fangraphs.com/players/james-mcarthur/21527/stats" TargetMode="External"/><Relationship Id="rId328" Type="http://schemas.openxmlformats.org/officeDocument/2006/relationships/hyperlink" Target="https://www.fangraphs.com/teams/phillies" TargetMode="External"/><Relationship Id="rId535" Type="http://schemas.openxmlformats.org/officeDocument/2006/relationships/hyperlink" Target="https://www.fangraphs.com/teams/royals" TargetMode="External"/><Relationship Id="rId742" Type="http://schemas.openxmlformats.org/officeDocument/2006/relationships/hyperlink" Target="https://www.fangraphs.com/teams/diamondbacks" TargetMode="External"/><Relationship Id="rId1165" Type="http://schemas.openxmlformats.org/officeDocument/2006/relationships/hyperlink" Target="https://www.fangraphs.com/teams/rangers" TargetMode="External"/><Relationship Id="rId1372" Type="http://schemas.openxmlformats.org/officeDocument/2006/relationships/hyperlink" Target="https://www.fangraphs.com/players/nolan-jones/20529/stats" TargetMode="External"/><Relationship Id="rId2009" Type="http://schemas.openxmlformats.org/officeDocument/2006/relationships/hyperlink" Target="https://www.fangraphs.com/teams/mariners" TargetMode="External"/><Relationship Id="rId602" Type="http://schemas.openxmlformats.org/officeDocument/2006/relationships/hyperlink" Target="https://www.fangraphs.com/teams/brewers" TargetMode="External"/><Relationship Id="rId1025" Type="http://schemas.openxmlformats.org/officeDocument/2006/relationships/hyperlink" Target="https://www.fangraphs.com/players/edmundo-sosa/17022/stats" TargetMode="External"/><Relationship Id="rId1232" Type="http://schemas.openxmlformats.org/officeDocument/2006/relationships/hyperlink" Target="https://www.fangraphs.com/players/luis-garcia/6984/stats" TargetMode="External"/><Relationship Id="rId1677" Type="http://schemas.openxmlformats.org/officeDocument/2006/relationships/hyperlink" Target="https://www.fangraphs.com/teams/marlins" TargetMode="External"/><Relationship Id="rId1884" Type="http://schemas.openxmlformats.org/officeDocument/2006/relationships/hyperlink" Target="https://www.fangraphs.com/players/yoan-moncada/17232/stats" TargetMode="External"/><Relationship Id="rId907" Type="http://schemas.openxmlformats.org/officeDocument/2006/relationships/hyperlink" Target="https://www.fangraphs.com/teams/rangers" TargetMode="External"/><Relationship Id="rId1537" Type="http://schemas.openxmlformats.org/officeDocument/2006/relationships/hyperlink" Target="https://www.fangraphs.com/teams/pirates" TargetMode="External"/><Relationship Id="rId1744" Type="http://schemas.openxmlformats.org/officeDocument/2006/relationships/hyperlink" Target="https://www.fangraphs.com/teams/white-sox" TargetMode="External"/><Relationship Id="rId1951" Type="http://schemas.openxmlformats.org/officeDocument/2006/relationships/hyperlink" Target="https://www.fangraphs.com/teams/astros" TargetMode="External"/><Relationship Id="rId36" Type="http://schemas.openxmlformats.org/officeDocument/2006/relationships/hyperlink" Target="https://www.fangraphs.com/teams/diamondbacks" TargetMode="External"/><Relationship Id="rId1604" Type="http://schemas.openxmlformats.org/officeDocument/2006/relationships/hyperlink" Target="https://www.fangraphs.com/teams/rays" TargetMode="External"/><Relationship Id="rId185" Type="http://schemas.openxmlformats.org/officeDocument/2006/relationships/hyperlink" Target="https://www.fangraphs.com/players/brice-turang/22186/stats" TargetMode="External"/><Relationship Id="rId1811" Type="http://schemas.openxmlformats.org/officeDocument/2006/relationships/hyperlink" Target="https://www.fangraphs.com/teams/reds" TargetMode="External"/><Relationship Id="rId1909" Type="http://schemas.openxmlformats.org/officeDocument/2006/relationships/hyperlink" Target="https://www.fangraphs.com/teams/blue-jays" TargetMode="External"/><Relationship Id="rId392" Type="http://schemas.openxmlformats.org/officeDocument/2006/relationships/hyperlink" Target="https://www.fangraphs.com/teams/nationals" TargetMode="External"/><Relationship Id="rId697" Type="http://schemas.openxmlformats.org/officeDocument/2006/relationships/hyperlink" Target="https://www.fangraphs.com/teams/padres" TargetMode="External"/><Relationship Id="rId2073" Type="http://schemas.openxmlformats.org/officeDocument/2006/relationships/hyperlink" Target="https://www.fangraphs.com/players/mike-ford/15585/stats" TargetMode="External"/><Relationship Id="rId252" Type="http://schemas.openxmlformats.org/officeDocument/2006/relationships/hyperlink" Target="https://www.fangraphs.com/teams/diamondbacks" TargetMode="External"/><Relationship Id="rId1187" Type="http://schemas.openxmlformats.org/officeDocument/2006/relationships/hyperlink" Target="https://www.fangraphs.com/players/aaron-bummer/16258/stats" TargetMode="External"/><Relationship Id="rId112" Type="http://schemas.openxmlformats.org/officeDocument/2006/relationships/hyperlink" Target="https://www.fangraphs.com/teams/braves" TargetMode="External"/><Relationship Id="rId557" Type="http://schemas.openxmlformats.org/officeDocument/2006/relationships/hyperlink" Target="https://www.fangraphs.com/teams/orioles" TargetMode="External"/><Relationship Id="rId764" Type="http://schemas.openxmlformats.org/officeDocument/2006/relationships/hyperlink" Target="https://www.fangraphs.com/players/tj-friedl/19522/stats" TargetMode="External"/><Relationship Id="rId971" Type="http://schemas.openxmlformats.org/officeDocument/2006/relationships/hyperlink" Target="https://www.fangraphs.com/players/joey-estes/26257/stats" TargetMode="External"/><Relationship Id="rId1394" Type="http://schemas.openxmlformats.org/officeDocument/2006/relationships/hyperlink" Target="https://www.fangraphs.com/players/logan-allen/27589/stats" TargetMode="External"/><Relationship Id="rId1699" Type="http://schemas.openxmlformats.org/officeDocument/2006/relationships/hyperlink" Target="https://www.fangraphs.com/teams/giants" TargetMode="External"/><Relationship Id="rId2000" Type="http://schemas.openxmlformats.org/officeDocument/2006/relationships/hyperlink" Target="https://www.fangraphs.com/players/tyler-black/29949/stats" TargetMode="External"/><Relationship Id="rId417" Type="http://schemas.openxmlformats.org/officeDocument/2006/relationships/hyperlink" Target="https://www.fangraphs.com/players/nathaniel-lowe/19566/stats" TargetMode="External"/><Relationship Id="rId624" Type="http://schemas.openxmlformats.org/officeDocument/2006/relationships/hyperlink" Target="https://www.fangraphs.com/teams/pirates" TargetMode="External"/><Relationship Id="rId831" Type="http://schemas.openxmlformats.org/officeDocument/2006/relationships/hyperlink" Target="https://www.fangraphs.com/teams/mets" TargetMode="External"/><Relationship Id="rId1047" Type="http://schemas.openxmlformats.org/officeDocument/2006/relationships/hyperlink" Target="https://www.fangraphs.com/players/jose-alvarado/17780/stats" TargetMode="External"/><Relationship Id="rId1254" Type="http://schemas.openxmlformats.org/officeDocument/2006/relationships/hyperlink" Target="https://www.fangraphs.com/teams/white-sox" TargetMode="External"/><Relationship Id="rId1461" Type="http://schemas.openxmlformats.org/officeDocument/2006/relationships/hyperlink" Target="https://www.fangraphs.com/teams/orioles" TargetMode="External"/><Relationship Id="rId929" Type="http://schemas.openxmlformats.org/officeDocument/2006/relationships/hyperlink" Target="https://www.fangraphs.com/players/gio-urshela/10681/stats" TargetMode="External"/><Relationship Id="rId1114" Type="http://schemas.openxmlformats.org/officeDocument/2006/relationships/hyperlink" Target="https://www.fangraphs.com/players/john-king/22051/stats" TargetMode="External"/><Relationship Id="rId1321" Type="http://schemas.openxmlformats.org/officeDocument/2006/relationships/hyperlink" Target="https://www.fangraphs.com/players/matt-moore/1890/stats" TargetMode="External"/><Relationship Id="rId1559" Type="http://schemas.openxmlformats.org/officeDocument/2006/relationships/hyperlink" Target="https://www.fangraphs.com/players/justyn-henry-malloy/29606/stats" TargetMode="External"/><Relationship Id="rId1766" Type="http://schemas.openxmlformats.org/officeDocument/2006/relationships/hyperlink" Target="https://www.fangraphs.com/players/cristian-pache/19948/stats" TargetMode="External"/><Relationship Id="rId1973" Type="http://schemas.openxmlformats.org/officeDocument/2006/relationships/hyperlink" Target="https://www.fangraphs.com/players/zach-remillard/19788/stats" TargetMode="External"/><Relationship Id="rId58" Type="http://schemas.openxmlformats.org/officeDocument/2006/relationships/hyperlink" Target="https://www.fangraphs.com/teams/astros" TargetMode="External"/><Relationship Id="rId1419" Type="http://schemas.openxmlformats.org/officeDocument/2006/relationships/hyperlink" Target="https://www.fangraphs.com/players/alex-jackson/17276/stats" TargetMode="External"/><Relationship Id="rId1626" Type="http://schemas.openxmlformats.org/officeDocument/2006/relationships/hyperlink" Target="https://www.fangraphs.com/teams/white-sox" TargetMode="External"/><Relationship Id="rId1833" Type="http://schemas.openxmlformats.org/officeDocument/2006/relationships/hyperlink" Target="https://www.fangraphs.com/teams/braves" TargetMode="External"/><Relationship Id="rId1900" Type="http://schemas.openxmlformats.org/officeDocument/2006/relationships/hyperlink" Target="https://www.fangraphs.com/players/diego-a-castillo/19906/stats" TargetMode="External"/><Relationship Id="rId274" Type="http://schemas.openxmlformats.org/officeDocument/2006/relationships/hyperlink" Target="https://www.fangraphs.com/teams/mariners" TargetMode="External"/><Relationship Id="rId481" Type="http://schemas.openxmlformats.org/officeDocument/2006/relationships/hyperlink" Target="https://www.fangraphs.com/players/brendan-rodgers/17907/stats" TargetMode="External"/><Relationship Id="rId134" Type="http://schemas.openxmlformats.org/officeDocument/2006/relationships/hyperlink" Target="https://www.fangraphs.com/teams/cardinals" TargetMode="External"/><Relationship Id="rId579" Type="http://schemas.openxmlformats.org/officeDocument/2006/relationships/hyperlink" Target="https://www.fangraphs.com/teams/mets" TargetMode="External"/><Relationship Id="rId786" Type="http://schemas.openxmlformats.org/officeDocument/2006/relationships/hyperlink" Target="https://www.fangraphs.com/teams/pirates" TargetMode="External"/><Relationship Id="rId993" Type="http://schemas.openxmlformats.org/officeDocument/2006/relationships/hyperlink" Target="https://www.fangraphs.com/players/hunter-strickland/7836/stats" TargetMode="External"/><Relationship Id="rId341" Type="http://schemas.openxmlformats.org/officeDocument/2006/relationships/hyperlink" Target="https://www.fangraphs.com/players/paul-goldschmidt/9218/stats" TargetMode="External"/><Relationship Id="rId439" Type="http://schemas.openxmlformats.org/officeDocument/2006/relationships/hyperlink" Target="https://www.fangraphs.com/players/bryan-de-la-cruz/19600/stats" TargetMode="External"/><Relationship Id="rId646" Type="http://schemas.openxmlformats.org/officeDocument/2006/relationships/hyperlink" Target="https://www.fangraphs.com/teams/twins" TargetMode="External"/><Relationship Id="rId1069" Type="http://schemas.openxmlformats.org/officeDocument/2006/relationships/hyperlink" Target="https://www.fangraphs.com/players/eduardo-rodriguez/13164/stats" TargetMode="External"/><Relationship Id="rId1276" Type="http://schemas.openxmlformats.org/officeDocument/2006/relationships/hyperlink" Target="https://www.fangraphs.com/teams/tigers" TargetMode="External"/><Relationship Id="rId1483" Type="http://schemas.openxmlformats.org/officeDocument/2006/relationships/hyperlink" Target="https://www.fangraphs.com/teams/padres" TargetMode="External"/><Relationship Id="rId2022" Type="http://schemas.openxmlformats.org/officeDocument/2006/relationships/hyperlink" Target="https://www.fangraphs.com/teams/mariners" TargetMode="External"/><Relationship Id="rId201" Type="http://schemas.openxmlformats.org/officeDocument/2006/relationships/hyperlink" Target="https://www.fangraphs.com/players/wyatt-langford/33333/stats" TargetMode="External"/><Relationship Id="rId506" Type="http://schemas.openxmlformats.org/officeDocument/2006/relationships/hyperlink" Target="https://www.fangraphs.com/teams/royals" TargetMode="External"/><Relationship Id="rId853" Type="http://schemas.openxmlformats.org/officeDocument/2006/relationships/hyperlink" Target="https://www.fangraphs.com/players/mauricio-dubon/16530/stats" TargetMode="External"/><Relationship Id="rId1136" Type="http://schemas.openxmlformats.org/officeDocument/2006/relationships/hyperlink" Target="https://www.fangraphs.com/players/eric-haase/14111/stats" TargetMode="External"/><Relationship Id="rId1690" Type="http://schemas.openxmlformats.org/officeDocument/2006/relationships/hyperlink" Target="https://www.fangraphs.com/players/garrett-hampson/19262/stats" TargetMode="External"/><Relationship Id="rId1788" Type="http://schemas.openxmlformats.org/officeDocument/2006/relationships/hyperlink" Target="https://www.fangraphs.com/teams/padres" TargetMode="External"/><Relationship Id="rId1995" Type="http://schemas.openxmlformats.org/officeDocument/2006/relationships/hyperlink" Target="https://www.fangraphs.com/teams/cardinals" TargetMode="External"/><Relationship Id="rId713" Type="http://schemas.openxmlformats.org/officeDocument/2006/relationships/hyperlink" Target="https://www.fangraphs.com/teams/cubs" TargetMode="External"/><Relationship Id="rId920" Type="http://schemas.openxmlformats.org/officeDocument/2006/relationships/hyperlink" Target="https://www.fangraphs.com/players/mj-melendez/22197/stats" TargetMode="External"/><Relationship Id="rId1343" Type="http://schemas.openxmlformats.org/officeDocument/2006/relationships/hyperlink" Target="https://www.fangraphs.com/teams/astros" TargetMode="External"/><Relationship Id="rId1550" Type="http://schemas.openxmlformats.org/officeDocument/2006/relationships/hyperlink" Target="https://www.fangraphs.com/players/adam-frazier/15223/stats" TargetMode="External"/><Relationship Id="rId1648" Type="http://schemas.openxmlformats.org/officeDocument/2006/relationships/hyperlink" Target="https://www.fangraphs.com/teams/giants" TargetMode="External"/><Relationship Id="rId1203" Type="http://schemas.openxmlformats.org/officeDocument/2006/relationships/hyperlink" Target="https://www.fangraphs.com/players/reese-mcguire/15674/stats" TargetMode="External"/><Relationship Id="rId1410" Type="http://schemas.openxmlformats.org/officeDocument/2006/relationships/hyperlink" Target="https://www.fangraphs.com/players/gregory-soto/19677/stats" TargetMode="External"/><Relationship Id="rId1508" Type="http://schemas.openxmlformats.org/officeDocument/2006/relationships/hyperlink" Target="https://www.fangraphs.com/players/ali-sanchez/18551/stats" TargetMode="External"/><Relationship Id="rId1855" Type="http://schemas.openxmlformats.org/officeDocument/2006/relationships/hyperlink" Target="https://www.fangraphs.com/teams/pirates" TargetMode="External"/><Relationship Id="rId1715" Type="http://schemas.openxmlformats.org/officeDocument/2006/relationships/hyperlink" Target="https://www.fangraphs.com/teams/athletics" TargetMode="External"/><Relationship Id="rId1922" Type="http://schemas.openxmlformats.org/officeDocument/2006/relationships/hyperlink" Target="https://www.fangraphs.com/teams/mariners" TargetMode="External"/><Relationship Id="rId296" Type="http://schemas.openxmlformats.org/officeDocument/2006/relationships/hyperlink" Target="https://www.fangraphs.com/teams/cardinals" TargetMode="External"/><Relationship Id="rId156" Type="http://schemas.openxmlformats.org/officeDocument/2006/relationships/hyperlink" Target="https://www.fangraphs.com/teams/pirates" TargetMode="External"/><Relationship Id="rId363" Type="http://schemas.openxmlformats.org/officeDocument/2006/relationships/hyperlink" Target="https://www.fangraphs.com/players/david-peterson/20302/stats" TargetMode="External"/><Relationship Id="rId570" Type="http://schemas.openxmlformats.org/officeDocument/2006/relationships/hyperlink" Target="https://www.fangraphs.com/players/ryan-weathers/23796/stats" TargetMode="External"/><Relationship Id="rId2044" Type="http://schemas.openxmlformats.org/officeDocument/2006/relationships/hyperlink" Target="https://www.fangraphs.com/teams/braves" TargetMode="External"/><Relationship Id="rId223" Type="http://schemas.openxmlformats.org/officeDocument/2006/relationships/hyperlink" Target="https://www.fangraphs.com/players/tanner-houck/19879/stats" TargetMode="External"/><Relationship Id="rId430" Type="http://schemas.openxmlformats.org/officeDocument/2006/relationships/hyperlink" Target="https://www.fangraphs.com/teams/rangers" TargetMode="External"/><Relationship Id="rId668" Type="http://schemas.openxmlformats.org/officeDocument/2006/relationships/hyperlink" Target="https://www.fangraphs.com/teams/diamondbacks" TargetMode="External"/><Relationship Id="rId875" Type="http://schemas.openxmlformats.org/officeDocument/2006/relationships/hyperlink" Target="https://www.fangraphs.com/teams/blue-jays" TargetMode="External"/><Relationship Id="rId1060" Type="http://schemas.openxmlformats.org/officeDocument/2006/relationships/hyperlink" Target="https://www.fangraphs.com/teams/brewers" TargetMode="External"/><Relationship Id="rId1298" Type="http://schemas.openxmlformats.org/officeDocument/2006/relationships/hyperlink" Target="https://www.fangraphs.com/teams/marlins" TargetMode="External"/><Relationship Id="rId528" Type="http://schemas.openxmlformats.org/officeDocument/2006/relationships/hyperlink" Target="https://www.fangraphs.com/players/charlie-blackmon/7859/stats" TargetMode="External"/><Relationship Id="rId735" Type="http://schemas.openxmlformats.org/officeDocument/2006/relationships/hyperlink" Target="https://www.fangraphs.com/players/kyle-isbel/21614/stats" TargetMode="External"/><Relationship Id="rId942" Type="http://schemas.openxmlformats.org/officeDocument/2006/relationships/hyperlink" Target="https://www.fangraphs.com/teams/athletics" TargetMode="External"/><Relationship Id="rId1158" Type="http://schemas.openxmlformats.org/officeDocument/2006/relationships/hyperlink" Target="https://www.fangraphs.com/players/carson-fulmer/18311/stats" TargetMode="External"/><Relationship Id="rId1365" Type="http://schemas.openxmlformats.org/officeDocument/2006/relationships/hyperlink" Target="https://www.fangraphs.com/teams/reds" TargetMode="External"/><Relationship Id="rId1572" Type="http://schemas.openxmlformats.org/officeDocument/2006/relationships/hyperlink" Target="https://www.fangraphs.com/teams/cubs" TargetMode="External"/><Relationship Id="rId1018" Type="http://schemas.openxmlformats.org/officeDocument/2006/relationships/hyperlink" Target="https://www.fangraphs.com/teams/red-sox" TargetMode="External"/><Relationship Id="rId1225" Type="http://schemas.openxmlformats.org/officeDocument/2006/relationships/hyperlink" Target="https://www.fangraphs.com/teams/pirates" TargetMode="External"/><Relationship Id="rId1432" Type="http://schemas.openxmlformats.org/officeDocument/2006/relationships/hyperlink" Target="https://www.fangraphs.com/players/luke-maile/13355/stats" TargetMode="External"/><Relationship Id="rId1877" Type="http://schemas.openxmlformats.org/officeDocument/2006/relationships/hyperlink" Target="https://www.fangraphs.com/players/tim-mayza/15042/stats" TargetMode="External"/><Relationship Id="rId71" Type="http://schemas.openxmlformats.org/officeDocument/2006/relationships/hyperlink" Target="https://www.fangraphs.com/players/jurickson-profar/10815/stats" TargetMode="External"/><Relationship Id="rId802" Type="http://schemas.openxmlformats.org/officeDocument/2006/relationships/hyperlink" Target="https://www.fangraphs.com/players/andrew-kittredge/12828/stats" TargetMode="External"/><Relationship Id="rId1737" Type="http://schemas.openxmlformats.org/officeDocument/2006/relationships/hyperlink" Target="https://www.fangraphs.com/players/eli-white/19346/stats" TargetMode="External"/><Relationship Id="rId1944" Type="http://schemas.openxmlformats.org/officeDocument/2006/relationships/hyperlink" Target="https://www.fangraphs.com/players/thomas-saggese/27883/stats" TargetMode="External"/><Relationship Id="rId29" Type="http://schemas.openxmlformats.org/officeDocument/2006/relationships/hyperlink" Target="https://www.fangraphs.com/players/brent-rooker/19627/stats" TargetMode="External"/><Relationship Id="rId178" Type="http://schemas.openxmlformats.org/officeDocument/2006/relationships/hyperlink" Target="https://www.fangraphs.com/teams/phillies" TargetMode="External"/><Relationship Id="rId1804" Type="http://schemas.openxmlformats.org/officeDocument/2006/relationships/hyperlink" Target="https://www.fangraphs.com/players/bobby-miller/27483/stats" TargetMode="External"/><Relationship Id="rId385" Type="http://schemas.openxmlformats.org/officeDocument/2006/relationships/hyperlink" Target="https://www.fangraphs.com/players/michael-busch/26319/stats" TargetMode="External"/><Relationship Id="rId592" Type="http://schemas.openxmlformats.org/officeDocument/2006/relationships/hyperlink" Target="https://www.fangraphs.com/teams/reds" TargetMode="External"/><Relationship Id="rId2066" Type="http://schemas.openxmlformats.org/officeDocument/2006/relationships/hyperlink" Target="https://www.fangraphs.com/teams/diamondbacks" TargetMode="External"/><Relationship Id="rId245" Type="http://schemas.openxmlformats.org/officeDocument/2006/relationships/hyperlink" Target="https://www.fangraphs.com/players/lawrence-butler/22542/stats" TargetMode="External"/><Relationship Id="rId452" Type="http://schemas.openxmlformats.org/officeDocument/2006/relationships/hyperlink" Target="https://www.fangraphs.com/teams/red-sox" TargetMode="External"/><Relationship Id="rId897" Type="http://schemas.openxmlformats.org/officeDocument/2006/relationships/hyperlink" Target="https://www.fangraphs.com/teams/reds" TargetMode="External"/><Relationship Id="rId1082" Type="http://schemas.openxmlformats.org/officeDocument/2006/relationships/hyperlink" Target="https://www.fangraphs.com/players/jose-leclerc/14524/stats" TargetMode="External"/><Relationship Id="rId105" Type="http://schemas.openxmlformats.org/officeDocument/2006/relationships/hyperlink" Target="https://www.fangraphs.com/players/freddie-freeman/5361/stats" TargetMode="External"/><Relationship Id="rId312" Type="http://schemas.openxmlformats.org/officeDocument/2006/relationships/hyperlink" Target="https://www.fangraphs.com/teams/marlins" TargetMode="External"/><Relationship Id="rId757" Type="http://schemas.openxmlformats.org/officeDocument/2006/relationships/hyperlink" Target="https://www.fangraphs.com/teams/rays" TargetMode="External"/><Relationship Id="rId964" Type="http://schemas.openxmlformats.org/officeDocument/2006/relationships/hyperlink" Target="https://www.fangraphs.com/teams/giants" TargetMode="External"/><Relationship Id="rId1387" Type="http://schemas.openxmlformats.org/officeDocument/2006/relationships/hyperlink" Target="https://www.fangraphs.com/teams/rangers" TargetMode="External"/><Relationship Id="rId1594" Type="http://schemas.openxmlformats.org/officeDocument/2006/relationships/hyperlink" Target="https://www.fangraphs.com/teams/rays" TargetMode="External"/><Relationship Id="rId93" Type="http://schemas.openxmlformats.org/officeDocument/2006/relationships/hyperlink" Target="https://www.fangraphs.com/players/trea-turner/16252/stats" TargetMode="External"/><Relationship Id="rId617" Type="http://schemas.openxmlformats.org/officeDocument/2006/relationships/hyperlink" Target="https://www.fangraphs.com/players/jacob-stallings/13723/stats" TargetMode="External"/><Relationship Id="rId824" Type="http://schemas.openxmlformats.org/officeDocument/2006/relationships/hyperlink" Target="https://www.fangraphs.com/players/cooper-criswell/24975/stats" TargetMode="External"/><Relationship Id="rId1247" Type="http://schemas.openxmlformats.org/officeDocument/2006/relationships/hyperlink" Target="https://www.fangraphs.com/players/victor-vodnik/24614/stats" TargetMode="External"/><Relationship Id="rId1454" Type="http://schemas.openxmlformats.org/officeDocument/2006/relationships/hyperlink" Target="https://www.fangraphs.com/players/hunter-feduccia/23372/stats" TargetMode="External"/><Relationship Id="rId1661" Type="http://schemas.openxmlformats.org/officeDocument/2006/relationships/hyperlink" Target="https://www.fangraphs.com/players/jung-hoo-lee/33824/stats" TargetMode="External"/><Relationship Id="rId1899" Type="http://schemas.openxmlformats.org/officeDocument/2006/relationships/hyperlink" Target="https://www.fangraphs.com/teams/cardinals" TargetMode="External"/><Relationship Id="rId1107" Type="http://schemas.openxmlformats.org/officeDocument/2006/relationships/hyperlink" Target="https://www.fangraphs.com/teams/royals" TargetMode="External"/><Relationship Id="rId1314" Type="http://schemas.openxmlformats.org/officeDocument/2006/relationships/hyperlink" Target="https://www.fangraphs.com/teams/tigers" TargetMode="External"/><Relationship Id="rId1521" Type="http://schemas.openxmlformats.org/officeDocument/2006/relationships/hyperlink" Target="https://www.fangraphs.com/teams/red-sox" TargetMode="External"/><Relationship Id="rId1759" Type="http://schemas.openxmlformats.org/officeDocument/2006/relationships/hyperlink" Target="https://www.fangraphs.com/teams/pirates" TargetMode="External"/><Relationship Id="rId1966" Type="http://schemas.openxmlformats.org/officeDocument/2006/relationships/hyperlink" Target="https://www.fangraphs.com/teams/brewers" TargetMode="External"/><Relationship Id="rId1619" Type="http://schemas.openxmlformats.org/officeDocument/2006/relationships/hyperlink" Target="https://www.fangraphs.com/players/dylan-carlson/20126/stats" TargetMode="External"/><Relationship Id="rId1826" Type="http://schemas.openxmlformats.org/officeDocument/2006/relationships/hyperlink" Target="https://www.fangraphs.com/players/miguel-sano/12164/stats" TargetMode="External"/><Relationship Id="rId20" Type="http://schemas.openxmlformats.org/officeDocument/2006/relationships/hyperlink" Target="https://www.fangraphs.com/teams/braves" TargetMode="External"/><Relationship Id="rId267" Type="http://schemas.openxmlformats.org/officeDocument/2006/relationships/hyperlink" Target="https://www.fangraphs.com/players/masyn-winn/27479/stats" TargetMode="External"/><Relationship Id="rId474" Type="http://schemas.openxmlformats.org/officeDocument/2006/relationships/hyperlink" Target="https://www.fangraphs.com/teams/rockies" TargetMode="External"/><Relationship Id="rId127" Type="http://schemas.openxmlformats.org/officeDocument/2006/relationships/hyperlink" Target="https://www.fangraphs.com/players/pete-alonso/19251/stats" TargetMode="External"/><Relationship Id="rId681" Type="http://schemas.openxmlformats.org/officeDocument/2006/relationships/hyperlink" Target="https://www.fangraphs.com/players/hogan-harris/21520/stats" TargetMode="External"/><Relationship Id="rId779" Type="http://schemas.openxmlformats.org/officeDocument/2006/relationships/hyperlink" Target="https://www.fangraphs.com/players/aj-puk/19343/stats" TargetMode="External"/><Relationship Id="rId986" Type="http://schemas.openxmlformats.org/officeDocument/2006/relationships/hyperlink" Target="https://www.fangraphs.com/teams/astros" TargetMode="External"/><Relationship Id="rId334" Type="http://schemas.openxmlformats.org/officeDocument/2006/relationships/hyperlink" Target="https://www.fangraphs.com/teams/orioles" TargetMode="External"/><Relationship Id="rId541" Type="http://schemas.openxmlformats.org/officeDocument/2006/relationships/hyperlink" Target="https://www.fangraphs.com/teams/athletics" TargetMode="External"/><Relationship Id="rId639" Type="http://schemas.openxmlformats.org/officeDocument/2006/relationships/hyperlink" Target="https://www.fangraphs.com/players/hector-neris/11804/stats" TargetMode="External"/><Relationship Id="rId1171" Type="http://schemas.openxmlformats.org/officeDocument/2006/relationships/hyperlink" Target="https://www.fangraphs.com/players/max-meyer/27474/stats" TargetMode="External"/><Relationship Id="rId1269" Type="http://schemas.openxmlformats.org/officeDocument/2006/relationships/hyperlink" Target="https://www.fangraphs.com/players/randy-rodriguez/23974/stats" TargetMode="External"/><Relationship Id="rId1476" Type="http://schemas.openxmlformats.org/officeDocument/2006/relationships/hyperlink" Target="https://www.fangraphs.com/teams/tigers" TargetMode="External"/><Relationship Id="rId2015" Type="http://schemas.openxmlformats.org/officeDocument/2006/relationships/hyperlink" Target="https://www.fangraphs.com/players/kameron-misner/26374/stats" TargetMode="External"/><Relationship Id="rId401" Type="http://schemas.openxmlformats.org/officeDocument/2006/relationships/hyperlink" Target="https://www.fangraphs.com/players/jordan-westburg/27815/stats" TargetMode="External"/><Relationship Id="rId846" Type="http://schemas.openxmlformats.org/officeDocument/2006/relationships/hyperlink" Target="https://www.fangraphs.com/players/valente-bellozo/23899/stats" TargetMode="External"/><Relationship Id="rId1031" Type="http://schemas.openxmlformats.org/officeDocument/2006/relationships/hyperlink" Target="https://www.fangraphs.com/players/josh-rojas/19734/stats" TargetMode="External"/><Relationship Id="rId1129" Type="http://schemas.openxmlformats.org/officeDocument/2006/relationships/hyperlink" Target="https://www.fangraphs.com/teams/mariners" TargetMode="External"/><Relationship Id="rId1683" Type="http://schemas.openxmlformats.org/officeDocument/2006/relationships/hyperlink" Target="https://www.fangraphs.com/teams/twins" TargetMode="External"/><Relationship Id="rId1890" Type="http://schemas.openxmlformats.org/officeDocument/2006/relationships/hyperlink" Target="https://www.fangraphs.com/players/johnathan-rodriguez/22530/stats" TargetMode="External"/><Relationship Id="rId1988" Type="http://schemas.openxmlformats.org/officeDocument/2006/relationships/hyperlink" Target="https://www.fangraphs.com/teams/angels" TargetMode="External"/><Relationship Id="rId706" Type="http://schemas.openxmlformats.org/officeDocument/2006/relationships/hyperlink" Target="https://www.fangraphs.com/players/orion-kerkering/31776/stats" TargetMode="External"/><Relationship Id="rId913" Type="http://schemas.openxmlformats.org/officeDocument/2006/relationships/hyperlink" Target="https://www.fangraphs.com/teams/angels" TargetMode="External"/><Relationship Id="rId1336" Type="http://schemas.openxmlformats.org/officeDocument/2006/relationships/hyperlink" Target="https://www.fangraphs.com/players/dominic-smith/15653/stats" TargetMode="External"/><Relationship Id="rId1543" Type="http://schemas.openxmlformats.org/officeDocument/2006/relationships/hyperlink" Target="https://www.fangraphs.com/teams/pirates" TargetMode="External"/><Relationship Id="rId1750" Type="http://schemas.openxmlformats.org/officeDocument/2006/relationships/hyperlink" Target="https://www.fangraphs.com/teams/nationals" TargetMode="External"/><Relationship Id="rId42" Type="http://schemas.openxmlformats.org/officeDocument/2006/relationships/hyperlink" Target="https://www.fangraphs.com/teams/phillies" TargetMode="External"/><Relationship Id="rId1403" Type="http://schemas.openxmlformats.org/officeDocument/2006/relationships/hyperlink" Target="https://www.fangraphs.com/teams/cubs" TargetMode="External"/><Relationship Id="rId1610" Type="http://schemas.openxmlformats.org/officeDocument/2006/relationships/hyperlink" Target="https://www.fangraphs.com/teams/pirates" TargetMode="External"/><Relationship Id="rId1848" Type="http://schemas.openxmlformats.org/officeDocument/2006/relationships/hyperlink" Target="https://www.fangraphs.com/players/jahmai-jones/18872/stats" TargetMode="External"/><Relationship Id="rId191" Type="http://schemas.openxmlformats.org/officeDocument/2006/relationships/hyperlink" Target="https://www.fangraphs.com/players/lourdes-gurriel-jr/19238/stats" TargetMode="External"/><Relationship Id="rId1708" Type="http://schemas.openxmlformats.org/officeDocument/2006/relationships/hyperlink" Target="https://www.fangraphs.com/players/trevor-story/12564/stats" TargetMode="External"/><Relationship Id="rId1915" Type="http://schemas.openxmlformats.org/officeDocument/2006/relationships/hyperlink" Target="https://www.fangraphs.com/teams/angels" TargetMode="External"/><Relationship Id="rId289" Type="http://schemas.openxmlformats.org/officeDocument/2006/relationships/hyperlink" Target="https://www.fangraphs.com/players/zac-gallen/19291/stats" TargetMode="External"/><Relationship Id="rId496" Type="http://schemas.openxmlformats.org/officeDocument/2006/relationships/hyperlink" Target="https://www.fangraphs.com/teams/blue-jays" TargetMode="External"/><Relationship Id="rId149" Type="http://schemas.openxmlformats.org/officeDocument/2006/relationships/hyperlink" Target="https://www.fangraphs.com/players/bailey-ober/21224/stats" TargetMode="External"/><Relationship Id="rId356" Type="http://schemas.openxmlformats.org/officeDocument/2006/relationships/hyperlink" Target="https://www.fangraphs.com/teams/brewers" TargetMode="External"/><Relationship Id="rId563" Type="http://schemas.openxmlformats.org/officeDocument/2006/relationships/hyperlink" Target="https://www.fangraphs.com/teams/white-sox" TargetMode="External"/><Relationship Id="rId770" Type="http://schemas.openxmlformats.org/officeDocument/2006/relationships/hyperlink" Target="https://www.fangraphs.com/players/jeff-mcneil/15362/stats" TargetMode="External"/><Relationship Id="rId1193" Type="http://schemas.openxmlformats.org/officeDocument/2006/relationships/hyperlink" Target="https://www.fangraphs.com/players/danny-young/18439/stats" TargetMode="External"/><Relationship Id="rId2037" Type="http://schemas.openxmlformats.org/officeDocument/2006/relationships/hyperlink" Target="https://www.fangraphs.com/players/luis-vazquez/23442/stats" TargetMode="External"/><Relationship Id="rId216" Type="http://schemas.openxmlformats.org/officeDocument/2006/relationships/hyperlink" Target="https://www.fangraphs.com/teams/yankees" TargetMode="External"/><Relationship Id="rId423" Type="http://schemas.openxmlformats.org/officeDocument/2006/relationships/hyperlink" Target="https://www.fangraphs.com/players/bryan-hudson/19924/stats" TargetMode="External"/><Relationship Id="rId868" Type="http://schemas.openxmlformats.org/officeDocument/2006/relationships/hyperlink" Target="https://www.fangraphs.com/teams/reds" TargetMode="External"/><Relationship Id="rId1053" Type="http://schemas.openxmlformats.org/officeDocument/2006/relationships/hyperlink" Target="https://www.fangraphs.com/players/jorge-lopez/14527/stats" TargetMode="External"/><Relationship Id="rId1260" Type="http://schemas.openxmlformats.org/officeDocument/2006/relationships/hyperlink" Target="https://www.fangraphs.com/teams/twins" TargetMode="External"/><Relationship Id="rId1498" Type="http://schemas.openxmlformats.org/officeDocument/2006/relationships/hyperlink" Target="https://www.fangraphs.com/players/lucas-sims/13470/stats" TargetMode="External"/><Relationship Id="rId630" Type="http://schemas.openxmlformats.org/officeDocument/2006/relationships/hyperlink" Target="https://www.fangraphs.com/teams/mets" TargetMode="External"/><Relationship Id="rId728" Type="http://schemas.openxmlformats.org/officeDocument/2006/relationships/hyperlink" Target="https://www.fangraphs.com/teams/orioles" TargetMode="External"/><Relationship Id="rId935" Type="http://schemas.openxmlformats.org/officeDocument/2006/relationships/hyperlink" Target="https://www.fangraphs.com/players/ben-rortvedt/20287/stats" TargetMode="External"/><Relationship Id="rId1358" Type="http://schemas.openxmlformats.org/officeDocument/2006/relationships/hyperlink" Target="https://www.fangraphs.com/players/sixto-sanchez/19680/stats" TargetMode="External"/><Relationship Id="rId1565" Type="http://schemas.openxmlformats.org/officeDocument/2006/relationships/hyperlink" Target="https://www.fangraphs.com/players/nick-nastrini/29833/stats" TargetMode="External"/><Relationship Id="rId1772" Type="http://schemas.openxmlformats.org/officeDocument/2006/relationships/hyperlink" Target="https://www.fangraphs.com/players/jasson-dominguez/28080/stats" TargetMode="External"/><Relationship Id="rId64" Type="http://schemas.openxmlformats.org/officeDocument/2006/relationships/hyperlink" Target="https://www.fangraphs.com/teams/mariners" TargetMode="External"/><Relationship Id="rId1120" Type="http://schemas.openxmlformats.org/officeDocument/2006/relationships/hyperlink" Target="https://www.fangraphs.com/players/brayan-rocchio/23690/stats" TargetMode="External"/><Relationship Id="rId1218" Type="http://schemas.openxmlformats.org/officeDocument/2006/relationships/hyperlink" Target="https://www.fangraphs.com/teams/cardinals" TargetMode="External"/><Relationship Id="rId1425" Type="http://schemas.openxmlformats.org/officeDocument/2006/relationships/hyperlink" Target="https://www.fangraphs.com/players/erik-swanson/16587/stats" TargetMode="External"/><Relationship Id="rId1632" Type="http://schemas.openxmlformats.org/officeDocument/2006/relationships/hyperlink" Target="https://www.fangraphs.com/teams/reds" TargetMode="External"/><Relationship Id="rId1937" Type="http://schemas.openxmlformats.org/officeDocument/2006/relationships/hyperlink" Target="https://www.fangraphs.com/players/marco-luciano/25616/stats" TargetMode="External"/><Relationship Id="rId280" Type="http://schemas.openxmlformats.org/officeDocument/2006/relationships/hyperlink" Target="https://www.fangraphs.com/teams/mets" TargetMode="External"/><Relationship Id="rId140" Type="http://schemas.openxmlformats.org/officeDocument/2006/relationships/hyperlink" Target="https://www.fangraphs.com/teams/dodgers" TargetMode="External"/><Relationship Id="rId378" Type="http://schemas.openxmlformats.org/officeDocument/2006/relationships/hyperlink" Target="https://www.fangraphs.com/teams/guardians" TargetMode="External"/><Relationship Id="rId585" Type="http://schemas.openxmlformats.org/officeDocument/2006/relationships/hyperlink" Target="https://www.fangraphs.com/players/kyle-finnegan/15009/stats" TargetMode="External"/><Relationship Id="rId792" Type="http://schemas.openxmlformats.org/officeDocument/2006/relationships/hyperlink" Target="https://www.fangraphs.com/players/jose-siri/17452/stats" TargetMode="External"/><Relationship Id="rId2059" Type="http://schemas.openxmlformats.org/officeDocument/2006/relationships/hyperlink" Target="https://www.fangraphs.com/teams/braves" TargetMode="External"/><Relationship Id="rId6" Type="http://schemas.openxmlformats.org/officeDocument/2006/relationships/hyperlink" Target="https://www.fangraphs.com/teams/royals" TargetMode="External"/><Relationship Id="rId238" Type="http://schemas.openxmlformats.org/officeDocument/2006/relationships/hyperlink" Target="https://www.fangraphs.com/teams/yankees" TargetMode="External"/><Relationship Id="rId445" Type="http://schemas.openxmlformats.org/officeDocument/2006/relationships/hyperlink" Target="https://www.fangraphs.com/players/jose-caballero/23401/stats" TargetMode="External"/><Relationship Id="rId652" Type="http://schemas.openxmlformats.org/officeDocument/2006/relationships/hyperlink" Target="https://www.fangraphs.com/teams/astros" TargetMode="External"/><Relationship Id="rId1075" Type="http://schemas.openxmlformats.org/officeDocument/2006/relationships/hyperlink" Target="https://www.fangraphs.com/players/chris-paddack/20099/stats" TargetMode="External"/><Relationship Id="rId1282" Type="http://schemas.openxmlformats.org/officeDocument/2006/relationships/hyperlink" Target="https://www.fangraphs.com/players/adam-ottavino/1247/stats" TargetMode="External"/><Relationship Id="rId305" Type="http://schemas.openxmlformats.org/officeDocument/2006/relationships/hyperlink" Target="https://www.fangraphs.com/players/mason-miller/31757/stats" TargetMode="External"/><Relationship Id="rId512" Type="http://schemas.openxmlformats.org/officeDocument/2006/relationships/hyperlink" Target="https://www.fangraphs.com/teams/white-sox" TargetMode="External"/><Relationship Id="rId957" Type="http://schemas.openxmlformats.org/officeDocument/2006/relationships/hyperlink" Target="https://www.fangraphs.com/players/jesus-luzardo/19959/stats" TargetMode="External"/><Relationship Id="rId1142" Type="http://schemas.openxmlformats.org/officeDocument/2006/relationships/hyperlink" Target="https://www.fangraphs.com/players/romy-gonzalez/21562/stats" TargetMode="External"/><Relationship Id="rId1587" Type="http://schemas.openxmlformats.org/officeDocument/2006/relationships/hyperlink" Target="https://www.fangraphs.com/players/dylan-crews/33541/stats" TargetMode="External"/><Relationship Id="rId1794" Type="http://schemas.openxmlformats.org/officeDocument/2006/relationships/hyperlink" Target="https://www.fangraphs.com/teams/mariners" TargetMode="External"/><Relationship Id="rId86" Type="http://schemas.openxmlformats.org/officeDocument/2006/relationships/hyperlink" Target="https://www.fangraphs.com/teams/rockies" TargetMode="External"/><Relationship Id="rId817" Type="http://schemas.openxmlformats.org/officeDocument/2006/relationships/hyperlink" Target="https://www.fangraphs.com/players/yasmani-grandal/11368/stats" TargetMode="External"/><Relationship Id="rId1002" Type="http://schemas.openxmlformats.org/officeDocument/2006/relationships/hyperlink" Target="https://www.fangraphs.com/players/phil-maton/18064/stats" TargetMode="External"/><Relationship Id="rId1447" Type="http://schemas.openxmlformats.org/officeDocument/2006/relationships/hyperlink" Target="https://www.fangraphs.com/teams/rangers" TargetMode="External"/><Relationship Id="rId1654" Type="http://schemas.openxmlformats.org/officeDocument/2006/relationships/hyperlink" Target="https://www.fangraphs.com/players/elehuris-montero/20543/stats" TargetMode="External"/><Relationship Id="rId1861" Type="http://schemas.openxmlformats.org/officeDocument/2006/relationships/hyperlink" Target="https://www.fangraphs.com/teams/reds" TargetMode="External"/><Relationship Id="rId1307" Type="http://schemas.openxmlformats.org/officeDocument/2006/relationships/hyperlink" Target="https://www.fangraphs.com/players/derek-hill/16947/stats" TargetMode="External"/><Relationship Id="rId1514" Type="http://schemas.openxmlformats.org/officeDocument/2006/relationships/hyperlink" Target="https://www.fangraphs.com/players/martin-maldonado/6887/stats" TargetMode="External"/><Relationship Id="rId1721" Type="http://schemas.openxmlformats.org/officeDocument/2006/relationships/hyperlink" Target="https://www.fangraphs.com/players/will-wagner/29634/stats" TargetMode="External"/><Relationship Id="rId1959" Type="http://schemas.openxmlformats.org/officeDocument/2006/relationships/hyperlink" Target="https://www.fangraphs.com/teams/astros" TargetMode="External"/><Relationship Id="rId13" Type="http://schemas.openxmlformats.org/officeDocument/2006/relationships/hyperlink" Target="https://www.fangraphs.com/players/gunnar-henderson/26289/stats" TargetMode="External"/><Relationship Id="rId1819" Type="http://schemas.openxmlformats.org/officeDocument/2006/relationships/hyperlink" Target="https://www.fangraphs.com/teams/orioles" TargetMode="External"/><Relationship Id="rId162" Type="http://schemas.openxmlformats.org/officeDocument/2006/relationships/hyperlink" Target="https://www.fangraphs.com/teams/nationals" TargetMode="External"/><Relationship Id="rId467" Type="http://schemas.openxmlformats.org/officeDocument/2006/relationships/hyperlink" Target="https://www.fangraphs.com/players/brandon-lowe/18882/stats" TargetMode="External"/><Relationship Id="rId1097" Type="http://schemas.openxmlformats.org/officeDocument/2006/relationships/hyperlink" Target="https://www.fangraphs.com/teams/diamondbacks" TargetMode="External"/><Relationship Id="rId2050" Type="http://schemas.openxmlformats.org/officeDocument/2006/relationships/hyperlink" Target="https://www.fangraphs.com/teams/brewers" TargetMode="External"/><Relationship Id="rId674" Type="http://schemas.openxmlformats.org/officeDocument/2006/relationships/hyperlink" Target="https://www.fangraphs.com/teams/nationals" TargetMode="External"/><Relationship Id="rId881" Type="http://schemas.openxmlformats.org/officeDocument/2006/relationships/hyperlink" Target="https://www.fangraphs.com/teams/cardinals" TargetMode="External"/><Relationship Id="rId979" Type="http://schemas.openxmlformats.org/officeDocument/2006/relationships/hyperlink" Target="https://www.fangraphs.com/players/enrique-hernandez/10472/stats" TargetMode="External"/><Relationship Id="rId327" Type="http://schemas.openxmlformats.org/officeDocument/2006/relationships/hyperlink" Target="https://www.fangraphs.com/players/bryson-stott/26294/stats" TargetMode="External"/><Relationship Id="rId534" Type="http://schemas.openxmlformats.org/officeDocument/2006/relationships/hyperlink" Target="https://www.fangraphs.com/players/freddy-fermin/21840/stats" TargetMode="External"/><Relationship Id="rId741" Type="http://schemas.openxmlformats.org/officeDocument/2006/relationships/hyperlink" Target="https://www.fangraphs.com/players/geraldo-perdomo/22799/stats" TargetMode="External"/><Relationship Id="rId839" Type="http://schemas.openxmlformats.org/officeDocument/2006/relationships/hyperlink" Target="https://www.fangraphs.com/teams/cardinals" TargetMode="External"/><Relationship Id="rId1164" Type="http://schemas.openxmlformats.org/officeDocument/2006/relationships/hyperlink" Target="https://www.fangraphs.com/players/robert-garcia/23363/stats" TargetMode="External"/><Relationship Id="rId1371" Type="http://schemas.openxmlformats.org/officeDocument/2006/relationships/hyperlink" Target="https://www.fangraphs.com/teams/dodgers" TargetMode="External"/><Relationship Id="rId1469" Type="http://schemas.openxmlformats.org/officeDocument/2006/relationships/hyperlink" Target="https://www.fangraphs.com/players/andrew-knizner/19514/stats" TargetMode="External"/><Relationship Id="rId2008" Type="http://schemas.openxmlformats.org/officeDocument/2006/relationships/hyperlink" Target="https://www.fangraphs.com/players/austin-shenton/25425/stats" TargetMode="External"/><Relationship Id="rId601" Type="http://schemas.openxmlformats.org/officeDocument/2006/relationships/hyperlink" Target="https://www.fangraphs.com/players/blake-perkins/19921/stats" TargetMode="External"/><Relationship Id="rId1024" Type="http://schemas.openxmlformats.org/officeDocument/2006/relationships/hyperlink" Target="https://www.fangraphs.com/teams/white-sox" TargetMode="External"/><Relationship Id="rId1231" Type="http://schemas.openxmlformats.org/officeDocument/2006/relationships/hyperlink" Target="https://www.fangraphs.com/teams/reds" TargetMode="External"/><Relationship Id="rId1676" Type="http://schemas.openxmlformats.org/officeDocument/2006/relationships/hyperlink" Target="https://www.fangraphs.com/players/kyle-stowers/26151/stats" TargetMode="External"/><Relationship Id="rId1883" Type="http://schemas.openxmlformats.org/officeDocument/2006/relationships/hyperlink" Target="https://www.fangraphs.com/teams/marlins" TargetMode="External"/><Relationship Id="rId906" Type="http://schemas.openxmlformats.org/officeDocument/2006/relationships/hyperlink" Target="https://www.fangraphs.com/players/jon-gray/14916/stats" TargetMode="External"/><Relationship Id="rId1329" Type="http://schemas.openxmlformats.org/officeDocument/2006/relationships/hyperlink" Target="https://www.fangraphs.com/players/tj-mcfarland/3237/stats" TargetMode="External"/><Relationship Id="rId1536" Type="http://schemas.openxmlformats.org/officeDocument/2006/relationships/hyperlink" Target="https://www.fangraphs.com/players/henry-davis/29617/stats" TargetMode="External"/><Relationship Id="rId1743" Type="http://schemas.openxmlformats.org/officeDocument/2006/relationships/hyperlink" Target="https://www.fangraphs.com/players/bryan-ramos/25621/stats" TargetMode="External"/><Relationship Id="rId1950" Type="http://schemas.openxmlformats.org/officeDocument/2006/relationships/hyperlink" Target="https://www.fangraphs.com/players/taylor-trammell/19960/stats" TargetMode="External"/><Relationship Id="rId35" Type="http://schemas.openxmlformats.org/officeDocument/2006/relationships/hyperlink" Target="https://www.fangraphs.com/players/ketel-marte/13613/stats" TargetMode="External"/><Relationship Id="rId1603" Type="http://schemas.openxmlformats.org/officeDocument/2006/relationships/hyperlink" Target="https://www.fangraphs.com/players/jonathan-hernandez/17464/stats" TargetMode="External"/><Relationship Id="rId1810" Type="http://schemas.openxmlformats.org/officeDocument/2006/relationships/hyperlink" Target="https://www.fangraphs.com/players/christian-encarnacion-strand/30011/stats" TargetMode="External"/><Relationship Id="rId184" Type="http://schemas.openxmlformats.org/officeDocument/2006/relationships/hyperlink" Target="https://www.fangraphs.com/teams/giants" TargetMode="External"/><Relationship Id="rId391" Type="http://schemas.openxmlformats.org/officeDocument/2006/relationships/hyperlink" Target="https://www.fangraphs.com/players/jacob-young/29931/stats" TargetMode="External"/><Relationship Id="rId1908" Type="http://schemas.openxmlformats.org/officeDocument/2006/relationships/hyperlink" Target="https://www.fangraphs.com/players/michael-stefanic/25353/stats" TargetMode="External"/><Relationship Id="rId2072" Type="http://schemas.openxmlformats.org/officeDocument/2006/relationships/hyperlink" Target="https://www.fangraphs.com/teams/marlins" TargetMode="External"/><Relationship Id="rId251" Type="http://schemas.openxmlformats.org/officeDocument/2006/relationships/hyperlink" Target="https://www.fangraphs.com/players/jake-mccarthy/21622/stats" TargetMode="External"/><Relationship Id="rId489" Type="http://schemas.openxmlformats.org/officeDocument/2006/relationships/hyperlink" Target="https://www.fangraphs.com/players/tyler-fitzgerald/26208/stats" TargetMode="External"/><Relationship Id="rId696" Type="http://schemas.openxmlformats.org/officeDocument/2006/relationships/hyperlink" Target="https://www.fangraphs.com/players/luis-campusano/22217/stats" TargetMode="External"/><Relationship Id="rId349" Type="http://schemas.openxmlformats.org/officeDocument/2006/relationships/hyperlink" Target="https://www.fangraphs.com/players/griffin-jax/20253/stats" TargetMode="External"/><Relationship Id="rId556" Type="http://schemas.openxmlformats.org/officeDocument/2006/relationships/hyperlink" Target="https://www.fangraphs.com/players/albert-suarez/6175/stats" TargetMode="External"/><Relationship Id="rId763" Type="http://schemas.openxmlformats.org/officeDocument/2006/relationships/hyperlink" Target="https://www.fangraphs.com/teams/red-sox" TargetMode="External"/><Relationship Id="rId1186" Type="http://schemas.openxmlformats.org/officeDocument/2006/relationships/hyperlink" Target="https://www.fangraphs.com/teams/mets" TargetMode="External"/><Relationship Id="rId1393" Type="http://schemas.openxmlformats.org/officeDocument/2006/relationships/hyperlink" Target="https://www.fangraphs.com/teams/angels" TargetMode="External"/><Relationship Id="rId111" Type="http://schemas.openxmlformats.org/officeDocument/2006/relationships/hyperlink" Target="https://www.fangraphs.com/players/reynaldo-lopez/16400/stats" TargetMode="External"/><Relationship Id="rId209" Type="http://schemas.openxmlformats.org/officeDocument/2006/relationships/hyperlink" Target="https://www.fangraphs.com/players/garrett-crochet/27463/stats" TargetMode="External"/><Relationship Id="rId416" Type="http://schemas.openxmlformats.org/officeDocument/2006/relationships/hyperlink" Target="https://www.fangraphs.com/teams/guardians" TargetMode="External"/><Relationship Id="rId970" Type="http://schemas.openxmlformats.org/officeDocument/2006/relationships/hyperlink" Target="https://www.fangraphs.com/teams/twins" TargetMode="External"/><Relationship Id="rId1046" Type="http://schemas.openxmlformats.org/officeDocument/2006/relationships/hyperlink" Target="https://www.fangraphs.com/teams/rays" TargetMode="External"/><Relationship Id="rId1253" Type="http://schemas.openxmlformats.org/officeDocument/2006/relationships/hyperlink" Target="https://www.fangraphs.com/players/cam-booser/16061/stats" TargetMode="External"/><Relationship Id="rId1698" Type="http://schemas.openxmlformats.org/officeDocument/2006/relationships/hyperlink" Target="https://www.fangraphs.com/players/wilmer-flores/5827/stats" TargetMode="External"/><Relationship Id="rId623" Type="http://schemas.openxmlformats.org/officeDocument/2006/relationships/hyperlink" Target="https://www.fangraphs.com/players/isiah-kiner-falefa/16512/stats" TargetMode="External"/><Relationship Id="rId830" Type="http://schemas.openxmlformats.org/officeDocument/2006/relationships/hyperlink" Target="https://www.fangraphs.com/players/reed-garrett/16866/stats" TargetMode="External"/><Relationship Id="rId928" Type="http://schemas.openxmlformats.org/officeDocument/2006/relationships/hyperlink" Target="https://www.fangraphs.com/teams/rays" TargetMode="External"/><Relationship Id="rId1460" Type="http://schemas.openxmlformats.org/officeDocument/2006/relationships/hyperlink" Target="https://www.fangraphs.com/players/cionel-perez/19614/stats" TargetMode="External"/><Relationship Id="rId1558" Type="http://schemas.openxmlformats.org/officeDocument/2006/relationships/hyperlink" Target="https://www.fangraphs.com/teams/guardians" TargetMode="External"/><Relationship Id="rId1765" Type="http://schemas.openxmlformats.org/officeDocument/2006/relationships/hyperlink" Target="https://www.fangraphs.com/teams/marlins" TargetMode="External"/><Relationship Id="rId57" Type="http://schemas.openxmlformats.org/officeDocument/2006/relationships/hyperlink" Target="https://www.fangraphs.com/players/yainer-diaz/23003/stats" TargetMode="External"/><Relationship Id="rId1113" Type="http://schemas.openxmlformats.org/officeDocument/2006/relationships/hyperlink" Target="https://www.fangraphs.com/teams/phillies" TargetMode="External"/><Relationship Id="rId1320" Type="http://schemas.openxmlformats.org/officeDocument/2006/relationships/hyperlink" Target="https://www.fangraphs.com/teams/rays" TargetMode="External"/><Relationship Id="rId1418" Type="http://schemas.openxmlformats.org/officeDocument/2006/relationships/hyperlink" Target="https://www.fangraphs.com/teams/giants" TargetMode="External"/><Relationship Id="rId1972" Type="http://schemas.openxmlformats.org/officeDocument/2006/relationships/hyperlink" Target="https://www.fangraphs.com/teams/yankees" TargetMode="External"/><Relationship Id="rId1625" Type="http://schemas.openxmlformats.org/officeDocument/2006/relationships/hyperlink" Target="https://www.fangraphs.com/players/joey-gallo/14128/stats" TargetMode="External"/><Relationship Id="rId1832" Type="http://schemas.openxmlformats.org/officeDocument/2006/relationships/hyperlink" Target="https://www.fangraphs.com/players/garrett-cooper/15279/stats" TargetMode="External"/><Relationship Id="rId273" Type="http://schemas.openxmlformats.org/officeDocument/2006/relationships/hyperlink" Target="https://www.fangraphs.com/players/luis-castillo/15689/stats" TargetMode="External"/><Relationship Id="rId480" Type="http://schemas.openxmlformats.org/officeDocument/2006/relationships/hyperlink" Target="https://www.fangraphs.com/teams/rays" TargetMode="External"/><Relationship Id="rId133" Type="http://schemas.openxmlformats.org/officeDocument/2006/relationships/hyperlink" Target="https://www.fangraphs.com/players/ryan-helsley/18138/stats" TargetMode="External"/><Relationship Id="rId340" Type="http://schemas.openxmlformats.org/officeDocument/2006/relationships/hyperlink" Target="https://www.fangraphs.com/teams/orioles" TargetMode="External"/><Relationship Id="rId578" Type="http://schemas.openxmlformats.org/officeDocument/2006/relationships/hyperlink" Target="https://www.fangraphs.com/players/clay-holmes/13649/stats" TargetMode="External"/><Relationship Id="rId785" Type="http://schemas.openxmlformats.org/officeDocument/2006/relationships/hyperlink" Target="https://www.fangraphs.com/players/nick-gonzales/27490/stats" TargetMode="External"/><Relationship Id="rId992" Type="http://schemas.openxmlformats.org/officeDocument/2006/relationships/hyperlink" Target="https://www.fangraphs.com/teams/guardians" TargetMode="External"/><Relationship Id="rId2021" Type="http://schemas.openxmlformats.org/officeDocument/2006/relationships/hyperlink" Target="https://www.fangraphs.com/players/tyler-locklear/31396/stats" TargetMode="External"/><Relationship Id="rId200" Type="http://schemas.openxmlformats.org/officeDocument/2006/relationships/hyperlink" Target="https://www.fangraphs.com/teams/yankees" TargetMode="External"/><Relationship Id="rId438" Type="http://schemas.openxmlformats.org/officeDocument/2006/relationships/hyperlink" Target="https://www.fangraphs.com/teams/padres" TargetMode="External"/><Relationship Id="rId645" Type="http://schemas.openxmlformats.org/officeDocument/2006/relationships/hyperlink" Target="https://www.fangraphs.com/players/jose-miranda/20538/stats" TargetMode="External"/><Relationship Id="rId852" Type="http://schemas.openxmlformats.org/officeDocument/2006/relationships/hyperlink" Target="https://www.fangraphs.com/players/kyle-gibson/10123/stats" TargetMode="External"/><Relationship Id="rId1068" Type="http://schemas.openxmlformats.org/officeDocument/2006/relationships/hyperlink" Target="https://www.fangraphs.com/teams/rangers" TargetMode="External"/><Relationship Id="rId1275" Type="http://schemas.openxmlformats.org/officeDocument/2006/relationships/hyperlink" Target="https://www.fangraphs.com/players/tomas-nido/13755/stats" TargetMode="External"/><Relationship Id="rId1482" Type="http://schemas.openxmlformats.org/officeDocument/2006/relationships/hyperlink" Target="https://www.fangraphs.com/players/jhony-brito/25386/stats" TargetMode="External"/><Relationship Id="rId505" Type="http://schemas.openxmlformats.org/officeDocument/2006/relationships/hyperlink" Target="https://www.fangraphs.com/players/michael-lorenzen/14843/stats" TargetMode="External"/><Relationship Id="rId712" Type="http://schemas.openxmlformats.org/officeDocument/2006/relationships/hyperlink" Target="https://www.fangraphs.com/players/ben-brown/23590/stats" TargetMode="External"/><Relationship Id="rId1135" Type="http://schemas.openxmlformats.org/officeDocument/2006/relationships/hyperlink" Target="https://www.fangraphs.com/teams/dodgers" TargetMode="External"/><Relationship Id="rId1342" Type="http://schemas.openxmlformats.org/officeDocument/2006/relationships/hyperlink" Target="https://www.fangraphs.com/players/cesar-salazar/21587/stats" TargetMode="External"/><Relationship Id="rId1787" Type="http://schemas.openxmlformats.org/officeDocument/2006/relationships/hyperlink" Target="https://www.fangraphs.com/players/eguy-rosario/19964/stats" TargetMode="External"/><Relationship Id="rId1994" Type="http://schemas.openxmlformats.org/officeDocument/2006/relationships/hyperlink" Target="https://www.fangraphs.com/players/jose-fermin/21746/stats" TargetMode="External"/><Relationship Id="rId79" Type="http://schemas.openxmlformats.org/officeDocument/2006/relationships/hyperlink" Target="https://www.fangraphs.com/players/framber-valdez/17295/stats" TargetMode="External"/><Relationship Id="rId1202" Type="http://schemas.openxmlformats.org/officeDocument/2006/relationships/hyperlink" Target="https://www.fangraphs.com/teams/cubs" TargetMode="External"/><Relationship Id="rId1647" Type="http://schemas.openxmlformats.org/officeDocument/2006/relationships/hyperlink" Target="https://www.fangraphs.com/players/casey-schmitt/27577/stats" TargetMode="External"/><Relationship Id="rId1854" Type="http://schemas.openxmlformats.org/officeDocument/2006/relationships/hyperlink" Target="https://www.fangraphs.com/players/nick-yorke/27504/stats" TargetMode="External"/><Relationship Id="rId1507" Type="http://schemas.openxmlformats.org/officeDocument/2006/relationships/hyperlink" Target="https://www.fangraphs.com/teams/rays" TargetMode="External"/><Relationship Id="rId1714" Type="http://schemas.openxmlformats.org/officeDocument/2006/relationships/hyperlink" Target="https://www.fangraphs.com/players/luis-urias/16622/stats" TargetMode="External"/><Relationship Id="rId295" Type="http://schemas.openxmlformats.org/officeDocument/2006/relationships/hyperlink" Target="https://www.fangraphs.com/players/brendan-donovan/24679/stats" TargetMode="External"/><Relationship Id="rId1921" Type="http://schemas.openxmlformats.org/officeDocument/2006/relationships/hyperlink" Target="https://www.fangraphs.com/players/samad-taylor/22274/stats" TargetMode="External"/><Relationship Id="rId155" Type="http://schemas.openxmlformats.org/officeDocument/2006/relationships/hyperlink" Target="https://www.fangraphs.com/players/oneil-cruz/21711/stats" TargetMode="External"/><Relationship Id="rId362" Type="http://schemas.openxmlformats.org/officeDocument/2006/relationships/hyperlink" Target="https://www.fangraphs.com/teams/padres" TargetMode="External"/><Relationship Id="rId1297" Type="http://schemas.openxmlformats.org/officeDocument/2006/relationships/hyperlink" Target="https://www.fangraphs.com/players/andrew-nardi/25942/stats" TargetMode="External"/><Relationship Id="rId2043" Type="http://schemas.openxmlformats.org/officeDocument/2006/relationships/hyperlink" Target="https://www.fangraphs.com/players/eddy-alvarez/16959/stats" TargetMode="External"/><Relationship Id="rId222" Type="http://schemas.openxmlformats.org/officeDocument/2006/relationships/hyperlink" Target="https://www.fangraphs.com/teams/guardians" TargetMode="External"/><Relationship Id="rId667" Type="http://schemas.openxmlformats.org/officeDocument/2006/relationships/hyperlink" Target="https://www.fangraphs.com/players/merrill-kelly/11156/stats" TargetMode="External"/><Relationship Id="rId874" Type="http://schemas.openxmlformats.org/officeDocument/2006/relationships/hyperlink" Target="https://www.fangraphs.com/players/chris-bassitt/12304/stats" TargetMode="External"/><Relationship Id="rId527" Type="http://schemas.openxmlformats.org/officeDocument/2006/relationships/hyperlink" Target="https://www.fangraphs.com/teams/blue-jays" TargetMode="External"/><Relationship Id="rId734" Type="http://schemas.openxmlformats.org/officeDocument/2006/relationships/hyperlink" Target="https://www.fangraphs.com/teams/red-sox" TargetMode="External"/><Relationship Id="rId941" Type="http://schemas.openxmlformats.org/officeDocument/2006/relationships/hyperlink" Target="https://www.fangraphs.com/players/max-schuemann/24488/stats" TargetMode="External"/><Relationship Id="rId1157" Type="http://schemas.openxmlformats.org/officeDocument/2006/relationships/hyperlink" Target="https://www.fangraphs.com/teams/athletics" TargetMode="External"/><Relationship Id="rId1364" Type="http://schemas.openxmlformats.org/officeDocument/2006/relationships/hyperlink" Target="https://www.fangraphs.com/players/austin-hays/19363/stats" TargetMode="External"/><Relationship Id="rId1571" Type="http://schemas.openxmlformats.org/officeDocument/2006/relationships/hyperlink" Target="https://www.fangraphs.com/players/caleb-thielbar/10078/stats" TargetMode="External"/><Relationship Id="rId70" Type="http://schemas.openxmlformats.org/officeDocument/2006/relationships/hyperlink" Target="https://www.fangraphs.com/teams/astros" TargetMode="External"/><Relationship Id="rId801" Type="http://schemas.openxmlformats.org/officeDocument/2006/relationships/hyperlink" Target="https://www.fangraphs.com/teams/cubs" TargetMode="External"/><Relationship Id="rId1017" Type="http://schemas.openxmlformats.org/officeDocument/2006/relationships/hyperlink" Target="https://www.fangraphs.com/players/quinn-priester/25977/stats" TargetMode="External"/><Relationship Id="rId1224" Type="http://schemas.openxmlformats.org/officeDocument/2006/relationships/hyperlink" Target="https://www.fangraphs.com/players/hunter-stratton/23455/stats" TargetMode="External"/><Relationship Id="rId1431" Type="http://schemas.openxmlformats.org/officeDocument/2006/relationships/hyperlink" Target="https://www.fangraphs.com/teams/pirates" TargetMode="External"/><Relationship Id="rId1669" Type="http://schemas.openxmlformats.org/officeDocument/2006/relationships/hyperlink" Target="https://www.fangraphs.com/players/brooks-lee/31595/stats" TargetMode="External"/><Relationship Id="rId1876" Type="http://schemas.openxmlformats.org/officeDocument/2006/relationships/hyperlink" Target="https://www.fangraphs.com/teams/mariners" TargetMode="External"/><Relationship Id="rId1529" Type="http://schemas.openxmlformats.org/officeDocument/2006/relationships/hyperlink" Target="https://www.fangraphs.com/players/jair-camargo/21730/stats" TargetMode="External"/><Relationship Id="rId1736" Type="http://schemas.openxmlformats.org/officeDocument/2006/relationships/hyperlink" Target="https://www.fangraphs.com/teams/pirates" TargetMode="External"/><Relationship Id="rId1943" Type="http://schemas.openxmlformats.org/officeDocument/2006/relationships/hyperlink" Target="https://www.fangraphs.com/teams/cardinals" TargetMode="External"/><Relationship Id="rId28" Type="http://schemas.openxmlformats.org/officeDocument/2006/relationships/hyperlink" Target="https://www.fangraphs.com/teams/braves" TargetMode="External"/><Relationship Id="rId1803" Type="http://schemas.openxmlformats.org/officeDocument/2006/relationships/hyperlink" Target="https://www.fangraphs.com/players/ty-blach/14361/stats" TargetMode="External"/><Relationship Id="rId177" Type="http://schemas.openxmlformats.org/officeDocument/2006/relationships/hyperlink" Target="https://www.fangraphs.com/players/alec-bohm/21618/stats" TargetMode="External"/><Relationship Id="rId384" Type="http://schemas.openxmlformats.org/officeDocument/2006/relationships/hyperlink" Target="https://www.fangraphs.com/teams/guardians" TargetMode="External"/><Relationship Id="rId591" Type="http://schemas.openxmlformats.org/officeDocument/2006/relationships/hyperlink" Target="https://www.fangraphs.com/players/nick-lodolo/26378/stats" TargetMode="External"/><Relationship Id="rId2065" Type="http://schemas.openxmlformats.org/officeDocument/2006/relationships/hyperlink" Target="https://www.fangraphs.com/players/grae-kessinger/25813/stats" TargetMode="External"/><Relationship Id="rId244" Type="http://schemas.openxmlformats.org/officeDocument/2006/relationships/hyperlink" Target="https://www.fangraphs.com/teams/dodgers" TargetMode="External"/><Relationship Id="rId689" Type="http://schemas.openxmlformats.org/officeDocument/2006/relationships/hyperlink" Target="https://www.fangraphs.com/players/elias-diaz/11680/stats" TargetMode="External"/><Relationship Id="rId896" Type="http://schemas.openxmlformats.org/officeDocument/2006/relationships/hyperlink" Target="https://www.fangraphs.com/players/will-benson/21853/stats" TargetMode="External"/><Relationship Id="rId1081" Type="http://schemas.openxmlformats.org/officeDocument/2006/relationships/hyperlink" Target="https://www.fangraphs.com/players/david-peralta/2136/stats" TargetMode="External"/><Relationship Id="rId451" Type="http://schemas.openxmlformats.org/officeDocument/2006/relationships/hyperlink" Target="https://www.fangraphs.com/players/kutter-crawford/20531/stats" TargetMode="External"/><Relationship Id="rId549" Type="http://schemas.openxmlformats.org/officeDocument/2006/relationships/hyperlink" Target="https://www.fangraphs.com/teams/rangers" TargetMode="External"/><Relationship Id="rId756" Type="http://schemas.openxmlformats.org/officeDocument/2006/relationships/hyperlink" Target="https://www.fangraphs.com/players/christopher-morel/21897/stats" TargetMode="External"/><Relationship Id="rId1179" Type="http://schemas.openxmlformats.org/officeDocument/2006/relationships/hyperlink" Target="https://www.fangraphs.com/players/jesse-chavez/5448/stats" TargetMode="External"/><Relationship Id="rId1386" Type="http://schemas.openxmlformats.org/officeDocument/2006/relationships/hyperlink" Target="https://www.fangraphs.com/players/josh-jung/26299/stats" TargetMode="External"/><Relationship Id="rId1593" Type="http://schemas.openxmlformats.org/officeDocument/2006/relationships/hyperlink" Target="https://www.fangraphs.com/players/taylor-walls/22458/stats" TargetMode="External"/><Relationship Id="rId104" Type="http://schemas.openxmlformats.org/officeDocument/2006/relationships/hyperlink" Target="https://www.fangraphs.com/teams/reds" TargetMode="External"/><Relationship Id="rId311" Type="http://schemas.openxmlformats.org/officeDocument/2006/relationships/hyperlink" Target="https://www.fangraphs.com/players/jesus-sanchez/19913/stats" TargetMode="External"/><Relationship Id="rId409" Type="http://schemas.openxmlformats.org/officeDocument/2006/relationships/hyperlink" Target="https://www.fangraphs.com/players/carlos-estevez/14542/stats" TargetMode="External"/><Relationship Id="rId963" Type="http://schemas.openxmlformats.org/officeDocument/2006/relationships/hyperlink" Target="https://www.fangraphs.com/players/camilo-doval/21992/stats" TargetMode="External"/><Relationship Id="rId1039" Type="http://schemas.openxmlformats.org/officeDocument/2006/relationships/hyperlink" Target="https://www.fangraphs.com/players/yuki-matsui/33826/stats" TargetMode="External"/><Relationship Id="rId1246" Type="http://schemas.openxmlformats.org/officeDocument/2006/relationships/hyperlink" Target="https://www.fangraphs.com/teams/mariners" TargetMode="External"/><Relationship Id="rId1898" Type="http://schemas.openxmlformats.org/officeDocument/2006/relationships/hyperlink" Target="https://www.fangraphs.com/players/luken-baker/21497/stats" TargetMode="External"/><Relationship Id="rId92" Type="http://schemas.openxmlformats.org/officeDocument/2006/relationships/hyperlink" Target="https://www.fangraphs.com/teams/tigers" TargetMode="External"/><Relationship Id="rId616" Type="http://schemas.openxmlformats.org/officeDocument/2006/relationships/hyperlink" Target="https://www.fangraphs.com/teams/pirates" TargetMode="External"/><Relationship Id="rId823" Type="http://schemas.openxmlformats.org/officeDocument/2006/relationships/hyperlink" Target="https://www.fangraphs.com/teams/twins" TargetMode="External"/><Relationship Id="rId1453" Type="http://schemas.openxmlformats.org/officeDocument/2006/relationships/hyperlink" Target="https://www.fangraphs.com/teams/rays" TargetMode="External"/><Relationship Id="rId1660" Type="http://schemas.openxmlformats.org/officeDocument/2006/relationships/hyperlink" Target="https://www.fangraphs.com/teams/tigers" TargetMode="External"/><Relationship Id="rId1758" Type="http://schemas.openxmlformats.org/officeDocument/2006/relationships/hyperlink" Target="https://www.fangraphs.com/players/billy-cook/29573/stats" TargetMode="External"/><Relationship Id="rId1106" Type="http://schemas.openxmlformats.org/officeDocument/2006/relationships/hyperlink" Target="https://www.fangraphs.com/players/sam-long/25379/stats" TargetMode="External"/><Relationship Id="rId1313" Type="http://schemas.openxmlformats.org/officeDocument/2006/relationships/hyperlink" Target="https://www.fangraphs.com/players/zach-mckinstry/19392/stats" TargetMode="External"/><Relationship Id="rId1520" Type="http://schemas.openxmlformats.org/officeDocument/2006/relationships/hyperlink" Target="https://www.fangraphs.com/players/carlos-narvaez/19722/stats" TargetMode="External"/><Relationship Id="rId1965" Type="http://schemas.openxmlformats.org/officeDocument/2006/relationships/hyperlink" Target="https://www.fangraphs.com/players/brewer-hicklen/20450/stats" TargetMode="External"/><Relationship Id="rId1618" Type="http://schemas.openxmlformats.org/officeDocument/2006/relationships/hyperlink" Target="https://www.fangraphs.com/teams/red-sox" TargetMode="External"/><Relationship Id="rId1825" Type="http://schemas.openxmlformats.org/officeDocument/2006/relationships/hyperlink" Target="https://www.fangraphs.com/teams/royals" TargetMode="External"/><Relationship Id="rId199" Type="http://schemas.openxmlformats.org/officeDocument/2006/relationships/hyperlink" Target="https://www.fangraphs.com/players/cody-bellinger/15998/stats" TargetMode="External"/><Relationship Id="rId266" Type="http://schemas.openxmlformats.org/officeDocument/2006/relationships/hyperlink" Target="https://www.fangraphs.com/teams/braves" TargetMode="External"/><Relationship Id="rId473" Type="http://schemas.openxmlformats.org/officeDocument/2006/relationships/hyperlink" Target="https://www.fangraphs.com/players/michael-toglia/25845/stats" TargetMode="External"/><Relationship Id="rId680" Type="http://schemas.openxmlformats.org/officeDocument/2006/relationships/hyperlink" Target="https://www.fangraphs.com/teams/brewers" TargetMode="External"/><Relationship Id="rId126" Type="http://schemas.openxmlformats.org/officeDocument/2006/relationships/hyperlink" Target="https://www.fangraphs.com/teams/dodgers" TargetMode="External"/><Relationship Id="rId333" Type="http://schemas.openxmlformats.org/officeDocument/2006/relationships/hyperlink" Target="https://www.fangraphs.com/players/grayson-rodriguez/24492/stats" TargetMode="External"/><Relationship Id="rId540" Type="http://schemas.openxmlformats.org/officeDocument/2006/relationships/hyperlink" Target="https://www.fangraphs.com/players/zack-gelof/29766/stats" TargetMode="External"/><Relationship Id="rId778" Type="http://schemas.openxmlformats.org/officeDocument/2006/relationships/hyperlink" Target="https://www.fangraphs.com/players/david-robertson/8241/stats" TargetMode="External"/><Relationship Id="rId985" Type="http://schemas.openxmlformats.org/officeDocument/2006/relationships/hyperlink" Target="https://www.fangraphs.com/players/jon-singleton/10441/stats" TargetMode="External"/><Relationship Id="rId1170" Type="http://schemas.openxmlformats.org/officeDocument/2006/relationships/hyperlink" Target="https://www.fangraphs.com/teams/rays" TargetMode="External"/><Relationship Id="rId2014" Type="http://schemas.openxmlformats.org/officeDocument/2006/relationships/hyperlink" Target="https://www.fangraphs.com/players/brandon-crawford/5343/stats" TargetMode="External"/><Relationship Id="rId638" Type="http://schemas.openxmlformats.org/officeDocument/2006/relationships/hyperlink" Target="https://www.fangraphs.com/teams/red-sox" TargetMode="External"/><Relationship Id="rId845" Type="http://schemas.openxmlformats.org/officeDocument/2006/relationships/hyperlink" Target="https://www.fangraphs.com/teams/marlins" TargetMode="External"/><Relationship Id="rId1030" Type="http://schemas.openxmlformats.org/officeDocument/2006/relationships/hyperlink" Target="https://www.fangraphs.com/teams/marlins" TargetMode="External"/><Relationship Id="rId1268" Type="http://schemas.openxmlformats.org/officeDocument/2006/relationships/hyperlink" Target="https://www.fangraphs.com/teams/phillies" TargetMode="External"/><Relationship Id="rId1475" Type="http://schemas.openxmlformats.org/officeDocument/2006/relationships/hyperlink" Target="https://www.fangraphs.com/players/dillon-dingler/27464/stats" TargetMode="External"/><Relationship Id="rId1682" Type="http://schemas.openxmlformats.org/officeDocument/2006/relationships/hyperlink" Target="https://www.fangraphs.com/players/louis-varland/27691/stats" TargetMode="External"/><Relationship Id="rId400" Type="http://schemas.openxmlformats.org/officeDocument/2006/relationships/hyperlink" Target="https://www.fangraphs.com/teams/athletics" TargetMode="External"/><Relationship Id="rId705" Type="http://schemas.openxmlformats.org/officeDocument/2006/relationships/hyperlink" Target="https://www.fangraphs.com/teams/white-sox" TargetMode="External"/><Relationship Id="rId1128" Type="http://schemas.openxmlformats.org/officeDocument/2006/relationships/hyperlink" Target="https://www.fangraphs.com/players/mitch-haniger/14274/stats" TargetMode="External"/><Relationship Id="rId1335" Type="http://schemas.openxmlformats.org/officeDocument/2006/relationships/hyperlink" Target="https://www.fangraphs.com/teams/rockies" TargetMode="External"/><Relationship Id="rId1542" Type="http://schemas.openxmlformats.org/officeDocument/2006/relationships/hyperlink" Target="https://www.fangraphs.com/players/caleb-ferguson/19349/stats" TargetMode="External"/><Relationship Id="rId1987" Type="http://schemas.openxmlformats.org/officeDocument/2006/relationships/hyperlink" Target="https://www.fangraphs.com/players/bryce-teodosio/29524/stats" TargetMode="External"/><Relationship Id="rId912" Type="http://schemas.openxmlformats.org/officeDocument/2006/relationships/hyperlink" Target="https://www.fangraphs.com/players/jack-kochanowicz/27688/stats" TargetMode="External"/><Relationship Id="rId1847" Type="http://schemas.openxmlformats.org/officeDocument/2006/relationships/hyperlink" Target="https://www.fangraphs.com/teams/angels" TargetMode="External"/><Relationship Id="rId41" Type="http://schemas.openxmlformats.org/officeDocument/2006/relationships/hyperlink" Target="https://www.fangraphs.com/players/kyle-schwarber/16478/stats" TargetMode="External"/><Relationship Id="rId1402" Type="http://schemas.openxmlformats.org/officeDocument/2006/relationships/hyperlink" Target="https://www.fangraphs.com/players/nicky-lopez/19339/stats" TargetMode="External"/><Relationship Id="rId1707" Type="http://schemas.openxmlformats.org/officeDocument/2006/relationships/hyperlink" Target="https://www.fangraphs.com/teams/royals" TargetMode="External"/><Relationship Id="rId190" Type="http://schemas.openxmlformats.org/officeDocument/2006/relationships/hyperlink" Target="https://www.fangraphs.com/teams/astros" TargetMode="External"/><Relationship Id="rId288" Type="http://schemas.openxmlformats.org/officeDocument/2006/relationships/hyperlink" Target="https://www.fangraphs.com/teams/cardinals" TargetMode="External"/><Relationship Id="rId1914" Type="http://schemas.openxmlformats.org/officeDocument/2006/relationships/hyperlink" Target="https://www.fangraphs.com/players/dakota-hudson/19206/stats" TargetMode="External"/><Relationship Id="rId495" Type="http://schemas.openxmlformats.org/officeDocument/2006/relationships/hyperlink" Target="https://www.fangraphs.com/players/jeff-hoffman/17432/stats" TargetMode="External"/><Relationship Id="rId148" Type="http://schemas.openxmlformats.org/officeDocument/2006/relationships/hyperlink" Target="https://www.fangraphs.com/teams/mariners" TargetMode="External"/><Relationship Id="rId355" Type="http://schemas.openxmlformats.org/officeDocument/2006/relationships/hyperlink" Target="https://www.fangraphs.com/players/nestor-cortes/17874/stats" TargetMode="External"/><Relationship Id="rId562" Type="http://schemas.openxmlformats.org/officeDocument/2006/relationships/hyperlink" Target="https://www.fangraphs.com/players/andrew-benintendi/17901/stats" TargetMode="External"/><Relationship Id="rId1192" Type="http://schemas.openxmlformats.org/officeDocument/2006/relationships/hyperlink" Target="https://www.fangraphs.com/teams/tigers" TargetMode="External"/><Relationship Id="rId2036" Type="http://schemas.openxmlformats.org/officeDocument/2006/relationships/hyperlink" Target="https://www.fangraphs.com/teams/braves" TargetMode="External"/><Relationship Id="rId215" Type="http://schemas.openxmlformats.org/officeDocument/2006/relationships/hyperlink" Target="https://www.fangraphs.com/players/carlos-rodon/16137/stats" TargetMode="External"/><Relationship Id="rId422" Type="http://schemas.openxmlformats.org/officeDocument/2006/relationships/hyperlink" Target="https://www.fangraphs.com/teams/brewers" TargetMode="External"/><Relationship Id="rId867" Type="http://schemas.openxmlformats.org/officeDocument/2006/relationships/hyperlink" Target="https://www.fangraphs.com/players/jose-trevino/16725/stats" TargetMode="External"/><Relationship Id="rId1052" Type="http://schemas.openxmlformats.org/officeDocument/2006/relationships/hyperlink" Target="https://www.fangraphs.com/teams/red-sox" TargetMode="External"/><Relationship Id="rId1497" Type="http://schemas.openxmlformats.org/officeDocument/2006/relationships/hyperlink" Target="https://www.fangraphs.com/teams/astros" TargetMode="External"/><Relationship Id="rId727" Type="http://schemas.openxmlformats.org/officeDocument/2006/relationships/hyperlink" Target="https://www.fangraphs.com/players/charlie-morton/4676/stats" TargetMode="External"/><Relationship Id="rId934" Type="http://schemas.openxmlformats.org/officeDocument/2006/relationships/hyperlink" Target="https://www.fangraphs.com/teams/yankees" TargetMode="External"/><Relationship Id="rId1357" Type="http://schemas.openxmlformats.org/officeDocument/2006/relationships/hyperlink" Target="https://www.fangraphs.com/teams/yankees" TargetMode="External"/><Relationship Id="rId1564" Type="http://schemas.openxmlformats.org/officeDocument/2006/relationships/hyperlink" Target="https://www.fangraphs.com/teams/cubs" TargetMode="External"/><Relationship Id="rId1771" Type="http://schemas.openxmlformats.org/officeDocument/2006/relationships/hyperlink" Target="https://www.fangraphs.com/teams/angels" TargetMode="External"/><Relationship Id="rId63" Type="http://schemas.openxmlformats.org/officeDocument/2006/relationships/hyperlink" Target="https://www.fangraphs.com/players/cal-raleigh/21534/stats" TargetMode="External"/><Relationship Id="rId1217" Type="http://schemas.openxmlformats.org/officeDocument/2006/relationships/hyperlink" Target="https://www.fangraphs.com/players/miles-mikolas/9803/stats" TargetMode="External"/><Relationship Id="rId1424" Type="http://schemas.openxmlformats.org/officeDocument/2006/relationships/hyperlink" Target="https://www.fangraphs.com/teams/reds" TargetMode="External"/><Relationship Id="rId1631" Type="http://schemas.openxmlformats.org/officeDocument/2006/relationships/hyperlink" Target="https://www.fangraphs.com/players/rece-hinds/27493/stats" TargetMode="External"/><Relationship Id="rId1869" Type="http://schemas.openxmlformats.org/officeDocument/2006/relationships/hyperlink" Target="https://www.fangraphs.com/teams/tigers" TargetMode="External"/><Relationship Id="rId1729" Type="http://schemas.openxmlformats.org/officeDocument/2006/relationships/hyperlink" Target="https://www.fangraphs.com/players/jon-berti/12037/stats" TargetMode="External"/><Relationship Id="rId1936" Type="http://schemas.openxmlformats.org/officeDocument/2006/relationships/hyperlink" Target="https://www.fangraphs.com/teams/padres" TargetMode="External"/><Relationship Id="rId377" Type="http://schemas.openxmlformats.org/officeDocument/2006/relationships/hyperlink" Target="https://www.fangraphs.com/players/jakob-junis/13619/stats" TargetMode="External"/><Relationship Id="rId584" Type="http://schemas.openxmlformats.org/officeDocument/2006/relationships/hyperlink" Target="https://www.fangraphs.com/players/daniel-hudson/7146/stats" TargetMode="External"/><Relationship Id="rId2058" Type="http://schemas.openxmlformats.org/officeDocument/2006/relationships/hyperlink" Target="https://www.fangraphs.com/players/matthew-batten/20157/stats" TargetMode="External"/><Relationship Id="rId5" Type="http://schemas.openxmlformats.org/officeDocument/2006/relationships/hyperlink" Target="https://www.fangraphs.com/players/bobby-witt-jr/25764/stats" TargetMode="External"/><Relationship Id="rId237" Type="http://schemas.openxmlformats.org/officeDocument/2006/relationships/hyperlink" Target="https://www.fangraphs.com/players/anthony-volpe/27647/stats" TargetMode="External"/><Relationship Id="rId791" Type="http://schemas.openxmlformats.org/officeDocument/2006/relationships/hyperlink" Target="https://www.fangraphs.com/teams/white-sox" TargetMode="External"/><Relationship Id="rId889" Type="http://schemas.openxmlformats.org/officeDocument/2006/relationships/hyperlink" Target="https://www.fangraphs.com/teams/cardinals" TargetMode="External"/><Relationship Id="rId1074" Type="http://schemas.openxmlformats.org/officeDocument/2006/relationships/hyperlink" Target="https://www.fangraphs.com/teams/padres" TargetMode="External"/><Relationship Id="rId444" Type="http://schemas.openxmlformats.org/officeDocument/2006/relationships/hyperlink" Target="https://www.fangraphs.com/teams/red-sox" TargetMode="External"/><Relationship Id="rId651" Type="http://schemas.openxmlformats.org/officeDocument/2006/relationships/hyperlink" Target="https://www.fangraphs.com/players/jake-meyers/20308/stats" TargetMode="External"/><Relationship Id="rId749" Type="http://schemas.openxmlformats.org/officeDocument/2006/relationships/hyperlink" Target="https://www.fangraphs.com/players/lucas-erceg/19360/stats" TargetMode="External"/><Relationship Id="rId1281" Type="http://schemas.openxmlformats.org/officeDocument/2006/relationships/hyperlink" Target="https://www.fangraphs.com/teams/padres" TargetMode="External"/><Relationship Id="rId1379" Type="http://schemas.openxmlformats.org/officeDocument/2006/relationships/hyperlink" Target="https://www.fangraphs.com/teams/giants" TargetMode="External"/><Relationship Id="rId1586" Type="http://schemas.openxmlformats.org/officeDocument/2006/relationships/hyperlink" Target="https://www.fangraphs.com/teams/blue-jays" TargetMode="External"/><Relationship Id="rId304" Type="http://schemas.openxmlformats.org/officeDocument/2006/relationships/hyperlink" Target="https://www.fangraphs.com/teams/royals" TargetMode="External"/><Relationship Id="rId511" Type="http://schemas.openxmlformats.org/officeDocument/2006/relationships/hyperlink" Target="https://www.fangraphs.com/players/andrew-vaughn/26197/stats" TargetMode="External"/><Relationship Id="rId609" Type="http://schemas.openxmlformats.org/officeDocument/2006/relationships/hyperlink" Target="https://www.fangraphs.com/players/luis-rengifo/19858/stats" TargetMode="External"/><Relationship Id="rId956" Type="http://schemas.openxmlformats.org/officeDocument/2006/relationships/hyperlink" Target="https://www.fangraphs.com/teams/marlins" TargetMode="External"/><Relationship Id="rId1141" Type="http://schemas.openxmlformats.org/officeDocument/2006/relationships/hyperlink" Target="https://www.fangraphs.com/teams/marlins" TargetMode="External"/><Relationship Id="rId1239" Type="http://schemas.openxmlformats.org/officeDocument/2006/relationships/hyperlink" Target="https://www.fangraphs.com/teams/white-sox" TargetMode="External"/><Relationship Id="rId1793" Type="http://schemas.openxmlformats.org/officeDocument/2006/relationships/hyperlink" Target="https://www.fangraphs.com/players/leo-rivas/21009/stats" TargetMode="External"/><Relationship Id="rId85" Type="http://schemas.openxmlformats.org/officeDocument/2006/relationships/hyperlink" Target="https://www.fangraphs.com/players/brenton-doyle/25479/stats" TargetMode="External"/><Relationship Id="rId816" Type="http://schemas.openxmlformats.org/officeDocument/2006/relationships/hyperlink" Target="https://www.fangraphs.com/teams/pirates" TargetMode="External"/><Relationship Id="rId1001" Type="http://schemas.openxmlformats.org/officeDocument/2006/relationships/hyperlink" Target="https://www.fangraphs.com/teams/diamondbacks" TargetMode="External"/><Relationship Id="rId1446" Type="http://schemas.openxmlformats.org/officeDocument/2006/relationships/hyperlink" Target="https://www.fangraphs.com/players/luke-jackson/11752/stats" TargetMode="External"/><Relationship Id="rId1653" Type="http://schemas.openxmlformats.org/officeDocument/2006/relationships/hyperlink" Target="https://www.fangraphs.com/players/mike-baumann/20206/stats" TargetMode="External"/><Relationship Id="rId1860" Type="http://schemas.openxmlformats.org/officeDocument/2006/relationships/hyperlink" Target="https://www.fangraphs.com/players/jacob-hurtubise/27599/stats" TargetMode="External"/><Relationship Id="rId1306" Type="http://schemas.openxmlformats.org/officeDocument/2006/relationships/hyperlink" Target="https://www.fangraphs.com/teams/tigers" TargetMode="External"/><Relationship Id="rId1513" Type="http://schemas.openxmlformats.org/officeDocument/2006/relationships/hyperlink" Target="https://www.fangraphs.com/teams/giants" TargetMode="External"/><Relationship Id="rId1720" Type="http://schemas.openxmlformats.org/officeDocument/2006/relationships/hyperlink" Target="https://www.fangraphs.com/players/matt-carpenter/8090/stats" TargetMode="External"/><Relationship Id="rId1958" Type="http://schemas.openxmlformats.org/officeDocument/2006/relationships/hyperlink" Target="https://www.fangraphs.com/players/pedro-leon/27781/stats" TargetMode="External"/><Relationship Id="rId12" Type="http://schemas.openxmlformats.org/officeDocument/2006/relationships/hyperlink" Target="https://www.fangraphs.com/teams/tigers" TargetMode="External"/><Relationship Id="rId1818" Type="http://schemas.openxmlformats.org/officeDocument/2006/relationships/hyperlink" Target="https://www.fangraphs.com/players/jordyn-adams/23788/stats" TargetMode="External"/><Relationship Id="rId161" Type="http://schemas.openxmlformats.org/officeDocument/2006/relationships/hyperlink" Target="https://www.fangraphs.com/players/cj-abrams/25768/stats" TargetMode="External"/><Relationship Id="rId399" Type="http://schemas.openxmlformats.org/officeDocument/2006/relationships/hyperlink" Target="https://www.fangraphs.com/players/jj-bleday/26368/stats" TargetMode="External"/><Relationship Id="rId259" Type="http://schemas.openxmlformats.org/officeDocument/2006/relationships/hyperlink" Target="https://www.fangraphs.com/players/lane-thomas/16939/stats" TargetMode="External"/><Relationship Id="rId466" Type="http://schemas.openxmlformats.org/officeDocument/2006/relationships/hyperlink" Target="https://www.fangraphs.com/teams/mets" TargetMode="External"/><Relationship Id="rId673" Type="http://schemas.openxmlformats.org/officeDocument/2006/relationships/hyperlink" Target="https://www.fangraphs.com/players/james-wood/29518/stats" TargetMode="External"/><Relationship Id="rId880" Type="http://schemas.openxmlformats.org/officeDocument/2006/relationships/hyperlink" Target="https://www.fangraphs.com/players/pedro-pages/25782/stats" TargetMode="External"/><Relationship Id="rId1096" Type="http://schemas.openxmlformats.org/officeDocument/2006/relationships/hyperlink" Target="https://www.fangraphs.com/players/pavin-smith/19892/stats" TargetMode="External"/><Relationship Id="rId119" Type="http://schemas.openxmlformats.org/officeDocument/2006/relationships/hyperlink" Target="https://www.fangraphs.com/players/ian-happ/17919/stats" TargetMode="External"/><Relationship Id="rId326" Type="http://schemas.openxmlformats.org/officeDocument/2006/relationships/hyperlink" Target="https://www.fangraphs.com/teams/dodgers" TargetMode="External"/><Relationship Id="rId533" Type="http://schemas.openxmlformats.org/officeDocument/2006/relationships/hyperlink" Target="https://www.fangraphs.com/players/alex-verdugo/17027/stats" TargetMode="External"/><Relationship Id="rId978" Type="http://schemas.openxmlformats.org/officeDocument/2006/relationships/hyperlink" Target="https://www.fangraphs.com/teams/mariners" TargetMode="External"/><Relationship Id="rId1163" Type="http://schemas.openxmlformats.org/officeDocument/2006/relationships/hyperlink" Target="https://www.fangraphs.com/teams/rockies" TargetMode="External"/><Relationship Id="rId1370" Type="http://schemas.openxmlformats.org/officeDocument/2006/relationships/hyperlink" Target="https://www.fangraphs.com/players/tommy-edman/19470/stats" TargetMode="External"/><Relationship Id="rId2007" Type="http://schemas.openxmlformats.org/officeDocument/2006/relationships/hyperlink" Target="https://www.fangraphs.com/players/david-fletcher/17992/stats" TargetMode="External"/><Relationship Id="rId740" Type="http://schemas.openxmlformats.org/officeDocument/2006/relationships/hyperlink" Target="https://www.fangraphs.com/teams/mets" TargetMode="External"/><Relationship Id="rId838" Type="http://schemas.openxmlformats.org/officeDocument/2006/relationships/hyperlink" Target="https://www.fangraphs.com/players/jojo-romero/19574/stats" TargetMode="External"/><Relationship Id="rId1023" Type="http://schemas.openxmlformats.org/officeDocument/2006/relationships/hyperlink" Target="https://www.fangraphs.com/players/jonathan-cannon/31730/stats" TargetMode="External"/><Relationship Id="rId1468" Type="http://schemas.openxmlformats.org/officeDocument/2006/relationships/hyperlink" Target="https://www.fangraphs.com/teams/mets" TargetMode="External"/><Relationship Id="rId1675" Type="http://schemas.openxmlformats.org/officeDocument/2006/relationships/hyperlink" Target="https://www.fangraphs.com/players/chase-anderson/6895/stats" TargetMode="External"/><Relationship Id="rId1882" Type="http://schemas.openxmlformats.org/officeDocument/2006/relationships/hyperlink" Target="https://www.fangraphs.com/players/graham-pauley/31363/stats" TargetMode="External"/><Relationship Id="rId600" Type="http://schemas.openxmlformats.org/officeDocument/2006/relationships/hyperlink" Target="https://www.fangraphs.com/teams/orioles" TargetMode="External"/><Relationship Id="rId1230" Type="http://schemas.openxmlformats.org/officeDocument/2006/relationships/hyperlink" Target="https://www.fangraphs.com/players/emilio-pagan/14771/stats" TargetMode="External"/><Relationship Id="rId1328" Type="http://schemas.openxmlformats.org/officeDocument/2006/relationships/hyperlink" Target="https://www.fangraphs.com/teams/giants" TargetMode="External"/><Relationship Id="rId1535" Type="http://schemas.openxmlformats.org/officeDocument/2006/relationships/hyperlink" Target="https://www.fangraphs.com/teams/dodgers" TargetMode="External"/><Relationship Id="rId905" Type="http://schemas.openxmlformats.org/officeDocument/2006/relationships/hyperlink" Target="https://www.fangraphs.com/teams/phillies" TargetMode="External"/><Relationship Id="rId1742" Type="http://schemas.openxmlformats.org/officeDocument/2006/relationships/hyperlink" Target="https://www.fangraphs.com/teams/nationals" TargetMode="External"/><Relationship Id="rId34" Type="http://schemas.openxmlformats.org/officeDocument/2006/relationships/hyperlink" Target="https://www.fangraphs.com/teams/astros" TargetMode="External"/><Relationship Id="rId1602" Type="http://schemas.openxmlformats.org/officeDocument/2006/relationships/hyperlink" Target="https://www.fangraphs.com/teams/mets" TargetMode="External"/><Relationship Id="rId183" Type="http://schemas.openxmlformats.org/officeDocument/2006/relationships/hyperlink" Target="https://www.fangraphs.com/players/ryan-walker/20423/stats" TargetMode="External"/><Relationship Id="rId390" Type="http://schemas.openxmlformats.org/officeDocument/2006/relationships/hyperlink" Target="https://www.fangraphs.com/teams/phillies" TargetMode="External"/><Relationship Id="rId1907" Type="http://schemas.openxmlformats.org/officeDocument/2006/relationships/hyperlink" Target="https://www.fangraphs.com/players/billy-mckinney/15654/stats" TargetMode="External"/><Relationship Id="rId2071" Type="http://schemas.openxmlformats.org/officeDocument/2006/relationships/hyperlink" Target="https://www.fangraphs.com/players/matt-mervis/27845/stats" TargetMode="External"/><Relationship Id="rId250" Type="http://schemas.openxmlformats.org/officeDocument/2006/relationships/hyperlink" Target="https://www.fangraphs.com/teams/red-sox" TargetMode="External"/><Relationship Id="rId488" Type="http://schemas.openxmlformats.org/officeDocument/2006/relationships/hyperlink" Target="https://www.fangraphs.com/teams/brewers" TargetMode="External"/><Relationship Id="rId695" Type="http://schemas.openxmlformats.org/officeDocument/2006/relationships/hyperlink" Target="https://www.fangraphs.com/teams/astros" TargetMode="External"/><Relationship Id="rId110" Type="http://schemas.openxmlformats.org/officeDocument/2006/relationships/hyperlink" Target="https://www.fangraphs.com/teams/mariners" TargetMode="External"/><Relationship Id="rId348" Type="http://schemas.openxmlformats.org/officeDocument/2006/relationships/hyperlink" Target="https://www.fangraphs.com/teams/nationals" TargetMode="External"/><Relationship Id="rId555" Type="http://schemas.openxmlformats.org/officeDocument/2006/relationships/hyperlink" Target="https://www.fangraphs.com/teams/tigers" TargetMode="External"/><Relationship Id="rId762" Type="http://schemas.openxmlformats.org/officeDocument/2006/relationships/hyperlink" Target="https://www.fangraphs.com/players/aroldis-chapman/10233/stats" TargetMode="External"/><Relationship Id="rId1185" Type="http://schemas.openxmlformats.org/officeDocument/2006/relationships/hyperlink" Target="https://www.fangraphs.com/players/luis-torrens/15905/stats" TargetMode="External"/><Relationship Id="rId1392" Type="http://schemas.openxmlformats.org/officeDocument/2006/relationships/hyperlink" Target="https://www.fangraphs.com/players/mike-trout/10155/stats" TargetMode="External"/><Relationship Id="rId2029" Type="http://schemas.openxmlformats.org/officeDocument/2006/relationships/hyperlink" Target="https://www.fangraphs.com/players/livan-soto/22471/stats" TargetMode="External"/><Relationship Id="rId208" Type="http://schemas.openxmlformats.org/officeDocument/2006/relationships/hyperlink" Target="https://www.fangraphs.com/teams/cubs" TargetMode="External"/><Relationship Id="rId415" Type="http://schemas.openxmlformats.org/officeDocument/2006/relationships/hyperlink" Target="https://www.fangraphs.com/players/carlos-santana/2396/stats" TargetMode="External"/><Relationship Id="rId622" Type="http://schemas.openxmlformats.org/officeDocument/2006/relationships/hyperlink" Target="https://www.fangraphs.com/teams/diamondbacks" TargetMode="External"/><Relationship Id="rId1045" Type="http://schemas.openxmlformats.org/officeDocument/2006/relationships/hyperlink" Target="https://www.fangraphs.com/players/richie-palacios/24589/stats" TargetMode="External"/><Relationship Id="rId1252" Type="http://schemas.openxmlformats.org/officeDocument/2006/relationships/hyperlink" Target="https://www.fangraphs.com/teams/reds" TargetMode="External"/><Relationship Id="rId1697" Type="http://schemas.openxmlformats.org/officeDocument/2006/relationships/hyperlink" Target="https://www.fangraphs.com/teams/tigers" TargetMode="External"/><Relationship Id="rId927" Type="http://schemas.openxmlformats.org/officeDocument/2006/relationships/hyperlink" Target="https://www.fangraphs.com/players/manuel-rodriguez/20794/stats" TargetMode="External"/><Relationship Id="rId1112" Type="http://schemas.openxmlformats.org/officeDocument/2006/relationships/hyperlink" Target="https://www.fangraphs.com/players/tyler-phillips/20629/stats" TargetMode="External"/><Relationship Id="rId1557" Type="http://schemas.openxmlformats.org/officeDocument/2006/relationships/hyperlink" Target="https://www.fangraphs.com/players/slade-cecconi/27500/stats" TargetMode="External"/><Relationship Id="rId1764" Type="http://schemas.openxmlformats.org/officeDocument/2006/relationships/hyperlink" Target="https://www.fangraphs.com/players/eric-wagaman/23395/stats" TargetMode="External"/><Relationship Id="rId1971" Type="http://schemas.openxmlformats.org/officeDocument/2006/relationships/hyperlink" Target="https://www.fangraphs.com/players/braden-shewmake/25817/stats" TargetMode="External"/><Relationship Id="rId56" Type="http://schemas.openxmlformats.org/officeDocument/2006/relationships/hyperlink" Target="https://www.fangraphs.com/teams/guardians" TargetMode="External"/><Relationship Id="rId1417" Type="http://schemas.openxmlformats.org/officeDocument/2006/relationships/hyperlink" Target="https://www.fangraphs.com/players/brett-wisely/27735/stats" TargetMode="External"/><Relationship Id="rId1624" Type="http://schemas.openxmlformats.org/officeDocument/2006/relationships/hyperlink" Target="https://www.fangraphs.com/teams/rays" TargetMode="External"/><Relationship Id="rId1831" Type="http://schemas.openxmlformats.org/officeDocument/2006/relationships/hyperlink" Target="https://www.fangraphs.com/teams/mets" TargetMode="External"/><Relationship Id="rId1929" Type="http://schemas.openxmlformats.org/officeDocument/2006/relationships/hyperlink" Target="https://www.fangraphs.com/teams/tigers" TargetMode="External"/><Relationship Id="rId272" Type="http://schemas.openxmlformats.org/officeDocument/2006/relationships/hyperlink" Target="https://www.fangraphs.com/teams/cubs" TargetMode="External"/><Relationship Id="rId577" Type="http://schemas.openxmlformats.org/officeDocument/2006/relationships/hyperlink" Target="https://www.fangraphs.com/teams/marlins" TargetMode="External"/><Relationship Id="rId132" Type="http://schemas.openxmlformats.org/officeDocument/2006/relationships/hyperlink" Target="https://www.fangraphs.com/teams/rockies" TargetMode="External"/><Relationship Id="rId784" Type="http://schemas.openxmlformats.org/officeDocument/2006/relationships/hyperlink" Target="https://www.fangraphs.com/teams/brewers" TargetMode="External"/><Relationship Id="rId991" Type="http://schemas.openxmlformats.org/officeDocument/2006/relationships/hyperlink" Target="https://www.fangraphs.com/players/will-brennan/25660/stats" TargetMode="External"/><Relationship Id="rId1067" Type="http://schemas.openxmlformats.org/officeDocument/2006/relationships/hyperlink" Target="https://www.fangraphs.com/players/jacob-webb/19274/stats" TargetMode="External"/><Relationship Id="rId2020" Type="http://schemas.openxmlformats.org/officeDocument/2006/relationships/hyperlink" Target="https://www.fangraphs.com/teams/braves" TargetMode="External"/><Relationship Id="rId437" Type="http://schemas.openxmlformats.org/officeDocument/2006/relationships/hyperlink" Target="https://www.fangraphs.com/players/nick-pivetta/15454/stats" TargetMode="External"/><Relationship Id="rId644" Type="http://schemas.openxmlformats.org/officeDocument/2006/relationships/hyperlink" Target="https://www.fangraphs.com/teams/cubs" TargetMode="External"/><Relationship Id="rId851" Type="http://schemas.openxmlformats.org/officeDocument/2006/relationships/hyperlink" Target="https://www.fangraphs.com/teams/cardinals" TargetMode="External"/><Relationship Id="rId1274" Type="http://schemas.openxmlformats.org/officeDocument/2006/relationships/hyperlink" Target="https://www.fangraphs.com/teams/cardinals" TargetMode="External"/><Relationship Id="rId1481" Type="http://schemas.openxmlformats.org/officeDocument/2006/relationships/hyperlink" Target="https://www.fangraphs.com/teams/rangers" TargetMode="External"/><Relationship Id="rId1579" Type="http://schemas.openxmlformats.org/officeDocument/2006/relationships/hyperlink" Target="https://www.fangraphs.com/players/luis-matos/26467/stats" TargetMode="External"/><Relationship Id="rId504" Type="http://schemas.openxmlformats.org/officeDocument/2006/relationships/hyperlink" Target="https://www.fangraphs.com/teams/tigers" TargetMode="External"/><Relationship Id="rId711" Type="http://schemas.openxmlformats.org/officeDocument/2006/relationships/hyperlink" Target="https://www.fangraphs.com/teams/cubs" TargetMode="External"/><Relationship Id="rId949" Type="http://schemas.openxmlformats.org/officeDocument/2006/relationships/hyperlink" Target="https://www.fangraphs.com/players/tyler-alexander/17735/stats" TargetMode="External"/><Relationship Id="rId1134" Type="http://schemas.openxmlformats.org/officeDocument/2006/relationships/hyperlink" Target="https://www.fangraphs.com/players/justin-wrobleski/31204/stats" TargetMode="External"/><Relationship Id="rId1341" Type="http://schemas.openxmlformats.org/officeDocument/2006/relationships/hyperlink" Target="https://www.fangraphs.com/teams/nationals" TargetMode="External"/><Relationship Id="rId1786" Type="http://schemas.openxmlformats.org/officeDocument/2006/relationships/hyperlink" Target="https://www.fangraphs.com/teams/white-sox" TargetMode="External"/><Relationship Id="rId1993" Type="http://schemas.openxmlformats.org/officeDocument/2006/relationships/hyperlink" Target="https://www.fangraphs.com/teams/mets" TargetMode="External"/><Relationship Id="rId78" Type="http://schemas.openxmlformats.org/officeDocument/2006/relationships/hyperlink" Target="https://www.fangraphs.com/teams/yankees" TargetMode="External"/><Relationship Id="rId809" Type="http://schemas.openxmlformats.org/officeDocument/2006/relationships/hyperlink" Target="https://www.fangraphs.com/teams/nationals" TargetMode="External"/><Relationship Id="rId1201" Type="http://schemas.openxmlformats.org/officeDocument/2006/relationships/hyperlink" Target="https://www.fangraphs.com/players/ryan-pressly/7005/stats" TargetMode="External"/><Relationship Id="rId1439" Type="http://schemas.openxmlformats.org/officeDocument/2006/relationships/hyperlink" Target="https://www.fangraphs.com/teams/astros" TargetMode="External"/><Relationship Id="rId1646" Type="http://schemas.openxmlformats.org/officeDocument/2006/relationships/hyperlink" Target="https://www.fangraphs.com/players/robbie-grossman/5254/stats" TargetMode="External"/><Relationship Id="rId1853" Type="http://schemas.openxmlformats.org/officeDocument/2006/relationships/hyperlink" Target="https://www.fangraphs.com/teams/braves" TargetMode="External"/><Relationship Id="rId1506" Type="http://schemas.openxmlformats.org/officeDocument/2006/relationships/hyperlink" Target="https://www.fangraphs.com/players/eloy-jimenez/17484/stats" TargetMode="External"/><Relationship Id="rId1713" Type="http://schemas.openxmlformats.org/officeDocument/2006/relationships/hyperlink" Target="https://www.fangraphs.com/teams/cubs" TargetMode="External"/><Relationship Id="rId1920" Type="http://schemas.openxmlformats.org/officeDocument/2006/relationships/hyperlink" Target="https://www.fangraphs.com/teams/rays" TargetMode="External"/><Relationship Id="rId294" Type="http://schemas.openxmlformats.org/officeDocument/2006/relationships/hyperlink" Target="https://www.fangraphs.com/teams/cardinals" TargetMode="External"/><Relationship Id="rId154" Type="http://schemas.openxmlformats.org/officeDocument/2006/relationships/hyperlink" Target="https://www.fangraphs.com/teams/reds" TargetMode="External"/><Relationship Id="rId361" Type="http://schemas.openxmlformats.org/officeDocument/2006/relationships/hyperlink" Target="https://www.fangraphs.com/players/jason-adam/11861/stats" TargetMode="External"/><Relationship Id="rId599" Type="http://schemas.openxmlformats.org/officeDocument/2006/relationships/hyperlink" Target="https://www.fangraphs.com/players/kyle-bradish/24586/stats" TargetMode="External"/><Relationship Id="rId2042" Type="http://schemas.openxmlformats.org/officeDocument/2006/relationships/hyperlink" Target="https://www.fangraphs.com/teams/white-sox" TargetMode="External"/><Relationship Id="rId459" Type="http://schemas.openxmlformats.org/officeDocument/2006/relationships/hyperlink" Target="https://www.fangraphs.com/players/austin-wells/27562/stats" TargetMode="External"/><Relationship Id="rId666" Type="http://schemas.openxmlformats.org/officeDocument/2006/relationships/hyperlink" Target="https://www.fangraphs.com/teams/red-sox" TargetMode="External"/><Relationship Id="rId873" Type="http://schemas.openxmlformats.org/officeDocument/2006/relationships/hyperlink" Target="https://www.fangraphs.com/players/james-paxton/11828/stats" TargetMode="External"/><Relationship Id="rId1089" Type="http://schemas.openxmlformats.org/officeDocument/2006/relationships/hyperlink" Target="https://www.fangraphs.com/teams/reds" TargetMode="External"/><Relationship Id="rId1296" Type="http://schemas.openxmlformats.org/officeDocument/2006/relationships/hyperlink" Target="https://www.fangraphs.com/teams/orioles" TargetMode="External"/><Relationship Id="rId221" Type="http://schemas.openxmlformats.org/officeDocument/2006/relationships/hyperlink" Target="https://www.fangraphs.com/players/steven-kwan/24610/stats" TargetMode="External"/><Relationship Id="rId319" Type="http://schemas.openxmlformats.org/officeDocument/2006/relationships/hyperlink" Target="https://www.fangraphs.com/players/justin-steele/17312/stats" TargetMode="External"/><Relationship Id="rId526" Type="http://schemas.openxmlformats.org/officeDocument/2006/relationships/hyperlink" Target="https://www.fangraphs.com/players/ernie-clement/20352/stats" TargetMode="External"/><Relationship Id="rId1156" Type="http://schemas.openxmlformats.org/officeDocument/2006/relationships/hyperlink" Target="https://www.fangraphs.com/players/kyle-mccann/25575/stats" TargetMode="External"/><Relationship Id="rId1363" Type="http://schemas.openxmlformats.org/officeDocument/2006/relationships/hyperlink" Target="https://www.fangraphs.com/teams/cubs" TargetMode="External"/><Relationship Id="rId733" Type="http://schemas.openxmlformats.org/officeDocument/2006/relationships/hyperlink" Target="https://www.fangraphs.com/players/justin-slaten/25648/stats" TargetMode="External"/><Relationship Id="rId940" Type="http://schemas.openxmlformats.org/officeDocument/2006/relationships/hyperlink" Target="https://www.fangraphs.com/teams/mariners" TargetMode="External"/><Relationship Id="rId1016" Type="http://schemas.openxmlformats.org/officeDocument/2006/relationships/hyperlink" Target="https://www.fangraphs.com/teams/angels" TargetMode="External"/><Relationship Id="rId1570" Type="http://schemas.openxmlformats.org/officeDocument/2006/relationships/hyperlink" Target="https://www.fangraphs.com/teams/royals" TargetMode="External"/><Relationship Id="rId1668" Type="http://schemas.openxmlformats.org/officeDocument/2006/relationships/hyperlink" Target="https://www.fangraphs.com/teams/orioles" TargetMode="External"/><Relationship Id="rId1875" Type="http://schemas.openxmlformats.org/officeDocument/2006/relationships/hyperlink" Target="https://www.fangraphs.com/players/jack-lopez/13663/stats" TargetMode="External"/><Relationship Id="rId800" Type="http://schemas.openxmlformats.org/officeDocument/2006/relationships/hyperlink" Target="https://www.fangraphs.com/players/javier-assad/21741/stats" TargetMode="External"/><Relationship Id="rId1223" Type="http://schemas.openxmlformats.org/officeDocument/2006/relationships/hyperlink" Target="https://www.fangraphs.com/teams/red-sox" TargetMode="External"/><Relationship Id="rId1430" Type="http://schemas.openxmlformats.org/officeDocument/2006/relationships/hyperlink" Target="https://www.fangraphs.com/players/burch-smith/12784/stats" TargetMode="External"/><Relationship Id="rId1528" Type="http://schemas.openxmlformats.org/officeDocument/2006/relationships/hyperlink" Target="https://www.fangraphs.com/teams/giants" TargetMode="External"/><Relationship Id="rId1735" Type="http://schemas.openxmlformats.org/officeDocument/2006/relationships/hyperlink" Target="https://www.fangraphs.com/players/joshua-palacios/19818/stats" TargetMode="External"/><Relationship Id="rId1942" Type="http://schemas.openxmlformats.org/officeDocument/2006/relationships/hyperlink" Target="https://www.fangraphs.com/players/michael-helman/24605/stats" TargetMode="External"/><Relationship Id="rId27" Type="http://schemas.openxmlformats.org/officeDocument/2006/relationships/hyperlink" Target="https://www.fangraphs.com/players/marcell-ozuna/10324/stats" TargetMode="External"/><Relationship Id="rId1802" Type="http://schemas.openxmlformats.org/officeDocument/2006/relationships/hyperlink" Target="https://www.fangraphs.com/teams/rays" TargetMode="External"/><Relationship Id="rId176" Type="http://schemas.openxmlformats.org/officeDocument/2006/relationships/hyperlink" Target="https://www.fangraphs.com/teams/yankees" TargetMode="External"/><Relationship Id="rId383" Type="http://schemas.openxmlformats.org/officeDocument/2006/relationships/hyperlink" Target="https://www.fangraphs.com/players/cade-smith/27867/stats" TargetMode="External"/><Relationship Id="rId590" Type="http://schemas.openxmlformats.org/officeDocument/2006/relationships/hyperlink" Target="https://www.fangraphs.com/teams/pirates" TargetMode="External"/><Relationship Id="rId2064" Type="http://schemas.openxmlformats.org/officeDocument/2006/relationships/hyperlink" Target="https://www.fangraphs.com/players/jace-peterson/12325/stats" TargetMode="External"/><Relationship Id="rId243" Type="http://schemas.openxmlformats.org/officeDocument/2006/relationships/hyperlink" Target="https://www.fangraphs.com/players/tanner-scott/17586/stats" TargetMode="External"/><Relationship Id="rId450" Type="http://schemas.openxmlformats.org/officeDocument/2006/relationships/hyperlink" Target="https://www.fangraphs.com/teams/athletics" TargetMode="External"/><Relationship Id="rId688" Type="http://schemas.openxmlformats.org/officeDocument/2006/relationships/hyperlink" Target="https://www.fangraphs.com/teams/rays" TargetMode="External"/><Relationship Id="rId895" Type="http://schemas.openxmlformats.org/officeDocument/2006/relationships/hyperlink" Target="https://www.fangraphs.com/teams/rays" TargetMode="External"/><Relationship Id="rId1080" Type="http://schemas.openxmlformats.org/officeDocument/2006/relationships/hyperlink" Target="https://www.fangraphs.com/teams/athletics" TargetMode="External"/><Relationship Id="rId103" Type="http://schemas.openxmlformats.org/officeDocument/2006/relationships/hyperlink" Target="https://www.fangraphs.com/players/hunter-greene/22182/stats" TargetMode="External"/><Relationship Id="rId310" Type="http://schemas.openxmlformats.org/officeDocument/2006/relationships/hyperlink" Target="https://www.fangraphs.com/teams/blue-jays" TargetMode="External"/><Relationship Id="rId548" Type="http://schemas.openxmlformats.org/officeDocument/2006/relationships/hyperlink" Target="https://www.fangraphs.com/players/leody-taveras/18900/stats" TargetMode="External"/><Relationship Id="rId755" Type="http://schemas.openxmlformats.org/officeDocument/2006/relationships/hyperlink" Target="https://www.fangraphs.com/teams/dodgers" TargetMode="External"/><Relationship Id="rId962" Type="http://schemas.openxmlformats.org/officeDocument/2006/relationships/hyperlink" Target="https://www.fangraphs.com/teams/tigers" TargetMode="External"/><Relationship Id="rId1178" Type="http://schemas.openxmlformats.org/officeDocument/2006/relationships/hyperlink" Target="https://www.fangraphs.com/teams/dodgers" TargetMode="External"/><Relationship Id="rId1385" Type="http://schemas.openxmlformats.org/officeDocument/2006/relationships/hyperlink" Target="https://www.fangraphs.com/teams/orioles" TargetMode="External"/><Relationship Id="rId1592" Type="http://schemas.openxmlformats.org/officeDocument/2006/relationships/hyperlink" Target="https://www.fangraphs.com/teams/white-sox" TargetMode="External"/><Relationship Id="rId91" Type="http://schemas.openxmlformats.org/officeDocument/2006/relationships/hyperlink" Target="https://www.fangraphs.com/players/jack-flaherty/17479/stats" TargetMode="External"/><Relationship Id="rId408" Type="http://schemas.openxmlformats.org/officeDocument/2006/relationships/hyperlink" Target="https://www.fangraphs.com/teams/brewers" TargetMode="External"/><Relationship Id="rId615" Type="http://schemas.openxmlformats.org/officeDocument/2006/relationships/hyperlink" Target="https://www.fangraphs.com/players/mitch-keller/17594/stats" TargetMode="External"/><Relationship Id="rId822" Type="http://schemas.openxmlformats.org/officeDocument/2006/relationships/hyperlink" Target="https://www.fangraphs.com/players/royce-lewis/20437/stats" TargetMode="External"/><Relationship Id="rId1038" Type="http://schemas.openxmlformats.org/officeDocument/2006/relationships/hyperlink" Target="https://www.fangraphs.com/teams/giants" TargetMode="External"/><Relationship Id="rId1245" Type="http://schemas.openxmlformats.org/officeDocument/2006/relationships/hyperlink" Target="https://www.fangraphs.com/players/seth-martinez/21045/stats" TargetMode="External"/><Relationship Id="rId1452" Type="http://schemas.openxmlformats.org/officeDocument/2006/relationships/hyperlink" Target="https://www.fangraphs.com/players/logan-driscoll/25475/stats" TargetMode="External"/><Relationship Id="rId1897" Type="http://schemas.openxmlformats.org/officeDocument/2006/relationships/hyperlink" Target="https://www.fangraphs.com/teams/twins" TargetMode="External"/><Relationship Id="rId1105" Type="http://schemas.openxmlformats.org/officeDocument/2006/relationships/hyperlink" Target="https://www.fangraphs.com/teams/cardinals" TargetMode="External"/><Relationship Id="rId1312" Type="http://schemas.openxmlformats.org/officeDocument/2006/relationships/hyperlink" Target="https://www.fangraphs.com/teams/mets" TargetMode="External"/><Relationship Id="rId1757" Type="http://schemas.openxmlformats.org/officeDocument/2006/relationships/hyperlink" Target="https://www.fangraphs.com/teams/mets" TargetMode="External"/><Relationship Id="rId1964" Type="http://schemas.openxmlformats.org/officeDocument/2006/relationships/hyperlink" Target="https://www.fangraphs.com/teams/giants" TargetMode="External"/><Relationship Id="rId49" Type="http://schemas.openxmlformats.org/officeDocument/2006/relationships/hyperlink" Target="https://www.fangraphs.com/players/shota-imanaga/33829/stats" TargetMode="External"/><Relationship Id="rId1617" Type="http://schemas.openxmlformats.org/officeDocument/2006/relationships/hyperlink" Target="https://www.fangraphs.com/players/justin-wilson/4301/stats" TargetMode="External"/><Relationship Id="rId1824" Type="http://schemas.openxmlformats.org/officeDocument/2006/relationships/hyperlink" Target="https://www.fangraphs.com/players/nick-loftin/27630/stats" TargetMode="External"/><Relationship Id="rId198" Type="http://schemas.openxmlformats.org/officeDocument/2006/relationships/hyperlink" Target="https://www.fangraphs.com/teams/phillies" TargetMode="External"/><Relationship Id="rId2086" Type="http://schemas.openxmlformats.org/officeDocument/2006/relationships/hyperlink" Target="https://www.fangraphs.com/teams/rangers" TargetMode="External"/><Relationship Id="rId265" Type="http://schemas.openxmlformats.org/officeDocument/2006/relationships/hyperlink" Target="https://www.fangraphs.com/players/spencer-schwellenbach/31846/stats" TargetMode="External"/><Relationship Id="rId472" Type="http://schemas.openxmlformats.org/officeDocument/2006/relationships/hyperlink" Target="https://www.fangraphs.com/teams/yankees" TargetMode="External"/><Relationship Id="rId125" Type="http://schemas.openxmlformats.org/officeDocument/2006/relationships/hyperlink" Target="https://www.fangraphs.com/players/will-smith/19197/stats" TargetMode="External"/><Relationship Id="rId332" Type="http://schemas.openxmlformats.org/officeDocument/2006/relationships/hyperlink" Target="https://www.fangraphs.com/teams/phillies" TargetMode="External"/><Relationship Id="rId777" Type="http://schemas.openxmlformats.org/officeDocument/2006/relationships/hyperlink" Target="https://www.fangraphs.com/teams/blue-jays" TargetMode="External"/><Relationship Id="rId984" Type="http://schemas.openxmlformats.org/officeDocument/2006/relationships/hyperlink" Target="https://www.fangraphs.com/teams/rangers" TargetMode="External"/><Relationship Id="rId2013" Type="http://schemas.openxmlformats.org/officeDocument/2006/relationships/hyperlink" Target="https://www.fangraphs.com/teams/rangers" TargetMode="External"/><Relationship Id="rId637" Type="http://schemas.openxmlformats.org/officeDocument/2006/relationships/hyperlink" Target="https://www.fangraphs.com/players/brayan-bello/23920/stats" TargetMode="External"/><Relationship Id="rId844" Type="http://schemas.openxmlformats.org/officeDocument/2006/relationships/hyperlink" Target="https://www.fangraphs.com/players/xzavion-curry/25595/stats" TargetMode="External"/><Relationship Id="rId1267" Type="http://schemas.openxmlformats.org/officeDocument/2006/relationships/hyperlink" Target="https://www.fangraphs.com/players/tanner-banks/16990/stats" TargetMode="External"/><Relationship Id="rId1474" Type="http://schemas.openxmlformats.org/officeDocument/2006/relationships/hyperlink" Target="https://www.fangraphs.com/teams/orioles" TargetMode="External"/><Relationship Id="rId1681" Type="http://schemas.openxmlformats.org/officeDocument/2006/relationships/hyperlink" Target="https://www.fangraphs.com/teams/rangers" TargetMode="External"/><Relationship Id="rId704" Type="http://schemas.openxmlformats.org/officeDocument/2006/relationships/hyperlink" Target="https://www.fangraphs.com/players/korey-lee/25543/stats" TargetMode="External"/><Relationship Id="rId911" Type="http://schemas.openxmlformats.org/officeDocument/2006/relationships/hyperlink" Target="https://www.fangraphs.com/teams/marlins" TargetMode="External"/><Relationship Id="rId1127" Type="http://schemas.openxmlformats.org/officeDocument/2006/relationships/hyperlink" Target="https://www.fangraphs.com/teams/blue-jays" TargetMode="External"/><Relationship Id="rId1334" Type="http://schemas.openxmlformats.org/officeDocument/2006/relationships/hyperlink" Target="https://www.fangraphs.com/players/tyler-kinley/18297/stats" TargetMode="External"/><Relationship Id="rId1541" Type="http://schemas.openxmlformats.org/officeDocument/2006/relationships/hyperlink" Target="https://www.fangraphs.com/teams/rangers" TargetMode="External"/><Relationship Id="rId1779" Type="http://schemas.openxmlformats.org/officeDocument/2006/relationships/hyperlink" Target="https://www.fangraphs.com/players/jose-suarez/19911/stats" TargetMode="External"/><Relationship Id="rId1986" Type="http://schemas.openxmlformats.org/officeDocument/2006/relationships/hyperlink" Target="https://www.fangraphs.com/players/daniel-vogelbach/14130/stats" TargetMode="External"/><Relationship Id="rId40" Type="http://schemas.openxmlformats.org/officeDocument/2006/relationships/hyperlink" Target="https://www.fangraphs.com/teams/pirates" TargetMode="External"/><Relationship Id="rId1401" Type="http://schemas.openxmlformats.org/officeDocument/2006/relationships/hyperlink" Target="https://www.fangraphs.com/teams/braves" TargetMode="External"/><Relationship Id="rId1639" Type="http://schemas.openxmlformats.org/officeDocument/2006/relationships/hyperlink" Target="https://www.fangraphs.com/teams/angels" TargetMode="External"/><Relationship Id="rId1846" Type="http://schemas.openxmlformats.org/officeDocument/2006/relationships/hyperlink" Target="https://www.fangraphs.com/players/niko-kavadas/29782/stats" TargetMode="External"/><Relationship Id="rId1706" Type="http://schemas.openxmlformats.org/officeDocument/2006/relationships/hyperlink" Target="https://www.fangraphs.com/players/ross-stripling/13273/stats" TargetMode="External"/><Relationship Id="rId1913" Type="http://schemas.openxmlformats.org/officeDocument/2006/relationships/hyperlink" Target="https://www.fangraphs.com/teams/rockies" TargetMode="External"/><Relationship Id="rId287" Type="http://schemas.openxmlformats.org/officeDocument/2006/relationships/hyperlink" Target="https://www.fangraphs.com/players/erick-fedde/17425/stats" TargetMode="External"/><Relationship Id="rId494" Type="http://schemas.openxmlformats.org/officeDocument/2006/relationships/hyperlink" Target="https://www.fangraphs.com/teams/rays" TargetMode="External"/><Relationship Id="rId147" Type="http://schemas.openxmlformats.org/officeDocument/2006/relationships/hyperlink" Target="https://www.fangraphs.com/players/bryan-woo/30279/stats" TargetMode="External"/><Relationship Id="rId354" Type="http://schemas.openxmlformats.org/officeDocument/2006/relationships/hyperlink" Target="https://www.fangraphs.com/teams/tigers" TargetMode="External"/><Relationship Id="rId799" Type="http://schemas.openxmlformats.org/officeDocument/2006/relationships/hyperlink" Target="https://www.fangraphs.com/teams/rockies" TargetMode="External"/><Relationship Id="rId1191" Type="http://schemas.openxmlformats.org/officeDocument/2006/relationships/hyperlink" Target="https://www.fangraphs.com/players/andrew-chafin/12988/stats" TargetMode="External"/><Relationship Id="rId2035" Type="http://schemas.openxmlformats.org/officeDocument/2006/relationships/hyperlink" Target="https://www.fangraphs.com/players/nick-allen/22277/stats" TargetMode="External"/><Relationship Id="rId561" Type="http://schemas.openxmlformats.org/officeDocument/2006/relationships/hyperlink" Target="https://www.fangraphs.com/teams/angels" TargetMode="External"/><Relationship Id="rId659" Type="http://schemas.openxmlformats.org/officeDocument/2006/relationships/hyperlink" Target="https://www.fangraphs.com/players/alec-marsh/27451/stats" TargetMode="External"/><Relationship Id="rId866" Type="http://schemas.openxmlformats.org/officeDocument/2006/relationships/hyperlink" Target="https://www.fangraphs.com/teams/mets" TargetMode="External"/><Relationship Id="rId1289" Type="http://schemas.openxmlformats.org/officeDocument/2006/relationships/hyperlink" Target="https://www.fangraphs.com/teams/dodgers" TargetMode="External"/><Relationship Id="rId1496" Type="http://schemas.openxmlformats.org/officeDocument/2006/relationships/hyperlink" Target="https://www.fangraphs.com/players/shawn-dubin/24977/stats" TargetMode="External"/><Relationship Id="rId214" Type="http://schemas.openxmlformats.org/officeDocument/2006/relationships/hyperlink" Target="https://www.fangraphs.com/teams/padres" TargetMode="External"/><Relationship Id="rId421" Type="http://schemas.openxmlformats.org/officeDocument/2006/relationships/hyperlink" Target="https://www.fangraphs.com/players/rhys-hoskins/16472/stats" TargetMode="External"/><Relationship Id="rId519" Type="http://schemas.openxmlformats.org/officeDocument/2006/relationships/hyperlink" Target="https://www.fangraphs.com/teams/twins" TargetMode="External"/><Relationship Id="rId1051" Type="http://schemas.openxmlformats.org/officeDocument/2006/relationships/hyperlink" Target="https://www.fangraphs.com/players/zack-kelly/20349/stats" TargetMode="External"/><Relationship Id="rId1149" Type="http://schemas.openxmlformats.org/officeDocument/2006/relationships/hyperlink" Target="https://www.fangraphs.com/teams/pirates" TargetMode="External"/><Relationship Id="rId1356" Type="http://schemas.openxmlformats.org/officeDocument/2006/relationships/hyperlink" Target="https://www.fangraphs.com/players/tim-hill/16814/stats" TargetMode="External"/><Relationship Id="rId726" Type="http://schemas.openxmlformats.org/officeDocument/2006/relationships/hyperlink" Target="https://www.fangraphs.com/teams/reds" TargetMode="External"/><Relationship Id="rId933" Type="http://schemas.openxmlformats.org/officeDocument/2006/relationships/hyperlink" Target="https://www.fangraphs.com/players/jake-cousins/21620/stats" TargetMode="External"/><Relationship Id="rId1009" Type="http://schemas.openxmlformats.org/officeDocument/2006/relationships/hyperlink" Target="https://www.fangraphs.com/players/carmen-mlodzinski/27572/stats" TargetMode="External"/><Relationship Id="rId1563" Type="http://schemas.openxmlformats.org/officeDocument/2006/relationships/hyperlink" Target="https://www.fangraphs.com/players/vidal-brujan/20536/stats" TargetMode="External"/><Relationship Id="rId1770" Type="http://schemas.openxmlformats.org/officeDocument/2006/relationships/hyperlink" Target="https://www.fangraphs.com/players/gustavo-campero/22707/stats" TargetMode="External"/><Relationship Id="rId1868" Type="http://schemas.openxmlformats.org/officeDocument/2006/relationships/hyperlink" Target="https://www.fangraphs.com/players/bligh-madris/20054/stats" TargetMode="External"/><Relationship Id="rId62" Type="http://schemas.openxmlformats.org/officeDocument/2006/relationships/hyperlink" Target="https://www.fangraphs.com/teams/blue-jays" TargetMode="External"/><Relationship Id="rId1216" Type="http://schemas.openxmlformats.org/officeDocument/2006/relationships/hyperlink" Target="https://www.fangraphs.com/teams/nationals" TargetMode="External"/><Relationship Id="rId1423" Type="http://schemas.openxmlformats.org/officeDocument/2006/relationships/hyperlink" Target="https://www.fangraphs.com/players/austin-wynns/15271/stats" TargetMode="External"/><Relationship Id="rId1630" Type="http://schemas.openxmlformats.org/officeDocument/2006/relationships/hyperlink" Target="https://www.fangraphs.com/teams/guardians" TargetMode="External"/><Relationship Id="rId1728" Type="http://schemas.openxmlformats.org/officeDocument/2006/relationships/hyperlink" Target="https://www.fangraphs.com/teams/guardians" TargetMode="External"/><Relationship Id="rId1935" Type="http://schemas.openxmlformats.org/officeDocument/2006/relationships/hyperlink" Target="https://www.fangraphs.com/players/mason-mccoy/22232/stats" TargetMode="External"/><Relationship Id="rId169" Type="http://schemas.openxmlformats.org/officeDocument/2006/relationships/hyperlink" Target="https://www.fangraphs.com/players/alec-burleson/27615/stats" TargetMode="External"/><Relationship Id="rId376" Type="http://schemas.openxmlformats.org/officeDocument/2006/relationships/hyperlink" Target="https://www.fangraphs.com/teams/guardians" TargetMode="External"/><Relationship Id="rId583" Type="http://schemas.openxmlformats.org/officeDocument/2006/relationships/hyperlink" Target="https://www.fangraphs.com/teams/dodgers" TargetMode="External"/><Relationship Id="rId790" Type="http://schemas.openxmlformats.org/officeDocument/2006/relationships/hyperlink" Target="https://www.fangraphs.com/players/bryse-wilson/19990/stats" TargetMode="External"/><Relationship Id="rId2057" Type="http://schemas.openxmlformats.org/officeDocument/2006/relationships/hyperlink" Target="https://www.fangraphs.com/teams/reds" TargetMode="External"/><Relationship Id="rId4" Type="http://schemas.openxmlformats.org/officeDocument/2006/relationships/hyperlink" Target="https://www.fangraphs.com/teams/yankees" TargetMode="External"/><Relationship Id="rId236" Type="http://schemas.openxmlformats.org/officeDocument/2006/relationships/hyperlink" Target="https://www.fangraphs.com/teams/orioles" TargetMode="External"/><Relationship Id="rId443" Type="http://schemas.openxmlformats.org/officeDocument/2006/relationships/hyperlink" Target="https://www.fangraphs.com/players/wilyer-abreu/23772/stats" TargetMode="External"/><Relationship Id="rId650" Type="http://schemas.openxmlformats.org/officeDocument/2006/relationships/hyperlink" Target="https://www.fangraphs.com/teams/astros" TargetMode="External"/><Relationship Id="rId888" Type="http://schemas.openxmlformats.org/officeDocument/2006/relationships/hyperlink" Target="https://www.fangraphs.com/players/matthew-liberatore/22294/stats" TargetMode="External"/><Relationship Id="rId1073" Type="http://schemas.openxmlformats.org/officeDocument/2006/relationships/hyperlink" Target="https://www.fangraphs.com/players/gavin-sheets/19901/stats" TargetMode="External"/><Relationship Id="rId1280" Type="http://schemas.openxmlformats.org/officeDocument/2006/relationships/hyperlink" Target="https://www.fangraphs.com/players/wandy-peralta/14295/stats" TargetMode="External"/><Relationship Id="rId303" Type="http://schemas.openxmlformats.org/officeDocument/2006/relationships/hyperlink" Target="https://www.fangraphs.com/players/maikel-garcia/22715/stats" TargetMode="External"/><Relationship Id="rId748" Type="http://schemas.openxmlformats.org/officeDocument/2006/relationships/hyperlink" Target="https://www.fangraphs.com/teams/tigers" TargetMode="External"/><Relationship Id="rId955" Type="http://schemas.openxmlformats.org/officeDocument/2006/relationships/hyperlink" Target="https://www.fangraphs.com/players/nick-fortes/21538/stats" TargetMode="External"/><Relationship Id="rId1140" Type="http://schemas.openxmlformats.org/officeDocument/2006/relationships/hyperlink" Target="https://www.fangraphs.com/players/calvin-faucher/20116/stats" TargetMode="External"/><Relationship Id="rId1378" Type="http://schemas.openxmlformats.org/officeDocument/2006/relationships/hyperlink" Target="https://www.fangraphs.com/players/landen-roupp/30076/stats" TargetMode="External"/><Relationship Id="rId1585" Type="http://schemas.openxmlformats.org/officeDocument/2006/relationships/hyperlink" Target="https://www.fangraphs.com/players/zach-pop/20185/stats" TargetMode="External"/><Relationship Id="rId1792" Type="http://schemas.openxmlformats.org/officeDocument/2006/relationships/hyperlink" Target="https://www.fangraphs.com/teams/astros" TargetMode="External"/><Relationship Id="rId84" Type="http://schemas.openxmlformats.org/officeDocument/2006/relationships/hyperlink" Target="https://www.fangraphs.com/teams/diamondbacks" TargetMode="External"/><Relationship Id="rId510" Type="http://schemas.openxmlformats.org/officeDocument/2006/relationships/hyperlink" Target="https://www.fangraphs.com/teams/orioles" TargetMode="External"/><Relationship Id="rId608" Type="http://schemas.openxmlformats.org/officeDocument/2006/relationships/hyperlink" Target="https://www.fangraphs.com/teams/dodgers" TargetMode="External"/><Relationship Id="rId815" Type="http://schemas.openxmlformats.org/officeDocument/2006/relationships/hyperlink" Target="https://www.fangraphs.com/players/spencer-horwitz/26477/stats" TargetMode="External"/><Relationship Id="rId1238" Type="http://schemas.openxmlformats.org/officeDocument/2006/relationships/hyperlink" Target="https://www.fangraphs.com/players/matt-thaiss/19318/stats" TargetMode="External"/><Relationship Id="rId1445" Type="http://schemas.openxmlformats.org/officeDocument/2006/relationships/hyperlink" Target="https://www.fangraphs.com/teams/pirates" TargetMode="External"/><Relationship Id="rId1652" Type="http://schemas.openxmlformats.org/officeDocument/2006/relationships/hyperlink" Target="https://www.fangraphs.com/teams/guardians" TargetMode="External"/><Relationship Id="rId1000" Type="http://schemas.openxmlformats.org/officeDocument/2006/relationships/hyperlink" Target="https://www.fangraphs.com/players/joe-mantiply/14857/stats" TargetMode="External"/><Relationship Id="rId1305" Type="http://schemas.openxmlformats.org/officeDocument/2006/relationships/hyperlink" Target="https://www.fangraphs.com/players/andy-ibanez/18819/stats" TargetMode="External"/><Relationship Id="rId1957" Type="http://schemas.openxmlformats.org/officeDocument/2006/relationships/hyperlink" Target="https://www.fangraphs.com/teams/nationals" TargetMode="External"/><Relationship Id="rId1512" Type="http://schemas.openxmlformats.org/officeDocument/2006/relationships/hyperlink" Target="https://www.fangraphs.com/players/tom-murphy/13499/stats" TargetMode="External"/><Relationship Id="rId1817" Type="http://schemas.openxmlformats.org/officeDocument/2006/relationships/hyperlink" Target="https://www.fangraphs.com/teams/dodgers" TargetMode="External"/><Relationship Id="rId11" Type="http://schemas.openxmlformats.org/officeDocument/2006/relationships/hyperlink" Target="https://www.fangraphs.com/players/tarik-skubal/22267/stats" TargetMode="External"/><Relationship Id="rId398" Type="http://schemas.openxmlformats.org/officeDocument/2006/relationships/hyperlink" Target="https://www.fangraphs.com/teams/padres" TargetMode="External"/><Relationship Id="rId2079" Type="http://schemas.openxmlformats.org/officeDocument/2006/relationships/hyperlink" Target="https://www.fangraphs.com/players/nacho-alvarez-jr/31765/stats" TargetMode="External"/><Relationship Id="rId160" Type="http://schemas.openxmlformats.org/officeDocument/2006/relationships/hyperlink" Target="https://www.fangraphs.com/teams/phillies" TargetMode="External"/><Relationship Id="rId258" Type="http://schemas.openxmlformats.org/officeDocument/2006/relationships/hyperlink" Target="https://www.fangraphs.com/teams/blue-jays" TargetMode="External"/><Relationship Id="rId465" Type="http://schemas.openxmlformats.org/officeDocument/2006/relationships/hyperlink" Target="https://www.fangraphs.com/players/edwin-diaz/14710/stats" TargetMode="External"/><Relationship Id="rId672" Type="http://schemas.openxmlformats.org/officeDocument/2006/relationships/hyperlink" Target="https://www.fangraphs.com/teams/nationals" TargetMode="External"/><Relationship Id="rId1095" Type="http://schemas.openxmlformats.org/officeDocument/2006/relationships/hyperlink" Target="https://www.fangraphs.com/teams/dodgers" TargetMode="External"/><Relationship Id="rId118" Type="http://schemas.openxmlformats.org/officeDocument/2006/relationships/hyperlink" Target="https://www.fangraphs.com/teams/cubs" TargetMode="External"/><Relationship Id="rId325" Type="http://schemas.openxmlformats.org/officeDocument/2006/relationships/hyperlink" Target="https://www.fangraphs.com/players/yoshinobu-yamamoto/33825/stats" TargetMode="External"/><Relationship Id="rId532" Type="http://schemas.openxmlformats.org/officeDocument/2006/relationships/hyperlink" Target="https://www.fangraphs.com/teams/cubs" TargetMode="External"/><Relationship Id="rId977" Type="http://schemas.openxmlformats.org/officeDocument/2006/relationships/hyperlink" Target="https://www.fangraphs.com/players/emerson-hancock/27470/stats" TargetMode="External"/><Relationship Id="rId1162" Type="http://schemas.openxmlformats.org/officeDocument/2006/relationships/hyperlink" Target="https://www.fangraphs.com/players/sam-hilliard/17954/stats" TargetMode="External"/><Relationship Id="rId2006" Type="http://schemas.openxmlformats.org/officeDocument/2006/relationships/hyperlink" Target="https://www.fangraphs.com/teams/rockies" TargetMode="External"/><Relationship Id="rId837" Type="http://schemas.openxmlformats.org/officeDocument/2006/relationships/hyperlink" Target="https://www.fangraphs.com/teams/royals" TargetMode="External"/><Relationship Id="rId1022" Type="http://schemas.openxmlformats.org/officeDocument/2006/relationships/hyperlink" Target="https://www.fangraphs.com/teams/padres" TargetMode="External"/><Relationship Id="rId1467" Type="http://schemas.openxmlformats.org/officeDocument/2006/relationships/hyperlink" Target="https://www.fangraphs.com/players/joey-meneses/14366/stats" TargetMode="External"/><Relationship Id="rId1674" Type="http://schemas.openxmlformats.org/officeDocument/2006/relationships/hyperlink" Target="https://www.fangraphs.com/teams/yankees" TargetMode="External"/><Relationship Id="rId1881" Type="http://schemas.openxmlformats.org/officeDocument/2006/relationships/hyperlink" Target="https://www.fangraphs.com/players/peter-lambert/17969/stats" TargetMode="External"/><Relationship Id="rId904" Type="http://schemas.openxmlformats.org/officeDocument/2006/relationships/hyperlink" Target="https://www.fangraphs.com/players/max-kepler/12144/stats" TargetMode="External"/><Relationship Id="rId1327" Type="http://schemas.openxmlformats.org/officeDocument/2006/relationships/hyperlink" Target="https://www.fangraphs.com/players/mason-black/30171/stats" TargetMode="External"/><Relationship Id="rId1534" Type="http://schemas.openxmlformats.org/officeDocument/2006/relationships/hyperlink" Target="https://www.fangraphs.com/players/chris-taylor/13757/stats" TargetMode="External"/><Relationship Id="rId1741" Type="http://schemas.openxmlformats.org/officeDocument/2006/relationships/hyperlink" Target="https://www.fangraphs.com/players/nasim-nunez/25979/stats" TargetMode="External"/><Relationship Id="rId1979" Type="http://schemas.openxmlformats.org/officeDocument/2006/relationships/hyperlink" Target="https://www.fangraphs.com/teams/astros" TargetMode="External"/><Relationship Id="rId33" Type="http://schemas.openxmlformats.org/officeDocument/2006/relationships/hyperlink" Target="https://www.fangraphs.com/players/yordan-alvarez/19556/stats" TargetMode="External"/><Relationship Id="rId1601" Type="http://schemas.openxmlformats.org/officeDocument/2006/relationships/hyperlink" Target="https://www.fangraphs.com/players/griffin-canning/19867/stats" TargetMode="External"/><Relationship Id="rId1839" Type="http://schemas.openxmlformats.org/officeDocument/2006/relationships/hyperlink" Target="https://www.fangraphs.com/teams/athletics" TargetMode="External"/><Relationship Id="rId182" Type="http://schemas.openxmlformats.org/officeDocument/2006/relationships/hyperlink" Target="https://www.fangraphs.com/teams/nationals" TargetMode="External"/><Relationship Id="rId1906" Type="http://schemas.openxmlformats.org/officeDocument/2006/relationships/hyperlink" Target="https://www.fangraphs.com/teams/padres" TargetMode="External"/><Relationship Id="rId487" Type="http://schemas.openxmlformats.org/officeDocument/2006/relationships/hyperlink" Target="https://www.fangraphs.com/players/jose-quintana/11423/stats" TargetMode="External"/><Relationship Id="rId694" Type="http://schemas.openxmlformats.org/officeDocument/2006/relationships/hyperlink" Target="https://www.fangraphs.com/players/victor-caratini/14968/stats" TargetMode="External"/><Relationship Id="rId2070" Type="http://schemas.openxmlformats.org/officeDocument/2006/relationships/hyperlink" Target="https://www.fangraphs.com/teams/rockies" TargetMode="External"/><Relationship Id="rId347" Type="http://schemas.openxmlformats.org/officeDocument/2006/relationships/hyperlink" Target="https://www.fangraphs.com/players/trevor-williams/16977/stats" TargetMode="External"/><Relationship Id="rId999" Type="http://schemas.openxmlformats.org/officeDocument/2006/relationships/hyperlink" Target="https://www.fangraphs.com/teams/mets" TargetMode="External"/><Relationship Id="rId1184" Type="http://schemas.openxmlformats.org/officeDocument/2006/relationships/hyperlink" Target="https://www.fangraphs.com/teams/rangers" TargetMode="External"/><Relationship Id="rId2028" Type="http://schemas.openxmlformats.org/officeDocument/2006/relationships/hyperlink" Target="https://www.fangraphs.com/teams/blue-jays" TargetMode="External"/><Relationship Id="rId554" Type="http://schemas.openxmlformats.org/officeDocument/2006/relationships/hyperlink" Target="https://www.fangraphs.com/players/kerry-carpenter/25961/stats" TargetMode="External"/><Relationship Id="rId761" Type="http://schemas.openxmlformats.org/officeDocument/2006/relationships/hyperlink" Target="https://www.fangraphs.com/teams/mariners" TargetMode="External"/><Relationship Id="rId859" Type="http://schemas.openxmlformats.org/officeDocument/2006/relationships/hyperlink" Target="https://www.fangraphs.com/players/bailey-falter/20070/stats" TargetMode="External"/><Relationship Id="rId1391" Type="http://schemas.openxmlformats.org/officeDocument/2006/relationships/hyperlink" Target="https://www.fangraphs.com/teams/nationals" TargetMode="External"/><Relationship Id="rId1489" Type="http://schemas.openxmlformats.org/officeDocument/2006/relationships/hyperlink" Target="https://www.fangraphs.com/players/adam-duvall/10950/stats" TargetMode="External"/><Relationship Id="rId1696" Type="http://schemas.openxmlformats.org/officeDocument/2006/relationships/hyperlink" Target="https://www.fangraphs.com/players/trey-sweeney/29575/stats" TargetMode="External"/><Relationship Id="rId207" Type="http://schemas.openxmlformats.org/officeDocument/2006/relationships/hyperlink" Target="https://www.fangraphs.com/players/nico-hoerner/21479/stats" TargetMode="External"/><Relationship Id="rId414" Type="http://schemas.openxmlformats.org/officeDocument/2006/relationships/hyperlink" Target="https://www.fangraphs.com/teams/blue-jays" TargetMode="External"/><Relationship Id="rId621" Type="http://schemas.openxmlformats.org/officeDocument/2006/relationships/hyperlink" Target="https://www.fangraphs.com/players/brandon-pfaadt/27782/stats" TargetMode="External"/><Relationship Id="rId1044" Type="http://schemas.openxmlformats.org/officeDocument/2006/relationships/hyperlink" Target="https://www.fangraphs.com/teams/twins" TargetMode="External"/><Relationship Id="rId1251" Type="http://schemas.openxmlformats.org/officeDocument/2006/relationships/hyperlink" Target="https://www.fangraphs.com/players/scott-barlow/14993/stats" TargetMode="External"/><Relationship Id="rId1349" Type="http://schemas.openxmlformats.org/officeDocument/2006/relationships/hyperlink" Target="https://www.fangraphs.com/teams/pirates" TargetMode="External"/><Relationship Id="rId719" Type="http://schemas.openxmlformats.org/officeDocument/2006/relationships/hyperlink" Target="https://www.fangraphs.com/players/grant-holmes/16944/stats" TargetMode="External"/><Relationship Id="rId926" Type="http://schemas.openxmlformats.org/officeDocument/2006/relationships/hyperlink" Target="https://www.fangraphs.com/teams/orioles" TargetMode="External"/><Relationship Id="rId1111" Type="http://schemas.openxmlformats.org/officeDocument/2006/relationships/hyperlink" Target="https://www.fangraphs.com/teams/reds" TargetMode="External"/><Relationship Id="rId1556" Type="http://schemas.openxmlformats.org/officeDocument/2006/relationships/hyperlink" Target="https://www.fangraphs.com/teams/diamondbacks" TargetMode="External"/><Relationship Id="rId1763" Type="http://schemas.openxmlformats.org/officeDocument/2006/relationships/hyperlink" Target="https://www.fangraphs.com/teams/brewers" TargetMode="External"/><Relationship Id="rId1970" Type="http://schemas.openxmlformats.org/officeDocument/2006/relationships/hyperlink" Target="https://www.fangraphs.com/teams/rangers" TargetMode="External"/><Relationship Id="rId55" Type="http://schemas.openxmlformats.org/officeDocument/2006/relationships/hyperlink" Target="https://www.fangraphs.com/players/emmanuel-clase/21032/stats" TargetMode="External"/><Relationship Id="rId1209" Type="http://schemas.openxmlformats.org/officeDocument/2006/relationships/hyperlink" Target="https://www.fangraphs.com/players/nick-gordon/16337/stats" TargetMode="External"/><Relationship Id="rId1416" Type="http://schemas.openxmlformats.org/officeDocument/2006/relationships/hyperlink" Target="https://www.fangraphs.com/players/kyle-muller/20167/stats" TargetMode="External"/><Relationship Id="rId1623" Type="http://schemas.openxmlformats.org/officeDocument/2006/relationships/hyperlink" Target="https://www.fangraphs.com/players/jonathan-aranda/21837/stats" TargetMode="External"/><Relationship Id="rId1830" Type="http://schemas.openxmlformats.org/officeDocument/2006/relationships/hyperlink" Target="https://www.fangraphs.com/players/alexander-canario/22842/stats" TargetMode="External"/><Relationship Id="rId1928" Type="http://schemas.openxmlformats.org/officeDocument/2006/relationships/hyperlink" Target="https://www.fangraphs.com/players/ryan-kreidler/25867/stats" TargetMode="External"/><Relationship Id="rId271" Type="http://schemas.openxmlformats.org/officeDocument/2006/relationships/hyperlink" Target="https://www.fangraphs.com/players/dansby-swanson/18314/stats" TargetMode="External"/><Relationship Id="rId131" Type="http://schemas.openxmlformats.org/officeDocument/2006/relationships/hyperlink" Target="https://www.fangraphs.com/players/ezequiel-tovar/24064/stats" TargetMode="External"/><Relationship Id="rId369" Type="http://schemas.openxmlformats.org/officeDocument/2006/relationships/hyperlink" Target="https://www.fangraphs.com/players/gavin-stone/27792/stats" TargetMode="External"/><Relationship Id="rId576" Type="http://schemas.openxmlformats.org/officeDocument/2006/relationships/hyperlink" Target="https://www.fangraphs.com/players/xavier-edwards/22266/stats" TargetMode="External"/><Relationship Id="rId783" Type="http://schemas.openxmlformats.org/officeDocument/2006/relationships/hyperlink" Target="https://www.fangraphs.com/players/aaron-civale/19479/stats" TargetMode="External"/><Relationship Id="rId990" Type="http://schemas.openxmlformats.org/officeDocument/2006/relationships/hyperlink" Target="https://www.fangraphs.com/teams/diamondbacks" TargetMode="External"/><Relationship Id="rId229" Type="http://schemas.openxmlformats.org/officeDocument/2006/relationships/hyperlink" Target="https://www.fangraphs.com/players/luis-arraez/18568/stats" TargetMode="External"/><Relationship Id="rId436" Type="http://schemas.openxmlformats.org/officeDocument/2006/relationships/hyperlink" Target="https://www.fangraphs.com/teams/rays" TargetMode="External"/><Relationship Id="rId643" Type="http://schemas.openxmlformats.org/officeDocument/2006/relationships/hyperlink" Target="https://www.fangraphs.com/players/matthew-boyd/15440/stats" TargetMode="External"/><Relationship Id="rId1066" Type="http://schemas.openxmlformats.org/officeDocument/2006/relationships/hyperlink" Target="https://www.fangraphs.com/teams/pirates" TargetMode="External"/><Relationship Id="rId1273" Type="http://schemas.openxmlformats.org/officeDocument/2006/relationships/hyperlink" Target="https://www.fangraphs.com/players/kyle-leahy/24763/stats" TargetMode="External"/><Relationship Id="rId1480" Type="http://schemas.openxmlformats.org/officeDocument/2006/relationships/hyperlink" Target="https://www.fangraphs.com/players/ezequiel-duran/23733/stats" TargetMode="External"/><Relationship Id="rId850" Type="http://schemas.openxmlformats.org/officeDocument/2006/relationships/hyperlink" Target="https://www.fangraphs.com/players/nolan-gorman/22263/stats" TargetMode="External"/><Relationship Id="rId948" Type="http://schemas.openxmlformats.org/officeDocument/2006/relationships/hyperlink" Target="https://www.fangraphs.com/teams/orioles" TargetMode="External"/><Relationship Id="rId1133" Type="http://schemas.openxmlformats.org/officeDocument/2006/relationships/hyperlink" Target="https://www.fangraphs.com/teams/tigers" TargetMode="External"/><Relationship Id="rId1578" Type="http://schemas.openxmlformats.org/officeDocument/2006/relationships/hyperlink" Target="https://www.fangraphs.com/teams/rockies" TargetMode="External"/><Relationship Id="rId1785" Type="http://schemas.openxmlformats.org/officeDocument/2006/relationships/hyperlink" Target="https://www.fangraphs.com/players/dominic-fletcher/26149/stats" TargetMode="External"/><Relationship Id="rId1992" Type="http://schemas.openxmlformats.org/officeDocument/2006/relationships/hyperlink" Target="https://www.fangraphs.com/players/donovan-walton/19314/stats" TargetMode="External"/><Relationship Id="rId77" Type="http://schemas.openxmlformats.org/officeDocument/2006/relationships/hyperlink" Target="https://www.fangraphs.com/players/jazz-chisholm-jr/20454/stats" TargetMode="External"/><Relationship Id="rId503" Type="http://schemas.openxmlformats.org/officeDocument/2006/relationships/hyperlink" Target="https://www.fangraphs.com/players/colt-keith/27899/stats" TargetMode="External"/><Relationship Id="rId710" Type="http://schemas.openxmlformats.org/officeDocument/2006/relationships/hyperlink" Target="https://www.fangraphs.com/players/carson-kelly/13620/stats" TargetMode="External"/><Relationship Id="rId808" Type="http://schemas.openxmlformats.org/officeDocument/2006/relationships/hyperlink" Target="https://www.fangraphs.com/players/mitchell-parker/27636/stats" TargetMode="External"/><Relationship Id="rId1340" Type="http://schemas.openxmlformats.org/officeDocument/2006/relationships/hyperlink" Target="https://www.fangraphs.com/players/drew-millas/25643/stats" TargetMode="External"/><Relationship Id="rId1438" Type="http://schemas.openxmlformats.org/officeDocument/2006/relationships/hyperlink" Target="https://www.fangraphs.com/players/steven-okert/13580/stats" TargetMode="External"/><Relationship Id="rId1645" Type="http://schemas.openxmlformats.org/officeDocument/2006/relationships/hyperlink" Target="https://www.fangraphs.com/teams/cubs" TargetMode="External"/><Relationship Id="rId1200" Type="http://schemas.openxmlformats.org/officeDocument/2006/relationships/hyperlink" Target="https://www.fangraphs.com/teams/giants" TargetMode="External"/><Relationship Id="rId1852" Type="http://schemas.openxmlformats.org/officeDocument/2006/relationships/hyperlink" Target="https://www.fangraphs.com/players/charles-leblanc/19813/stats" TargetMode="External"/><Relationship Id="rId1505" Type="http://schemas.openxmlformats.org/officeDocument/2006/relationships/hyperlink" Target="https://www.fangraphs.com/teams/marlins" TargetMode="External"/><Relationship Id="rId1712" Type="http://schemas.openxmlformats.org/officeDocument/2006/relationships/hyperlink" Target="https://www.fangraphs.com/players/brad-keller/15734/stats" TargetMode="External"/><Relationship Id="rId293" Type="http://schemas.openxmlformats.org/officeDocument/2006/relationships/hyperlink" Target="https://www.fangraphs.com/players/nolan-arenado/9777/stats" TargetMode="External"/><Relationship Id="rId153" Type="http://schemas.openxmlformats.org/officeDocument/2006/relationships/hyperlink" Target="https://www.fangraphs.com/players/tyler-stephenson/17988/stats" TargetMode="External"/><Relationship Id="rId360" Type="http://schemas.openxmlformats.org/officeDocument/2006/relationships/hyperlink" Target="https://www.fangraphs.com/teams/brewers" TargetMode="External"/><Relationship Id="rId598" Type="http://schemas.openxmlformats.org/officeDocument/2006/relationships/hyperlink" Target="https://www.fangraphs.com/teams/padres" TargetMode="External"/><Relationship Id="rId2041" Type="http://schemas.openxmlformats.org/officeDocument/2006/relationships/hyperlink" Target="https://www.fangraphs.com/players/nick-maton/21635/stats" TargetMode="External"/><Relationship Id="rId220" Type="http://schemas.openxmlformats.org/officeDocument/2006/relationships/hyperlink" Target="https://www.fangraphs.com/teams/angels" TargetMode="External"/><Relationship Id="rId458" Type="http://schemas.openxmlformats.org/officeDocument/2006/relationships/hyperlink" Target="https://www.fangraphs.com/teams/nationals" TargetMode="External"/><Relationship Id="rId665" Type="http://schemas.openxmlformats.org/officeDocument/2006/relationships/hyperlink" Target="https://www.fangraphs.com/players/masataka-yoshida/31837/stats" TargetMode="External"/><Relationship Id="rId872" Type="http://schemas.openxmlformats.org/officeDocument/2006/relationships/hyperlink" Target="https://www.fangraphs.com/teams/orioles" TargetMode="External"/><Relationship Id="rId1088" Type="http://schemas.openxmlformats.org/officeDocument/2006/relationships/hyperlink" Target="https://www.fangraphs.com/players/taylor-rogers/13449/stats" TargetMode="External"/><Relationship Id="rId1295" Type="http://schemas.openxmlformats.org/officeDocument/2006/relationships/hyperlink" Target="https://www.fangraphs.com/players/jorge-mateo/17273/stats" TargetMode="External"/><Relationship Id="rId318" Type="http://schemas.openxmlformats.org/officeDocument/2006/relationships/hyperlink" Target="https://www.fangraphs.com/teams/blue-jays" TargetMode="External"/><Relationship Id="rId525" Type="http://schemas.openxmlformats.org/officeDocument/2006/relationships/hyperlink" Target="https://www.fangraphs.com/teams/giants" TargetMode="External"/><Relationship Id="rId732" Type="http://schemas.openxmlformats.org/officeDocument/2006/relationships/hyperlink" Target="https://www.fangraphs.com/teams/orioles" TargetMode="External"/><Relationship Id="rId1155" Type="http://schemas.openxmlformats.org/officeDocument/2006/relationships/hyperlink" Target="https://www.fangraphs.com/teams/marlins" TargetMode="External"/><Relationship Id="rId1362" Type="http://schemas.openxmlformats.org/officeDocument/2006/relationships/hyperlink" Target="https://www.fangraphs.com/players/nate-pearson/20160/stats" TargetMode="External"/><Relationship Id="rId99" Type="http://schemas.openxmlformats.org/officeDocument/2006/relationships/hyperlink" Target="https://www.fangraphs.com/players/rafael-devers/17350/stats" TargetMode="External"/><Relationship Id="rId1015" Type="http://schemas.openxmlformats.org/officeDocument/2006/relationships/hyperlink" Target="https://www.fangraphs.com/players/kevin-newman/17696/stats" TargetMode="External"/><Relationship Id="rId1222" Type="http://schemas.openxmlformats.org/officeDocument/2006/relationships/hyperlink" Target="https://www.fangraphs.com/players/triston-casas/22514/stats" TargetMode="External"/><Relationship Id="rId1667" Type="http://schemas.openxmlformats.org/officeDocument/2006/relationships/hyperlink" Target="https://www.fangraphs.com/players/heston-kjerstad/31166/stats" TargetMode="External"/><Relationship Id="rId1874" Type="http://schemas.openxmlformats.org/officeDocument/2006/relationships/hyperlink" Target="https://www.fangraphs.com/players/jared-walsh/18607/stats" TargetMode="External"/><Relationship Id="rId1527" Type="http://schemas.openxmlformats.org/officeDocument/2006/relationships/hyperlink" Target="https://www.fangraphs.com/players/sam-huff/22209/stats" TargetMode="External"/><Relationship Id="rId1734" Type="http://schemas.openxmlformats.org/officeDocument/2006/relationships/hyperlink" Target="https://www.fangraphs.com/teams/red-sox" TargetMode="External"/><Relationship Id="rId1941" Type="http://schemas.openxmlformats.org/officeDocument/2006/relationships/hyperlink" Target="https://www.fangraphs.com/teams/royals" TargetMode="External"/><Relationship Id="rId26" Type="http://schemas.openxmlformats.org/officeDocument/2006/relationships/hyperlink" Target="https://www.fangraphs.com/teams/blue-jays" TargetMode="External"/><Relationship Id="rId175" Type="http://schemas.openxmlformats.org/officeDocument/2006/relationships/hyperlink" Target="https://www.fangraphs.com/players/luis-gil/21052/stats" TargetMode="External"/><Relationship Id="rId1801" Type="http://schemas.openxmlformats.org/officeDocument/2006/relationships/hyperlink" Target="https://www.fangraphs.com/players/curtis-mead/23986/stats" TargetMode="External"/><Relationship Id="rId382" Type="http://schemas.openxmlformats.org/officeDocument/2006/relationships/hyperlink" Target="https://www.fangraphs.com/teams/mets" TargetMode="External"/><Relationship Id="rId687" Type="http://schemas.openxmlformats.org/officeDocument/2006/relationships/hyperlink" Target="https://www.fangraphs.com/players/kevin-kelly/25679/stats" TargetMode="External"/><Relationship Id="rId2063" Type="http://schemas.openxmlformats.org/officeDocument/2006/relationships/hyperlink" Target="https://www.fangraphs.com/teams/padres" TargetMode="External"/><Relationship Id="rId242" Type="http://schemas.openxmlformats.org/officeDocument/2006/relationships/hyperlink" Target="https://www.fangraphs.com/teams/royals" TargetMode="External"/><Relationship Id="rId894" Type="http://schemas.openxmlformats.org/officeDocument/2006/relationships/hyperlink" Target="https://www.fangraphs.com/players/garrett-cleavinger/17897/stats" TargetMode="External"/><Relationship Id="rId1177" Type="http://schemas.openxmlformats.org/officeDocument/2006/relationships/hyperlink" Target="https://www.fangraphs.com/players/austin-barnes/12158/stats" TargetMode="External"/><Relationship Id="rId102" Type="http://schemas.openxmlformats.org/officeDocument/2006/relationships/hyperlink" Target="https://www.fangraphs.com/teams/pirates" TargetMode="External"/><Relationship Id="rId547" Type="http://schemas.openxmlformats.org/officeDocument/2006/relationships/hyperlink" Target="https://www.fangraphs.com/teams/twins" TargetMode="External"/><Relationship Id="rId754" Type="http://schemas.openxmlformats.org/officeDocument/2006/relationships/hyperlink" Target="https://www.fangraphs.com/players/max-muncy/13301/stats" TargetMode="External"/><Relationship Id="rId961" Type="http://schemas.openxmlformats.org/officeDocument/2006/relationships/hyperlink" Target="https://www.fangraphs.com/players/keider-montero/22630/stats" TargetMode="External"/><Relationship Id="rId1384" Type="http://schemas.openxmlformats.org/officeDocument/2006/relationships/hyperlink" Target="https://www.fangraphs.com/players/emmanuel-rivera/19890/stats" TargetMode="External"/><Relationship Id="rId1591" Type="http://schemas.openxmlformats.org/officeDocument/2006/relationships/hyperlink" Target="https://www.fangraphs.com/players/austin-slater/16153/stats" TargetMode="External"/><Relationship Id="rId1689" Type="http://schemas.openxmlformats.org/officeDocument/2006/relationships/hyperlink" Target="https://www.fangraphs.com/teams/yankees" TargetMode="External"/><Relationship Id="rId90" Type="http://schemas.openxmlformats.org/officeDocument/2006/relationships/hyperlink" Target="https://www.fangraphs.com/teams/astros" TargetMode="External"/><Relationship Id="rId407" Type="http://schemas.openxmlformats.org/officeDocument/2006/relationships/hyperlink" Target="https://www.fangraphs.com/players/christian-yelich/11477/stats" TargetMode="External"/><Relationship Id="rId614" Type="http://schemas.openxmlformats.org/officeDocument/2006/relationships/hyperlink" Target="https://www.fangraphs.com/teams/red-sox" TargetMode="External"/><Relationship Id="rId821" Type="http://schemas.openxmlformats.org/officeDocument/2006/relationships/hyperlink" Target="https://www.fangraphs.com/teams/red-sox" TargetMode="External"/><Relationship Id="rId1037" Type="http://schemas.openxmlformats.org/officeDocument/2006/relationships/hyperlink" Target="https://www.fangraphs.com/players/jordan-hicks/19618/stats" TargetMode="External"/><Relationship Id="rId1244" Type="http://schemas.openxmlformats.org/officeDocument/2006/relationships/hyperlink" Target="https://www.fangraphs.com/teams/guardians" TargetMode="External"/><Relationship Id="rId1451" Type="http://schemas.openxmlformats.org/officeDocument/2006/relationships/hyperlink" Target="https://www.fangraphs.com/teams/yankees" TargetMode="External"/><Relationship Id="rId1896" Type="http://schemas.openxmlformats.org/officeDocument/2006/relationships/hyperlink" Target="https://www.fangraphs.com/players/armando-alvarez/19292/stats" TargetMode="External"/><Relationship Id="rId919" Type="http://schemas.openxmlformats.org/officeDocument/2006/relationships/hyperlink" Target="https://www.fangraphs.com/teams/diamondbacks" TargetMode="External"/><Relationship Id="rId1104" Type="http://schemas.openxmlformats.org/officeDocument/2006/relationships/hyperlink" Target="https://www.fangraphs.com/players/michael-siani/22557/stats" TargetMode="External"/><Relationship Id="rId1311" Type="http://schemas.openxmlformats.org/officeDocument/2006/relationships/hyperlink" Target="https://www.fangraphs.com/players/huascar-brazoban/6107/stats" TargetMode="External"/><Relationship Id="rId1549" Type="http://schemas.openxmlformats.org/officeDocument/2006/relationships/hyperlink" Target="https://www.fangraphs.com/teams/white-sox" TargetMode="External"/><Relationship Id="rId1756" Type="http://schemas.openxmlformats.org/officeDocument/2006/relationships/hyperlink" Target="https://www.fangraphs.com/players/jose-azocar/18821/stats" TargetMode="External"/><Relationship Id="rId1963" Type="http://schemas.openxmlformats.org/officeDocument/2006/relationships/hyperlink" Target="https://www.fangraphs.com/players/david-villar/24782/stats" TargetMode="External"/><Relationship Id="rId48" Type="http://schemas.openxmlformats.org/officeDocument/2006/relationships/hyperlink" Target="https://www.fangraphs.com/teams/royals" TargetMode="External"/><Relationship Id="rId1409" Type="http://schemas.openxmlformats.org/officeDocument/2006/relationships/hyperlink" Target="https://www.fangraphs.com/teams/yankees" TargetMode="External"/><Relationship Id="rId1616" Type="http://schemas.openxmlformats.org/officeDocument/2006/relationships/hyperlink" Target="https://www.fangraphs.com/teams/white-sox" TargetMode="External"/><Relationship Id="rId1823" Type="http://schemas.openxmlformats.org/officeDocument/2006/relationships/hyperlink" Target="https://www.fangraphs.com/teams/angels" TargetMode="External"/><Relationship Id="rId197" Type="http://schemas.openxmlformats.org/officeDocument/2006/relationships/hyperlink" Target="https://www.fangraphs.com/players/aaron-nola/16149/stats" TargetMode="External"/><Relationship Id="rId2085" Type="http://schemas.openxmlformats.org/officeDocument/2006/relationships/hyperlink" Target="https://www.fangraphs.com/players/justin-foscue/27501/stats" TargetMode="External"/><Relationship Id="rId264" Type="http://schemas.openxmlformats.org/officeDocument/2006/relationships/hyperlink" Target="https://www.fangraphs.com/teams/twins" TargetMode="External"/><Relationship Id="rId471" Type="http://schemas.openxmlformats.org/officeDocument/2006/relationships/hyperlink" Target="https://www.fangraphs.com/players/giancarlo-stanton/4949/stats" TargetMode="External"/><Relationship Id="rId124" Type="http://schemas.openxmlformats.org/officeDocument/2006/relationships/hyperlink" Target="https://www.fangraphs.com/teams/dodgers" TargetMode="External"/><Relationship Id="rId569" Type="http://schemas.openxmlformats.org/officeDocument/2006/relationships/hyperlink" Target="https://www.fangraphs.com/teams/cubs" TargetMode="External"/><Relationship Id="rId776" Type="http://schemas.openxmlformats.org/officeDocument/2006/relationships/hyperlink" Target="https://www.fangraphs.com/players/ryan-yarbrough/16502/stats" TargetMode="External"/><Relationship Id="rId983" Type="http://schemas.openxmlformats.org/officeDocument/2006/relationships/hyperlink" Target="https://www.fangraphs.com/players/jt-chargois/13767/stats" TargetMode="External"/><Relationship Id="rId1199" Type="http://schemas.openxmlformats.org/officeDocument/2006/relationships/hyperlink" Target="https://www.fangraphs.com/players/sean-hjelle/21481/stats" TargetMode="External"/><Relationship Id="rId331" Type="http://schemas.openxmlformats.org/officeDocument/2006/relationships/hyperlink" Target="https://www.fangraphs.com/players/cristopher-sanchez/20778/stats" TargetMode="External"/><Relationship Id="rId429" Type="http://schemas.openxmlformats.org/officeDocument/2006/relationships/hyperlink" Target="https://www.fangraphs.com/players/cody-bradford/27597/stats" TargetMode="External"/><Relationship Id="rId636" Type="http://schemas.openxmlformats.org/officeDocument/2006/relationships/hyperlink" Target="https://www.fangraphs.com/teams/nationals" TargetMode="External"/><Relationship Id="rId1059" Type="http://schemas.openxmlformats.org/officeDocument/2006/relationships/hyperlink" Target="https://www.fangraphs.com/players/garrett-mitchell/27555/stats" TargetMode="External"/><Relationship Id="rId1266" Type="http://schemas.openxmlformats.org/officeDocument/2006/relationships/hyperlink" Target="https://www.fangraphs.com/teams/rockies" TargetMode="External"/><Relationship Id="rId1473" Type="http://schemas.openxmlformats.org/officeDocument/2006/relationships/hyperlink" Target="https://www.fangraphs.com/players/roansy-contreras/22810/stats" TargetMode="External"/><Relationship Id="rId2012" Type="http://schemas.openxmlformats.org/officeDocument/2006/relationships/hyperlink" Target="https://www.fangraphs.com/players/jonathan-ornelas/24597/stats" TargetMode="External"/><Relationship Id="rId843" Type="http://schemas.openxmlformats.org/officeDocument/2006/relationships/hyperlink" Target="https://www.fangraphs.com/teams/diamondbacks" TargetMode="External"/><Relationship Id="rId1126" Type="http://schemas.openxmlformats.org/officeDocument/2006/relationships/hyperlink" Target="https://www.fangraphs.com/players/jacob-barnes/12323/stats" TargetMode="External"/><Relationship Id="rId1680" Type="http://schemas.openxmlformats.org/officeDocument/2006/relationships/hyperlink" Target="https://www.fangraphs.com/players/nick-ahmed/12147/stats" TargetMode="External"/><Relationship Id="rId1778" Type="http://schemas.openxmlformats.org/officeDocument/2006/relationships/hyperlink" Target="https://www.fangraphs.com/players/david-dahl/13744/stats" TargetMode="External"/><Relationship Id="rId1985" Type="http://schemas.openxmlformats.org/officeDocument/2006/relationships/hyperlink" Target="https://www.fangraphs.com/teams/royals" TargetMode="External"/><Relationship Id="rId703" Type="http://schemas.openxmlformats.org/officeDocument/2006/relationships/hyperlink" Target="https://www.fangraphs.com/teams/giants" TargetMode="External"/><Relationship Id="rId910" Type="http://schemas.openxmlformats.org/officeDocument/2006/relationships/hyperlink" Target="https://www.fangraphs.com/players/braxton-garrett/21844/stats" TargetMode="External"/><Relationship Id="rId1333" Type="http://schemas.openxmlformats.org/officeDocument/2006/relationships/hyperlink" Target="https://www.fangraphs.com/teams/giants" TargetMode="External"/><Relationship Id="rId1540" Type="http://schemas.openxmlformats.org/officeDocument/2006/relationships/hyperlink" Target="https://www.fangraphs.com/players/adrian-houser/12718/stats" TargetMode="External"/><Relationship Id="rId1638" Type="http://schemas.openxmlformats.org/officeDocument/2006/relationships/hyperlink" Target="https://www.fangraphs.com/players/chuckie-robinson/19824/stats" TargetMode="External"/><Relationship Id="rId1400" Type="http://schemas.openxmlformats.org/officeDocument/2006/relationships/hyperlink" Target="https://www.fangraphs.com/players/bryce-elder/27779/stats" TargetMode="External"/><Relationship Id="rId1845" Type="http://schemas.openxmlformats.org/officeDocument/2006/relationships/hyperlink" Target="https://www.fangraphs.com/teams/angels" TargetMode="External"/><Relationship Id="rId1705" Type="http://schemas.openxmlformats.org/officeDocument/2006/relationships/hyperlink" Target="https://www.fangraphs.com/teams/rockies" TargetMode="External"/><Relationship Id="rId1912" Type="http://schemas.openxmlformats.org/officeDocument/2006/relationships/hyperlink" Target="https://www.fangraphs.com/players/greg-jones/25448/stats" TargetMode="External"/><Relationship Id="rId286" Type="http://schemas.openxmlformats.org/officeDocument/2006/relationships/hyperlink" Target="https://www.fangraphs.com/teams/brewers" TargetMode="External"/><Relationship Id="rId493" Type="http://schemas.openxmlformats.org/officeDocument/2006/relationships/hyperlink" Target="https://www.fangraphs.com/players/taj-bradley/22543/stats" TargetMode="External"/><Relationship Id="rId146" Type="http://schemas.openxmlformats.org/officeDocument/2006/relationships/hyperlink" Target="https://www.fangraphs.com/teams/mets" TargetMode="External"/><Relationship Id="rId353" Type="http://schemas.openxmlformats.org/officeDocument/2006/relationships/hyperlink" Target="https://www.fangraphs.com/players/gleyber-torres/16997/stats" TargetMode="External"/><Relationship Id="rId560" Type="http://schemas.openxmlformats.org/officeDocument/2006/relationships/hyperlink" Target="https://www.fangraphs.com/players/tyler-anderson/12880/stats" TargetMode="External"/><Relationship Id="rId798" Type="http://schemas.openxmlformats.org/officeDocument/2006/relationships/hyperlink" Target="https://www.fangraphs.com/players/hunter-goodman/29715/stats" TargetMode="External"/><Relationship Id="rId1190" Type="http://schemas.openxmlformats.org/officeDocument/2006/relationships/hyperlink" Target="https://www.fangraphs.com/teams/yankees" TargetMode="External"/><Relationship Id="rId2034" Type="http://schemas.openxmlformats.org/officeDocument/2006/relationships/hyperlink" Target="https://www.fangraphs.com/teams/white-sox" TargetMode="External"/><Relationship Id="rId213" Type="http://schemas.openxmlformats.org/officeDocument/2006/relationships/hyperlink" Target="https://www.fangraphs.com/players/robert-suarez/30115/stats" TargetMode="External"/><Relationship Id="rId420" Type="http://schemas.openxmlformats.org/officeDocument/2006/relationships/hyperlink" Target="https://www.fangraphs.com/teams/yankees" TargetMode="External"/><Relationship Id="rId658" Type="http://schemas.openxmlformats.org/officeDocument/2006/relationships/hyperlink" Target="https://www.fangraphs.com/teams/mariners" TargetMode="External"/><Relationship Id="rId865" Type="http://schemas.openxmlformats.org/officeDocument/2006/relationships/hyperlink" Target="https://www.fangraphs.com/players/paul-blackburn/14739/stats" TargetMode="External"/><Relationship Id="rId1050" Type="http://schemas.openxmlformats.org/officeDocument/2006/relationships/hyperlink" Target="https://www.fangraphs.com/teams/orioles" TargetMode="External"/><Relationship Id="rId1288" Type="http://schemas.openxmlformats.org/officeDocument/2006/relationships/hyperlink" Target="https://www.fangraphs.com/players/michael-grove/23221/stats" TargetMode="External"/><Relationship Id="rId1495" Type="http://schemas.openxmlformats.org/officeDocument/2006/relationships/hyperlink" Target="https://www.fangraphs.com/teams/rockies" TargetMode="External"/><Relationship Id="rId518" Type="http://schemas.openxmlformats.org/officeDocument/2006/relationships/hyperlink" Target="https://www.fangraphs.com/players/harrison-bader/18030/stats" TargetMode="External"/><Relationship Id="rId725" Type="http://schemas.openxmlformats.org/officeDocument/2006/relationships/hyperlink" Target="https://www.fangraphs.com/players/jake-fraley/19260/stats" TargetMode="External"/><Relationship Id="rId932" Type="http://schemas.openxmlformats.org/officeDocument/2006/relationships/hyperlink" Target="https://www.fangraphs.com/teams/athletics" TargetMode="External"/><Relationship Id="rId1148" Type="http://schemas.openxmlformats.org/officeDocument/2006/relationships/hyperlink" Target="https://www.fangraphs.com/players/colin-holderman/22361/stats" TargetMode="External"/><Relationship Id="rId1355" Type="http://schemas.openxmlformats.org/officeDocument/2006/relationships/hyperlink" Target="https://www.fangraphs.com/teams/white-sox" TargetMode="External"/><Relationship Id="rId1562" Type="http://schemas.openxmlformats.org/officeDocument/2006/relationships/hyperlink" Target="https://www.fangraphs.com/teams/orioles" TargetMode="External"/><Relationship Id="rId1008" Type="http://schemas.openxmlformats.org/officeDocument/2006/relationships/hyperlink" Target="https://www.fangraphs.com/teams/guardians" TargetMode="External"/><Relationship Id="rId1215" Type="http://schemas.openxmlformats.org/officeDocument/2006/relationships/hyperlink" Target="https://www.fangraphs.com/players/juan-yepez/18400/stats" TargetMode="External"/><Relationship Id="rId1422" Type="http://schemas.openxmlformats.org/officeDocument/2006/relationships/hyperlink" Target="https://www.fangraphs.com/teams/braves" TargetMode="External"/><Relationship Id="rId1867" Type="http://schemas.openxmlformats.org/officeDocument/2006/relationships/hyperlink" Target="https://www.fangraphs.com/teams/athletics" TargetMode="External"/><Relationship Id="rId61" Type="http://schemas.openxmlformats.org/officeDocument/2006/relationships/hyperlink" Target="https://www.fangraphs.com/players/anthony-santander/14551/stats" TargetMode="External"/><Relationship Id="rId1727" Type="http://schemas.openxmlformats.org/officeDocument/2006/relationships/hyperlink" Target="https://www.fangraphs.com/players/kyle-manzardo/29794/stats" TargetMode="External"/><Relationship Id="rId1934" Type="http://schemas.openxmlformats.org/officeDocument/2006/relationships/hyperlink" Target="https://www.fangraphs.com/teams/twins" TargetMode="External"/><Relationship Id="rId19" Type="http://schemas.openxmlformats.org/officeDocument/2006/relationships/hyperlink" Target="https://www.fangraphs.com/players/chris-sale/10603/stats" TargetMode="External"/><Relationship Id="rId168" Type="http://schemas.openxmlformats.org/officeDocument/2006/relationships/hyperlink" Target="https://www.fangraphs.com/teams/braves" TargetMode="External"/><Relationship Id="rId375" Type="http://schemas.openxmlformats.org/officeDocument/2006/relationships/hyperlink" Target="https://www.fangraphs.com/players/hunter-gaddis/25636/stats" TargetMode="External"/><Relationship Id="rId582" Type="http://schemas.openxmlformats.org/officeDocument/2006/relationships/hyperlink" Target="https://www.fangraphs.com/players/blake-treinen/12572/stats" TargetMode="External"/><Relationship Id="rId2056" Type="http://schemas.openxmlformats.org/officeDocument/2006/relationships/hyperlink" Target="https://www.fangraphs.com/players/davis-wendzel/26469/stats" TargetMode="External"/><Relationship Id="rId3" Type="http://schemas.openxmlformats.org/officeDocument/2006/relationships/hyperlink" Target="https://www.fangraphs.com/players/aaron-judge/15640/stats" TargetMode="External"/><Relationship Id="rId235" Type="http://schemas.openxmlformats.org/officeDocument/2006/relationships/hyperlink" Target="https://www.fangraphs.com/players/colton-cowser/29591/stats" TargetMode="External"/><Relationship Id="rId442" Type="http://schemas.openxmlformats.org/officeDocument/2006/relationships/hyperlink" Target="https://www.fangraphs.com/teams/pirates" TargetMode="External"/><Relationship Id="rId887" Type="http://schemas.openxmlformats.org/officeDocument/2006/relationships/hyperlink" Target="https://www.fangraphs.com/teams/astros" TargetMode="External"/><Relationship Id="rId1072" Type="http://schemas.openxmlformats.org/officeDocument/2006/relationships/hyperlink" Target="https://www.fangraphs.com/teams/reds" TargetMode="External"/><Relationship Id="rId302" Type="http://schemas.openxmlformats.org/officeDocument/2006/relationships/hyperlink" Target="https://www.fangraphs.com/teams/rangers" TargetMode="External"/><Relationship Id="rId747" Type="http://schemas.openxmlformats.org/officeDocument/2006/relationships/hyperlink" Target="https://www.fangraphs.com/players/brant-hurter/30133/stats" TargetMode="External"/><Relationship Id="rId954" Type="http://schemas.openxmlformats.org/officeDocument/2006/relationships/hyperlink" Target="https://www.fangraphs.com/teams/mariners" TargetMode="External"/><Relationship Id="rId1377" Type="http://schemas.openxmlformats.org/officeDocument/2006/relationships/hyperlink" Target="https://www.fangraphs.com/teams/braves" TargetMode="External"/><Relationship Id="rId1584" Type="http://schemas.openxmlformats.org/officeDocument/2006/relationships/hyperlink" Target="https://www.fangraphs.com/teams/padres" TargetMode="External"/><Relationship Id="rId1791" Type="http://schemas.openxmlformats.org/officeDocument/2006/relationships/hyperlink" Target="https://www.fangraphs.com/players/zach-dezenzo/31562/stats" TargetMode="External"/><Relationship Id="rId83" Type="http://schemas.openxmlformats.org/officeDocument/2006/relationships/hyperlink" Target="https://www.fangraphs.com/players/eugenio-suarez/12552/stats" TargetMode="External"/><Relationship Id="rId607" Type="http://schemas.openxmlformats.org/officeDocument/2006/relationships/hyperlink" Target="https://www.fangraphs.com/players/andy-pages/24816/stats" TargetMode="External"/><Relationship Id="rId814" Type="http://schemas.openxmlformats.org/officeDocument/2006/relationships/hyperlink" Target="https://www.fangraphs.com/players/jose-iglesias/10231/stats" TargetMode="External"/><Relationship Id="rId1237" Type="http://schemas.openxmlformats.org/officeDocument/2006/relationships/hyperlink" Target="https://www.fangraphs.com/teams/cubs" TargetMode="External"/><Relationship Id="rId1444" Type="http://schemas.openxmlformats.org/officeDocument/2006/relationships/hyperlink" Target="https://www.fangraphs.com/players/jason-delay/19806/stats" TargetMode="External"/><Relationship Id="rId1651" Type="http://schemas.openxmlformats.org/officeDocument/2006/relationships/hyperlink" Target="https://www.fangraphs.com/players/angel-martinez/26540/stats" TargetMode="External"/><Relationship Id="rId1889" Type="http://schemas.openxmlformats.org/officeDocument/2006/relationships/hyperlink" Target="https://www.fangraphs.com/teams/blue-jays" TargetMode="External"/><Relationship Id="rId1304" Type="http://schemas.openxmlformats.org/officeDocument/2006/relationships/hyperlink" Target="https://www.fangraphs.com/teams/astros" TargetMode="External"/><Relationship Id="rId1511" Type="http://schemas.openxmlformats.org/officeDocument/2006/relationships/hyperlink" Target="https://www.fangraphs.com/teams/nationals" TargetMode="External"/><Relationship Id="rId1749" Type="http://schemas.openxmlformats.org/officeDocument/2006/relationships/hyperlink" Target="https://www.fangraphs.com/players/andres-chaparro/21797/stats" TargetMode="External"/><Relationship Id="rId1956" Type="http://schemas.openxmlformats.org/officeDocument/2006/relationships/hyperlink" Target="https://www.fangraphs.com/players/stone-garrett/19273/stats" TargetMode="External"/><Relationship Id="rId1609" Type="http://schemas.openxmlformats.org/officeDocument/2006/relationships/hyperlink" Target="https://www.fangraphs.com/players/joey-wentz/19962/stats" TargetMode="External"/><Relationship Id="rId1816" Type="http://schemas.openxmlformats.org/officeDocument/2006/relationships/hyperlink" Target="https://www.fangraphs.com/players/david-bote/14593/stats" TargetMode="External"/><Relationship Id="rId10" Type="http://schemas.openxmlformats.org/officeDocument/2006/relationships/hyperlink" Target="https://www.fangraphs.com/teams/mets" TargetMode="External"/><Relationship Id="rId397" Type="http://schemas.openxmlformats.org/officeDocument/2006/relationships/hyperlink" Target="https://www.fangraphs.com/players/yu-darvish/13074/stats" TargetMode="External"/><Relationship Id="rId2078" Type="http://schemas.openxmlformats.org/officeDocument/2006/relationships/hyperlink" Target="https://www.fangraphs.com/teams/twins" TargetMode="External"/><Relationship Id="rId257" Type="http://schemas.openxmlformats.org/officeDocument/2006/relationships/hyperlink" Target="https://www.fangraphs.com/players/bowden-francis/20548/stats" TargetMode="External"/><Relationship Id="rId464" Type="http://schemas.openxmlformats.org/officeDocument/2006/relationships/hyperlink" Target="https://www.fangraphs.com/teams/blue-jays" TargetMode="External"/><Relationship Id="rId1094" Type="http://schemas.openxmlformats.org/officeDocument/2006/relationships/hyperlink" Target="https://www.fangraphs.com/players/anthony-banda/14706/stats" TargetMode="External"/><Relationship Id="rId117" Type="http://schemas.openxmlformats.org/officeDocument/2006/relationships/hyperlink" Target="https://www.fangraphs.com/players/seiya-suzuki/30116/stats" TargetMode="External"/><Relationship Id="rId671" Type="http://schemas.openxmlformats.org/officeDocument/2006/relationships/hyperlink" Target="https://www.fangraphs.com/players/derek-law/13133/stats" TargetMode="External"/><Relationship Id="rId769" Type="http://schemas.openxmlformats.org/officeDocument/2006/relationships/hyperlink" Target="https://www.fangraphs.com/teams/phillies" TargetMode="External"/><Relationship Id="rId976" Type="http://schemas.openxmlformats.org/officeDocument/2006/relationships/hyperlink" Target="https://www.fangraphs.com/teams/mariners" TargetMode="External"/><Relationship Id="rId1399" Type="http://schemas.openxmlformats.org/officeDocument/2006/relationships/hyperlink" Target="https://www.fangraphs.com/teams/diamondbacks" TargetMode="External"/><Relationship Id="rId324" Type="http://schemas.openxmlformats.org/officeDocument/2006/relationships/hyperlink" Target="https://www.fangraphs.com/teams/astros" TargetMode="External"/><Relationship Id="rId531" Type="http://schemas.openxmlformats.org/officeDocument/2006/relationships/hyperlink" Target="https://www.fangraphs.com/players/pete-crow-armstrong/27769/stats" TargetMode="External"/><Relationship Id="rId629" Type="http://schemas.openxmlformats.org/officeDocument/2006/relationships/hyperlink" Target="https://www.fangraphs.com/players/starling-marte/9241/stats" TargetMode="External"/><Relationship Id="rId1161" Type="http://schemas.openxmlformats.org/officeDocument/2006/relationships/hyperlink" Target="https://www.fangraphs.com/teams/cardinals" TargetMode="External"/><Relationship Id="rId1259" Type="http://schemas.openxmlformats.org/officeDocument/2006/relationships/hyperlink" Target="https://www.fangraphs.com/players/austin-martin/27462/stats" TargetMode="External"/><Relationship Id="rId1466" Type="http://schemas.openxmlformats.org/officeDocument/2006/relationships/hyperlink" Target="https://www.fangraphs.com/teams/rockies" TargetMode="External"/><Relationship Id="rId2005" Type="http://schemas.openxmlformats.org/officeDocument/2006/relationships/hyperlink" Target="https://www.fangraphs.com/players/owen-miller/24655/stats" TargetMode="External"/><Relationship Id="rId836" Type="http://schemas.openxmlformats.org/officeDocument/2006/relationships/hyperlink" Target="https://www.fangraphs.com/players/dairon-blanco/19779/stats" TargetMode="External"/><Relationship Id="rId1021" Type="http://schemas.openxmlformats.org/officeDocument/2006/relationships/hyperlink" Target="https://www.fangraphs.com/players/adrian-morejon/20039/stats" TargetMode="External"/><Relationship Id="rId1119" Type="http://schemas.openxmlformats.org/officeDocument/2006/relationships/hyperlink" Target="https://www.fangraphs.com/teams/phillies" TargetMode="External"/><Relationship Id="rId1673" Type="http://schemas.openxmlformats.org/officeDocument/2006/relationships/hyperlink" Target="https://www.fangraphs.com/players/dj-lemahieu/9874/stats" TargetMode="External"/><Relationship Id="rId1880" Type="http://schemas.openxmlformats.org/officeDocument/2006/relationships/hyperlink" Target="https://www.fangraphs.com/teams/white-sox" TargetMode="External"/><Relationship Id="rId1978" Type="http://schemas.openxmlformats.org/officeDocument/2006/relationships/hyperlink" Target="https://www.fangraphs.com/players/cooper-hummel/19458/stats" TargetMode="External"/><Relationship Id="rId903" Type="http://schemas.openxmlformats.org/officeDocument/2006/relationships/hyperlink" Target="https://www.fangraphs.com/teams/guardians" TargetMode="External"/><Relationship Id="rId1326" Type="http://schemas.openxmlformats.org/officeDocument/2006/relationships/hyperlink" Target="https://www.fangraphs.com/teams/white-sox" TargetMode="External"/><Relationship Id="rId1533" Type="http://schemas.openxmlformats.org/officeDocument/2006/relationships/hyperlink" Target="https://www.fangraphs.com/players/grant-koch/22045/stats" TargetMode="External"/><Relationship Id="rId1740" Type="http://schemas.openxmlformats.org/officeDocument/2006/relationships/hyperlink" Target="https://www.fangraphs.com/teams/cardinals" TargetMode="External"/><Relationship Id="rId32" Type="http://schemas.openxmlformats.org/officeDocument/2006/relationships/hyperlink" Target="https://www.fangraphs.com/teams/red-sox" TargetMode="External"/><Relationship Id="rId1600" Type="http://schemas.openxmlformats.org/officeDocument/2006/relationships/hyperlink" Target="https://www.fangraphs.com/players/alex-kirilloff/20325/stats" TargetMode="External"/><Relationship Id="rId1838" Type="http://schemas.openxmlformats.org/officeDocument/2006/relationships/hyperlink" Target="https://www.fangraphs.com/players/darell-hernaiz/26224/stats" TargetMode="External"/><Relationship Id="rId181" Type="http://schemas.openxmlformats.org/officeDocument/2006/relationships/hyperlink" Target="https://www.fangraphs.com/players/luis-garcia-jr/20391/stats" TargetMode="External"/><Relationship Id="rId1905" Type="http://schemas.openxmlformats.org/officeDocument/2006/relationships/hyperlink" Target="https://www.fangraphs.com/players/yuli-gurriel/19198/stats" TargetMode="External"/><Relationship Id="rId279" Type="http://schemas.openxmlformats.org/officeDocument/2006/relationships/hyperlink" Target="https://www.fangraphs.com/players/mark-vientos/22184/stats" TargetMode="External"/><Relationship Id="rId486" Type="http://schemas.openxmlformats.org/officeDocument/2006/relationships/hyperlink" Target="https://www.fangraphs.com/teams/angels" TargetMode="External"/><Relationship Id="rId693" Type="http://schemas.openxmlformats.org/officeDocument/2006/relationships/hyperlink" Target="https://www.fangraphs.com/players/lance-lynn/2520/stats" TargetMode="External"/><Relationship Id="rId139" Type="http://schemas.openxmlformats.org/officeDocument/2006/relationships/hyperlink" Target="https://www.fangraphs.com/players/tyler-glasnow/14374/stats" TargetMode="External"/><Relationship Id="rId346" Type="http://schemas.openxmlformats.org/officeDocument/2006/relationships/hyperlink" Target="https://www.fangraphs.com/teams/tigers" TargetMode="External"/><Relationship Id="rId553" Type="http://schemas.openxmlformats.org/officeDocument/2006/relationships/hyperlink" Target="https://www.fangraphs.com/teams/giants" TargetMode="External"/><Relationship Id="rId760" Type="http://schemas.openxmlformats.org/officeDocument/2006/relationships/hyperlink" Target="https://www.fangraphs.com/players/mitch-garver/15161/stats" TargetMode="External"/><Relationship Id="rId998" Type="http://schemas.openxmlformats.org/officeDocument/2006/relationships/hyperlink" Target="https://www.fangraphs.com/players/christian-scott/30107/stats" TargetMode="External"/><Relationship Id="rId1183" Type="http://schemas.openxmlformats.org/officeDocument/2006/relationships/hyperlink" Target="https://www.fangraphs.com/players/hoby-milner/13346/stats" TargetMode="External"/><Relationship Id="rId1390" Type="http://schemas.openxmlformats.org/officeDocument/2006/relationships/hyperlink" Target="https://www.fangraphs.com/players/alex-call/19296/stats" TargetMode="External"/><Relationship Id="rId2027" Type="http://schemas.openxmlformats.org/officeDocument/2006/relationships/hyperlink" Target="https://www.fangraphs.com/players/orelvis-martinez/25967/stats" TargetMode="External"/><Relationship Id="rId206" Type="http://schemas.openxmlformats.org/officeDocument/2006/relationships/hyperlink" Target="https://www.fangraphs.com/teams/yankees" TargetMode="External"/><Relationship Id="rId413" Type="http://schemas.openxmlformats.org/officeDocument/2006/relationships/hyperlink" Target="https://www.fangraphs.com/players/george-springer/12856/stats" TargetMode="External"/><Relationship Id="rId858" Type="http://schemas.openxmlformats.org/officeDocument/2006/relationships/hyperlink" Target="https://www.fangraphs.com/teams/blue-jays" TargetMode="External"/><Relationship Id="rId1043" Type="http://schemas.openxmlformats.org/officeDocument/2006/relationships/hyperlink" Target="https://www.fangraphs.com/players/michael-tonkin/10315/stats" TargetMode="External"/><Relationship Id="rId1488" Type="http://schemas.openxmlformats.org/officeDocument/2006/relationships/hyperlink" Target="https://www.fangraphs.com/teams/blue-jays" TargetMode="External"/><Relationship Id="rId1695" Type="http://schemas.openxmlformats.org/officeDocument/2006/relationships/hyperlink" Target="https://www.fangraphs.com/teams/pirates" TargetMode="External"/><Relationship Id="rId620" Type="http://schemas.openxmlformats.org/officeDocument/2006/relationships/hyperlink" Target="https://www.fangraphs.com/teams/cubs" TargetMode="External"/><Relationship Id="rId718" Type="http://schemas.openxmlformats.org/officeDocument/2006/relationships/hyperlink" Target="https://www.fangraphs.com/players/jd-martinez/6184/stats" TargetMode="External"/><Relationship Id="rId925" Type="http://schemas.openxmlformats.org/officeDocument/2006/relationships/hyperlink" Target="https://www.fangraphs.com/players/ramon-urias/18795/stats" TargetMode="External"/><Relationship Id="rId1250" Type="http://schemas.openxmlformats.org/officeDocument/2006/relationships/hyperlink" Target="https://www.fangraphs.com/teams/mariners" TargetMode="External"/><Relationship Id="rId1348" Type="http://schemas.openxmlformats.org/officeDocument/2006/relationships/hyperlink" Target="https://www.fangraphs.com/players/jack-suwinski/22244/stats" TargetMode="External"/><Relationship Id="rId1555" Type="http://schemas.openxmlformats.org/officeDocument/2006/relationships/hyperlink" Target="https://www.fangraphs.com/players/blaze-alexander/23789/stats" TargetMode="External"/><Relationship Id="rId1762" Type="http://schemas.openxmlformats.org/officeDocument/2006/relationships/hyperlink" Target="https://www.fangraphs.com/players/oliver-dunn/26295/stats" TargetMode="External"/><Relationship Id="rId1110" Type="http://schemas.openxmlformats.org/officeDocument/2006/relationships/hyperlink" Target="https://www.fangraphs.com/players/sam-moll/14874/stats" TargetMode="External"/><Relationship Id="rId1208" Type="http://schemas.openxmlformats.org/officeDocument/2006/relationships/hyperlink" Target="https://www.fangraphs.com/teams/rangers" TargetMode="External"/><Relationship Id="rId1415" Type="http://schemas.openxmlformats.org/officeDocument/2006/relationships/hyperlink" Target="https://www.fangraphs.com/teams/yankees" TargetMode="External"/><Relationship Id="rId54" Type="http://schemas.openxmlformats.org/officeDocument/2006/relationships/hyperlink" Target="https://www.fangraphs.com/teams/diamondbacks" TargetMode="External"/><Relationship Id="rId1622" Type="http://schemas.openxmlformats.org/officeDocument/2006/relationships/hyperlink" Target="https://www.fangraphs.com/teams/rangers" TargetMode="External"/><Relationship Id="rId1927" Type="http://schemas.openxmlformats.org/officeDocument/2006/relationships/hyperlink" Target="https://www.fangraphs.com/teams/red-sox" TargetMode="External"/><Relationship Id="rId270" Type="http://schemas.openxmlformats.org/officeDocument/2006/relationships/hyperlink" Target="https://www.fangraphs.com/teams/rangers" TargetMode="External"/><Relationship Id="rId130" Type="http://schemas.openxmlformats.org/officeDocument/2006/relationships/hyperlink" Target="https://www.fangraphs.com/teams/dodgers" TargetMode="External"/><Relationship Id="rId368" Type="http://schemas.openxmlformats.org/officeDocument/2006/relationships/hyperlink" Target="https://www.fangraphs.com/teams/phillies" TargetMode="External"/><Relationship Id="rId575" Type="http://schemas.openxmlformats.org/officeDocument/2006/relationships/hyperlink" Target="https://www.fangraphs.com/teams/orioles" TargetMode="External"/><Relationship Id="rId782" Type="http://schemas.openxmlformats.org/officeDocument/2006/relationships/hyperlink" Target="https://www.fangraphs.com/teams/braves" TargetMode="External"/><Relationship Id="rId2049" Type="http://schemas.openxmlformats.org/officeDocument/2006/relationships/hyperlink" Target="https://www.fangraphs.com/players/isaac-collins/25477/stats" TargetMode="External"/><Relationship Id="rId228" Type="http://schemas.openxmlformats.org/officeDocument/2006/relationships/hyperlink" Target="https://www.fangraphs.com/teams/angels" TargetMode="External"/><Relationship Id="rId435" Type="http://schemas.openxmlformats.org/officeDocument/2006/relationships/hyperlink" Target="https://www.fangraphs.com/players/yandy-diaz/16578/stats" TargetMode="External"/><Relationship Id="rId642" Type="http://schemas.openxmlformats.org/officeDocument/2006/relationships/hyperlink" Target="https://www.fangraphs.com/teams/guardians" TargetMode="External"/><Relationship Id="rId1065" Type="http://schemas.openxmlformats.org/officeDocument/2006/relationships/hyperlink" Target="https://www.fangraphs.com/players/jared-triolo/25807/stats" TargetMode="External"/><Relationship Id="rId1272" Type="http://schemas.openxmlformats.org/officeDocument/2006/relationships/hyperlink" Target="https://www.fangraphs.com/teams/nationals" TargetMode="External"/><Relationship Id="rId502" Type="http://schemas.openxmlformats.org/officeDocument/2006/relationships/hyperlink" Target="https://www.fangraphs.com/teams/twins" TargetMode="External"/><Relationship Id="rId947" Type="http://schemas.openxmlformats.org/officeDocument/2006/relationships/hyperlink" Target="https://www.fangraphs.com/players/yennier-cano/25911/stats" TargetMode="External"/><Relationship Id="rId1132" Type="http://schemas.openxmlformats.org/officeDocument/2006/relationships/hyperlink" Target="https://www.fangraphs.com/players/tommy-kahnle/11384/stats" TargetMode="External"/><Relationship Id="rId1577" Type="http://schemas.openxmlformats.org/officeDocument/2006/relationships/hyperlink" Target="https://www.fangraphs.com/players/nick-martini/12005/stats" TargetMode="External"/><Relationship Id="rId1784" Type="http://schemas.openxmlformats.org/officeDocument/2006/relationships/hyperlink" Target="https://www.fangraphs.com/teams/cubs" TargetMode="External"/><Relationship Id="rId1991" Type="http://schemas.openxmlformats.org/officeDocument/2006/relationships/hyperlink" Target="https://www.fangraphs.com/players/joey-wendle/13853/stats" TargetMode="External"/><Relationship Id="rId76" Type="http://schemas.openxmlformats.org/officeDocument/2006/relationships/hyperlink" Target="https://www.fangraphs.com/teams/phillies" TargetMode="External"/><Relationship Id="rId807" Type="http://schemas.openxmlformats.org/officeDocument/2006/relationships/hyperlink" Target="https://www.fangraphs.com/teams/tigers" TargetMode="External"/><Relationship Id="rId1437" Type="http://schemas.openxmlformats.org/officeDocument/2006/relationships/hyperlink" Target="https://www.fangraphs.com/teams/red-sox" TargetMode="External"/><Relationship Id="rId1644" Type="http://schemas.openxmlformats.org/officeDocument/2006/relationships/hyperlink" Target="https://www.fangraphs.com/players/travis-jankowski/13768/stats" TargetMode="External"/><Relationship Id="rId1851" Type="http://schemas.openxmlformats.org/officeDocument/2006/relationships/hyperlink" Target="https://www.fangraphs.com/players/bubba-thompson/22261/stats" TargetMode="External"/><Relationship Id="rId1504" Type="http://schemas.openxmlformats.org/officeDocument/2006/relationships/hyperlink" Target="https://www.fangraphs.com/players/cal-quantrill/19312/stats" TargetMode="External"/><Relationship Id="rId1711" Type="http://schemas.openxmlformats.org/officeDocument/2006/relationships/hyperlink" Target="https://www.fangraphs.com/teams/athletics" TargetMode="External"/><Relationship Id="rId1949" Type="http://schemas.openxmlformats.org/officeDocument/2006/relationships/hyperlink" Target="https://www.fangraphs.com/players/travis-blankenhorn/18395/stats" TargetMode="External"/><Relationship Id="rId292" Type="http://schemas.openxmlformats.org/officeDocument/2006/relationships/hyperlink" Target="https://www.fangraphs.com/teams/giants" TargetMode="External"/><Relationship Id="rId1809" Type="http://schemas.openxmlformats.org/officeDocument/2006/relationships/hyperlink" Target="https://www.fangraphs.com/teams/white-sox" TargetMode="External"/><Relationship Id="rId597" Type="http://schemas.openxmlformats.org/officeDocument/2006/relationships/hyperlink" Target="https://www.fangraphs.com/players/xander-bogaerts/12161/stats" TargetMode="External"/><Relationship Id="rId152" Type="http://schemas.openxmlformats.org/officeDocument/2006/relationships/hyperlink" Target="https://www.fangraphs.com/teams/cardinals" TargetMode="External"/><Relationship Id="rId457" Type="http://schemas.openxmlformats.org/officeDocument/2006/relationships/hyperlink" Target="https://www.fangraphs.com/players/josh-bell/13145/stats" TargetMode="External"/><Relationship Id="rId1087" Type="http://schemas.openxmlformats.org/officeDocument/2006/relationships/hyperlink" Target="https://www.fangraphs.com/teams/royals" TargetMode="External"/><Relationship Id="rId1294" Type="http://schemas.openxmlformats.org/officeDocument/2006/relationships/hyperlink" Target="https://www.fangraphs.com/players/anthony-rizzo/3473/stats" TargetMode="External"/><Relationship Id="rId2040" Type="http://schemas.openxmlformats.org/officeDocument/2006/relationships/hyperlink" Target="https://www.fangraphs.com/teams/brewers" TargetMode="External"/><Relationship Id="rId664" Type="http://schemas.openxmlformats.org/officeDocument/2006/relationships/hyperlink" Target="https://www.fangraphs.com/teams/braves" TargetMode="External"/><Relationship Id="rId871" Type="http://schemas.openxmlformats.org/officeDocument/2006/relationships/hyperlink" Target="https://www.fangraphs.com/players/ramon-laureano/17128/stats" TargetMode="External"/><Relationship Id="rId969" Type="http://schemas.openxmlformats.org/officeDocument/2006/relationships/hyperlink" Target="https://www.fangraphs.com/players/david-festa/30056/stats" TargetMode="External"/><Relationship Id="rId1599" Type="http://schemas.openxmlformats.org/officeDocument/2006/relationships/hyperlink" Target="https://www.fangraphs.com/players/tyler-nevin/17893/stats" TargetMode="External"/><Relationship Id="rId317" Type="http://schemas.openxmlformats.org/officeDocument/2006/relationships/hyperlink" Target="https://www.fangraphs.com/players/andres-gimenez/19950/stats" TargetMode="External"/><Relationship Id="rId524" Type="http://schemas.openxmlformats.org/officeDocument/2006/relationships/hyperlink" Target="https://www.fangraphs.com/players/patrick-bailey/27478/stats" TargetMode="External"/><Relationship Id="rId731" Type="http://schemas.openxmlformats.org/officeDocument/2006/relationships/hyperlink" Target="https://www.fangraphs.com/players/gary-sanchez/11442/stats" TargetMode="External"/><Relationship Id="rId1154" Type="http://schemas.openxmlformats.org/officeDocument/2006/relationships/hyperlink" Target="https://www.fangraphs.com/players/adam-oller/20132/stats" TargetMode="External"/><Relationship Id="rId1361" Type="http://schemas.openxmlformats.org/officeDocument/2006/relationships/hyperlink" Target="https://www.fangraphs.com/teams/royals" TargetMode="External"/><Relationship Id="rId1459" Type="http://schemas.openxmlformats.org/officeDocument/2006/relationships/hyperlink" Target="https://www.fangraphs.com/teams/pirates" TargetMode="External"/><Relationship Id="rId98" Type="http://schemas.openxmlformats.org/officeDocument/2006/relationships/hyperlink" Target="https://www.fangraphs.com/teams/diamondbacks" TargetMode="External"/><Relationship Id="rId829" Type="http://schemas.openxmlformats.org/officeDocument/2006/relationships/hyperlink" Target="https://www.fangraphs.com/teams/dodgers" TargetMode="External"/><Relationship Id="rId1014" Type="http://schemas.openxmlformats.org/officeDocument/2006/relationships/hyperlink" Target="https://www.fangraphs.com/teams/padres" TargetMode="External"/><Relationship Id="rId1221" Type="http://schemas.openxmlformats.org/officeDocument/2006/relationships/hyperlink" Target="https://www.fangraphs.com/players/whit-merrifield/11281/stats" TargetMode="External"/><Relationship Id="rId1666" Type="http://schemas.openxmlformats.org/officeDocument/2006/relationships/hyperlink" Target="https://www.fangraphs.com/teams/nationals" TargetMode="External"/><Relationship Id="rId1873" Type="http://schemas.openxmlformats.org/officeDocument/2006/relationships/hyperlink" Target="https://www.fangraphs.com/teams/braves" TargetMode="External"/><Relationship Id="rId1319" Type="http://schemas.openxmlformats.org/officeDocument/2006/relationships/hyperlink" Target="https://www.fangraphs.com/players/joe-boyle/29608/stats" TargetMode="External"/><Relationship Id="rId1526" Type="http://schemas.openxmlformats.org/officeDocument/2006/relationships/hyperlink" Target="https://www.fangraphs.com/teams/blue-jays" TargetMode="External"/><Relationship Id="rId1733" Type="http://schemas.openxmlformats.org/officeDocument/2006/relationships/hyperlink" Target="https://www.fangraphs.com/players/nick-sogard/25483/stats" TargetMode="External"/><Relationship Id="rId1940" Type="http://schemas.openxmlformats.org/officeDocument/2006/relationships/hyperlink" Target="https://www.fangraphs.com/players/drew-waters/20505/stats" TargetMode="External"/><Relationship Id="rId25" Type="http://schemas.openxmlformats.org/officeDocument/2006/relationships/hyperlink" Target="https://www.fangraphs.com/players/vladimir-guerrero-jr/19611/stats" TargetMode="External"/><Relationship Id="rId1800" Type="http://schemas.openxmlformats.org/officeDocument/2006/relationships/hyperlink" Target="https://www.fangraphs.com/teams/tigers" TargetMode="External"/><Relationship Id="rId174" Type="http://schemas.openxmlformats.org/officeDocument/2006/relationships/hyperlink" Target="https://www.fangraphs.com/teams/rangers" TargetMode="External"/><Relationship Id="rId381" Type="http://schemas.openxmlformats.org/officeDocument/2006/relationships/hyperlink" Target="https://www.fangraphs.com/players/jesse-winker/13590/stats" TargetMode="External"/><Relationship Id="rId2062" Type="http://schemas.openxmlformats.org/officeDocument/2006/relationships/hyperlink" Target="https://www.fangraphs.com/players/niko-goodrum/12092/stats" TargetMode="External"/><Relationship Id="rId241" Type="http://schemas.openxmlformats.org/officeDocument/2006/relationships/hyperlink" Target="https://www.fangraphs.com/players/michael-wacha/14078/stats" TargetMode="External"/><Relationship Id="rId479" Type="http://schemas.openxmlformats.org/officeDocument/2006/relationships/hyperlink" Target="https://www.fangraphs.com/players/zack-littell/15823/stats" TargetMode="External"/><Relationship Id="rId686" Type="http://schemas.openxmlformats.org/officeDocument/2006/relationships/hyperlink" Target="https://www.fangraphs.com/teams/diamondbacks" TargetMode="External"/><Relationship Id="rId893" Type="http://schemas.openxmlformats.org/officeDocument/2006/relationships/hyperlink" Target="https://www.fangraphs.com/teams/red-sox" TargetMode="External"/><Relationship Id="rId339" Type="http://schemas.openxmlformats.org/officeDocument/2006/relationships/hyperlink" Target="https://www.fangraphs.com/players/zach-eflin/13774/stats" TargetMode="External"/><Relationship Id="rId546" Type="http://schemas.openxmlformats.org/officeDocument/2006/relationships/hyperlink" Target="https://www.fangraphs.com/players/jhoan-duran/21029/stats" TargetMode="External"/><Relationship Id="rId753" Type="http://schemas.openxmlformats.org/officeDocument/2006/relationships/hyperlink" Target="https://www.fangraphs.com/players/craig-kimbrel/6655/stats" TargetMode="External"/><Relationship Id="rId1176" Type="http://schemas.openxmlformats.org/officeDocument/2006/relationships/hyperlink" Target="https://www.fangraphs.com/teams/brewers" TargetMode="External"/><Relationship Id="rId1383" Type="http://schemas.openxmlformats.org/officeDocument/2006/relationships/hyperlink" Target="https://www.fangraphs.com/teams/padres" TargetMode="External"/><Relationship Id="rId101" Type="http://schemas.openxmlformats.org/officeDocument/2006/relationships/hyperlink" Target="https://www.fangraphs.com/players/bryan-reynolds/19326/stats" TargetMode="External"/><Relationship Id="rId406" Type="http://schemas.openxmlformats.org/officeDocument/2006/relationships/hyperlink" Target="https://www.fangraphs.com/teams/mariners" TargetMode="External"/><Relationship Id="rId960" Type="http://schemas.openxmlformats.org/officeDocument/2006/relationships/hyperlink" Target="https://www.fangraphs.com/teams/braves" TargetMode="External"/><Relationship Id="rId1036" Type="http://schemas.openxmlformats.org/officeDocument/2006/relationships/hyperlink" Target="https://www.fangraphs.com/teams/brewers" TargetMode="External"/><Relationship Id="rId1243" Type="http://schemas.openxmlformats.org/officeDocument/2006/relationships/hyperlink" Target="https://www.fangraphs.com/players/jhonkensy-noel/24257/stats" TargetMode="External"/><Relationship Id="rId1590" Type="http://schemas.openxmlformats.org/officeDocument/2006/relationships/hyperlink" Target="https://www.fangraphs.com/teams/rockies" TargetMode="External"/><Relationship Id="rId1688" Type="http://schemas.openxmlformats.org/officeDocument/2006/relationships/hyperlink" Target="https://www.fangraphs.com/players/ben-rice/29576/stats" TargetMode="External"/><Relationship Id="rId1895" Type="http://schemas.openxmlformats.org/officeDocument/2006/relationships/hyperlink" Target="https://www.fangraphs.com/teams/tigers" TargetMode="External"/><Relationship Id="rId613" Type="http://schemas.openxmlformats.org/officeDocument/2006/relationships/hyperlink" Target="https://www.fangraphs.com/players/david-hamilton/27531/stats" TargetMode="External"/><Relationship Id="rId820" Type="http://schemas.openxmlformats.org/officeDocument/2006/relationships/hyperlink" Target="https://www.fangraphs.com/players/rob-refsnyder/13770/stats" TargetMode="External"/><Relationship Id="rId918" Type="http://schemas.openxmlformats.org/officeDocument/2006/relationships/hyperlink" Target="https://www.fangraphs.com/players/shelby-miller/10197/stats" TargetMode="External"/><Relationship Id="rId1450" Type="http://schemas.openxmlformats.org/officeDocument/2006/relationships/hyperlink" Target="https://www.fangraphs.com/players/carlos-carrasco/6632/stats" TargetMode="External"/><Relationship Id="rId1548" Type="http://schemas.openxmlformats.org/officeDocument/2006/relationships/hyperlink" Target="https://www.fangraphs.com/players/justin-anderson/16201/stats" TargetMode="External"/><Relationship Id="rId1755" Type="http://schemas.openxmlformats.org/officeDocument/2006/relationships/hyperlink" Target="https://www.fangraphs.com/teams/pirates" TargetMode="External"/><Relationship Id="rId1103" Type="http://schemas.openxmlformats.org/officeDocument/2006/relationships/hyperlink" Target="https://www.fangraphs.com/teams/braves" TargetMode="External"/><Relationship Id="rId1310" Type="http://schemas.openxmlformats.org/officeDocument/2006/relationships/hyperlink" Target="https://www.fangraphs.com/teams/twins" TargetMode="External"/><Relationship Id="rId1408" Type="http://schemas.openxmlformats.org/officeDocument/2006/relationships/hyperlink" Target="https://www.fangraphs.com/players/ian-hamilton/19261/stats" TargetMode="External"/><Relationship Id="rId1962" Type="http://schemas.openxmlformats.org/officeDocument/2006/relationships/hyperlink" Target="https://www.fangraphs.com/teams/pirates" TargetMode="External"/><Relationship Id="rId47" Type="http://schemas.openxmlformats.org/officeDocument/2006/relationships/hyperlink" Target="https://www.fangraphs.com/players/salvador-perez/7304/stats" TargetMode="External"/><Relationship Id="rId1615" Type="http://schemas.openxmlformats.org/officeDocument/2006/relationships/hyperlink" Target="https://www.fangraphs.com/players/nick-senzel/19293/stats" TargetMode="External"/><Relationship Id="rId1822" Type="http://schemas.openxmlformats.org/officeDocument/2006/relationships/hyperlink" Target="https://www.fangraphs.com/players/kyle-hendricks/12049/stats" TargetMode="External"/><Relationship Id="rId196" Type="http://schemas.openxmlformats.org/officeDocument/2006/relationships/hyperlink" Target="https://www.fangraphs.com/teams/rangers" TargetMode="External"/><Relationship Id="rId2084" Type="http://schemas.openxmlformats.org/officeDocument/2006/relationships/hyperlink" Target="https://www.fangraphs.com/teams/angels" TargetMode="External"/><Relationship Id="rId263" Type="http://schemas.openxmlformats.org/officeDocument/2006/relationships/hyperlink" Target="https://www.fangraphs.com/players/ryan-jeffers/24618/stats" TargetMode="External"/><Relationship Id="rId470" Type="http://schemas.openxmlformats.org/officeDocument/2006/relationships/hyperlink" Target="https://www.fangraphs.com/teams/rays" TargetMode="External"/><Relationship Id="rId123" Type="http://schemas.openxmlformats.org/officeDocument/2006/relationships/hyperlink" Target="https://www.fangraphs.com/players/kirby-yates/9073/stats" TargetMode="External"/><Relationship Id="rId330" Type="http://schemas.openxmlformats.org/officeDocument/2006/relationships/hyperlink" Target="https://www.fangraphs.com/teams/phillies" TargetMode="External"/><Relationship Id="rId568" Type="http://schemas.openxmlformats.org/officeDocument/2006/relationships/hyperlink" Target="https://www.fangraphs.com/players/colin-rea/12317/stats" TargetMode="External"/><Relationship Id="rId775" Type="http://schemas.openxmlformats.org/officeDocument/2006/relationships/hyperlink" Target="https://www.fangraphs.com/teams/brewers" TargetMode="External"/><Relationship Id="rId982" Type="http://schemas.openxmlformats.org/officeDocument/2006/relationships/hyperlink" Target="https://www.fangraphs.com/teams/braves" TargetMode="External"/><Relationship Id="rId1198" Type="http://schemas.openxmlformats.org/officeDocument/2006/relationships/hyperlink" Target="https://www.fangraphs.com/teams/nationals" TargetMode="External"/><Relationship Id="rId2011" Type="http://schemas.openxmlformats.org/officeDocument/2006/relationships/hyperlink" Target="https://www.fangraphs.com/teams/angels" TargetMode="External"/><Relationship Id="rId428" Type="http://schemas.openxmlformats.org/officeDocument/2006/relationships/hyperlink" Target="https://www.fangraphs.com/teams/nationals" TargetMode="External"/><Relationship Id="rId635" Type="http://schemas.openxmlformats.org/officeDocument/2006/relationships/hyperlink" Target="https://www.fangraphs.com/players/mackenzie-gore/22201/stats" TargetMode="External"/><Relationship Id="rId842" Type="http://schemas.openxmlformats.org/officeDocument/2006/relationships/hyperlink" Target="https://www.fangraphs.com/players/ryan-thompson/16647/stats" TargetMode="External"/><Relationship Id="rId1058" Type="http://schemas.openxmlformats.org/officeDocument/2006/relationships/hyperlink" Target="https://www.fangraphs.com/teams/blue-jays" TargetMode="External"/><Relationship Id="rId1265" Type="http://schemas.openxmlformats.org/officeDocument/2006/relationships/hyperlink" Target="https://www.fangraphs.com/players/austin-gomber/16561/stats" TargetMode="External"/><Relationship Id="rId1472" Type="http://schemas.openxmlformats.org/officeDocument/2006/relationships/hyperlink" Target="https://www.fangraphs.com/teams/padres" TargetMode="External"/><Relationship Id="rId702" Type="http://schemas.openxmlformats.org/officeDocument/2006/relationships/hyperlink" Target="https://www.fangraphs.com/players/erik-miller/26252/stats" TargetMode="External"/><Relationship Id="rId1125" Type="http://schemas.openxmlformats.org/officeDocument/2006/relationships/hyperlink" Target="https://www.fangraphs.com/teams/padres" TargetMode="External"/><Relationship Id="rId1332" Type="http://schemas.openxmlformats.org/officeDocument/2006/relationships/hyperlink" Target="https://www.fangraphs.com/players/keaton-winn/23499/stats" TargetMode="External"/><Relationship Id="rId1777" Type="http://schemas.openxmlformats.org/officeDocument/2006/relationships/hyperlink" Target="https://www.fangraphs.com/teams/rockies" TargetMode="External"/><Relationship Id="rId1984" Type="http://schemas.openxmlformats.org/officeDocument/2006/relationships/hyperlink" Target="https://www.fangraphs.com/players/tyler-gentry/27784/stats" TargetMode="External"/><Relationship Id="rId69" Type="http://schemas.openxmlformats.org/officeDocument/2006/relationships/hyperlink" Target="https://www.fangraphs.com/players/jose-altuve/5417/stats" TargetMode="External"/><Relationship Id="rId1637" Type="http://schemas.openxmlformats.org/officeDocument/2006/relationships/hyperlink" Target="https://www.fangraphs.com/teams/marlins" TargetMode="External"/><Relationship Id="rId1844" Type="http://schemas.openxmlformats.org/officeDocument/2006/relationships/hyperlink" Target="https://www.fangraphs.com/players/tim-anderson/15172/stats" TargetMode="External"/><Relationship Id="rId1704" Type="http://schemas.openxmlformats.org/officeDocument/2006/relationships/hyperlink" Target="https://www.fangraphs.com/players/jordan-beck/31431/stats" TargetMode="External"/><Relationship Id="rId285" Type="http://schemas.openxmlformats.org/officeDocument/2006/relationships/hyperlink" Target="https://www.fangraphs.com/players/freddy-peralta/18679/stats" TargetMode="External"/><Relationship Id="rId1911" Type="http://schemas.openxmlformats.org/officeDocument/2006/relationships/hyperlink" Target="https://www.fangraphs.com/teams/white-sox" TargetMode="External"/><Relationship Id="rId492" Type="http://schemas.openxmlformats.org/officeDocument/2006/relationships/hyperlink" Target="https://www.fangraphs.com/teams/dodgers" TargetMode="External"/><Relationship Id="rId797" Type="http://schemas.openxmlformats.org/officeDocument/2006/relationships/hyperlink" Target="https://www.fangraphs.com/teams/cardinals" TargetMode="External"/><Relationship Id="rId145" Type="http://schemas.openxmlformats.org/officeDocument/2006/relationships/hyperlink" Target="https://www.fangraphs.com/players/sean-manaea/15873/stats" TargetMode="External"/><Relationship Id="rId352" Type="http://schemas.openxmlformats.org/officeDocument/2006/relationships/hyperlink" Target="https://www.fangraphs.com/teams/rays" TargetMode="External"/><Relationship Id="rId1287" Type="http://schemas.openxmlformats.org/officeDocument/2006/relationships/hyperlink" Target="https://www.fangraphs.com/teams/guardians" TargetMode="External"/><Relationship Id="rId2033" Type="http://schemas.openxmlformats.org/officeDocument/2006/relationships/hyperlink" Target="https://www.fangraphs.com/players/jacob-amaya/23296/stats" TargetMode="External"/><Relationship Id="rId212" Type="http://schemas.openxmlformats.org/officeDocument/2006/relationships/hyperlink" Target="https://www.fangraphs.com/teams/cubs" TargetMode="External"/><Relationship Id="rId657" Type="http://schemas.openxmlformats.org/officeDocument/2006/relationships/hyperlink" Target="https://www.fangraphs.com/players/dylan-moore/18042/stats" TargetMode="External"/><Relationship Id="rId864" Type="http://schemas.openxmlformats.org/officeDocument/2006/relationships/hyperlink" Target="https://www.fangraphs.com/teams/giants" TargetMode="External"/><Relationship Id="rId1494" Type="http://schemas.openxmlformats.org/officeDocument/2006/relationships/hyperlink" Target="https://www.fangraphs.com/players/kyle-farmer/14813/stats" TargetMode="External"/><Relationship Id="rId1799" Type="http://schemas.openxmlformats.org/officeDocument/2006/relationships/hyperlink" Target="https://www.fangraphs.com/players/jace-jung/31437/stats" TargetMode="External"/><Relationship Id="rId517" Type="http://schemas.openxmlformats.org/officeDocument/2006/relationships/hyperlink" Target="https://www.fangraphs.com/teams/athletics" TargetMode="External"/><Relationship Id="rId724" Type="http://schemas.openxmlformats.org/officeDocument/2006/relationships/hyperlink" Target="https://www.fangraphs.com/teams/rays" TargetMode="External"/><Relationship Id="rId931" Type="http://schemas.openxmlformats.org/officeDocument/2006/relationships/hyperlink" Target="https://www.fangraphs.com/players/tyler-ferguson/19481/stats" TargetMode="External"/><Relationship Id="rId1147" Type="http://schemas.openxmlformats.org/officeDocument/2006/relationships/hyperlink" Target="https://www.fangraphs.com/teams/athletics" TargetMode="External"/><Relationship Id="rId1354" Type="http://schemas.openxmlformats.org/officeDocument/2006/relationships/hyperlink" Target="https://www.fangraphs.com/players/michael-a-taylor/11489/stats" TargetMode="External"/><Relationship Id="rId1561" Type="http://schemas.openxmlformats.org/officeDocument/2006/relationships/hyperlink" Target="https://www.fangraphs.com/players/daz-cameron/18353/stats" TargetMode="External"/><Relationship Id="rId60" Type="http://schemas.openxmlformats.org/officeDocument/2006/relationships/hyperlink" Target="https://www.fangraphs.com/teams/padres" TargetMode="External"/><Relationship Id="rId1007" Type="http://schemas.openxmlformats.org/officeDocument/2006/relationships/hyperlink" Target="https://www.fangraphs.com/players/gavin-williams/30122/stats" TargetMode="External"/><Relationship Id="rId1214" Type="http://schemas.openxmlformats.org/officeDocument/2006/relationships/hyperlink" Target="https://www.fangraphs.com/teams/pirates" TargetMode="External"/><Relationship Id="rId1421" Type="http://schemas.openxmlformats.org/officeDocument/2006/relationships/hyperlink" Target="https://www.fangraphs.com/players/chadwick-tromp/16953/stats" TargetMode="External"/><Relationship Id="rId1659" Type="http://schemas.openxmlformats.org/officeDocument/2006/relationships/hyperlink" Target="https://www.fangraphs.com/players/john-brebbia/12777/stats" TargetMode="External"/><Relationship Id="rId1866" Type="http://schemas.openxmlformats.org/officeDocument/2006/relationships/hyperlink" Target="https://www.fangraphs.com/players/jacob-wilson/33266/stats" TargetMode="External"/><Relationship Id="rId1519" Type="http://schemas.openxmlformats.org/officeDocument/2006/relationships/hyperlink" Target="https://www.fangraphs.com/teams/rays" TargetMode="External"/><Relationship Id="rId1726" Type="http://schemas.openxmlformats.org/officeDocument/2006/relationships/hyperlink" Target="https://www.fangraphs.com/teams/mariners" TargetMode="External"/><Relationship Id="rId1933" Type="http://schemas.openxmlformats.org/officeDocument/2006/relationships/hyperlink" Target="https://www.fangraphs.com/players/dashawn-keirsey-jr/24496/stats" TargetMode="External"/><Relationship Id="rId18" Type="http://schemas.openxmlformats.org/officeDocument/2006/relationships/hyperlink" Target="https://www.fangraphs.com/teams/reds" TargetMode="External"/><Relationship Id="rId167" Type="http://schemas.openxmlformats.org/officeDocument/2006/relationships/hyperlink" Target="https://www.fangraphs.com/players/matt-olson/14344/stats" TargetMode="External"/><Relationship Id="rId374" Type="http://schemas.openxmlformats.org/officeDocument/2006/relationships/hyperlink" Target="https://www.fangraphs.com/teams/mariners" TargetMode="External"/><Relationship Id="rId581" Type="http://schemas.openxmlformats.org/officeDocument/2006/relationships/hyperlink" Target="https://www.fangraphs.com/teams/nationals" TargetMode="External"/><Relationship Id="rId2055" Type="http://schemas.openxmlformats.org/officeDocument/2006/relationships/hyperlink" Target="https://www.fangraphs.com/teams/rockies" TargetMode="External"/><Relationship Id="rId234" Type="http://schemas.openxmlformats.org/officeDocument/2006/relationships/hyperlink" Target="https://www.fangraphs.com/teams/astros" TargetMode="External"/><Relationship Id="rId679" Type="http://schemas.openxmlformats.org/officeDocument/2006/relationships/hyperlink" Target="https://www.fangraphs.com/players/trevor-megill/17722/stats" TargetMode="External"/><Relationship Id="rId886" Type="http://schemas.openxmlformats.org/officeDocument/2006/relationships/hyperlink" Target="https://www.fangraphs.com/players/spencer-arrighetti/29921/stats" TargetMode="External"/><Relationship Id="rId2" Type="http://schemas.openxmlformats.org/officeDocument/2006/relationships/hyperlink" Target="https://www.fangraphs.com/teams/dodgers" TargetMode="External"/><Relationship Id="rId441" Type="http://schemas.openxmlformats.org/officeDocument/2006/relationships/hyperlink" Target="https://www.fangraphs.com/players/joey-bart/21524/stats" TargetMode="External"/><Relationship Id="rId539" Type="http://schemas.openxmlformats.org/officeDocument/2006/relationships/hyperlink" Target="https://www.fangraphs.com/teams/rays" TargetMode="External"/><Relationship Id="rId746" Type="http://schemas.openxmlformats.org/officeDocument/2006/relationships/hyperlink" Target="https://www.fangraphs.com/teams/braves" TargetMode="External"/><Relationship Id="rId1071" Type="http://schemas.openxmlformats.org/officeDocument/2006/relationships/hyperlink" Target="https://www.fangraphs.com/players/stuart-fairchild/20321/stats" TargetMode="External"/><Relationship Id="rId1169" Type="http://schemas.openxmlformats.org/officeDocument/2006/relationships/hyperlink" Target="https://www.fangraphs.com/players/jonny-deluca/26365/stats" TargetMode="External"/><Relationship Id="rId1376" Type="http://schemas.openxmlformats.org/officeDocument/2006/relationships/hyperlink" Target="https://www.fangraphs.com/players/curt-casali/12510/stats" TargetMode="External"/><Relationship Id="rId1583" Type="http://schemas.openxmlformats.org/officeDocument/2006/relationships/hyperlink" Target="https://www.fangraphs.com/players/stephen-kolek/21487/stats" TargetMode="External"/><Relationship Id="rId301" Type="http://schemas.openxmlformats.org/officeDocument/2006/relationships/hyperlink" Target="https://www.fangraphs.com/players/joc-pederson/11899/stats" TargetMode="External"/><Relationship Id="rId953" Type="http://schemas.openxmlformats.org/officeDocument/2006/relationships/hyperlink" Target="https://www.fangraphs.com/players/donovan-solano/8623/stats" TargetMode="External"/><Relationship Id="rId1029" Type="http://schemas.openxmlformats.org/officeDocument/2006/relationships/hyperlink" Target="https://www.fangraphs.com/players/jonah-bride/24703/stats" TargetMode="External"/><Relationship Id="rId1236" Type="http://schemas.openxmlformats.org/officeDocument/2006/relationships/hyperlink" Target="https://www.fangraphs.com/players/jordan-wicks/30094/stats" TargetMode="External"/><Relationship Id="rId1790" Type="http://schemas.openxmlformats.org/officeDocument/2006/relationships/hyperlink" Target="https://www.fangraphs.com/teams/athletics" TargetMode="External"/><Relationship Id="rId1888" Type="http://schemas.openxmlformats.org/officeDocument/2006/relationships/hyperlink" Target="https://www.fangraphs.com/players/myles-straw/17620/stats" TargetMode="External"/><Relationship Id="rId82" Type="http://schemas.openxmlformats.org/officeDocument/2006/relationships/hyperlink" Target="https://www.fangraphs.com/teams/padres" TargetMode="External"/><Relationship Id="rId606" Type="http://schemas.openxmlformats.org/officeDocument/2006/relationships/hyperlink" Target="https://www.fangraphs.com/teams/tigers" TargetMode="External"/><Relationship Id="rId813" Type="http://schemas.openxmlformats.org/officeDocument/2006/relationships/hyperlink" Target="https://www.fangraphs.com/teams/mets" TargetMode="External"/><Relationship Id="rId1443" Type="http://schemas.openxmlformats.org/officeDocument/2006/relationships/hyperlink" Target="https://www.fangraphs.com/teams/diamondbacks" TargetMode="External"/><Relationship Id="rId1650" Type="http://schemas.openxmlformats.org/officeDocument/2006/relationships/hyperlink" Target="https://www.fangraphs.com/teams/diamondbacks" TargetMode="External"/><Relationship Id="rId1748" Type="http://schemas.openxmlformats.org/officeDocument/2006/relationships/hyperlink" Target="https://www.fangraphs.com/teams/rockies" TargetMode="External"/><Relationship Id="rId1303" Type="http://schemas.openxmlformats.org/officeDocument/2006/relationships/hyperlink" Target="https://www.fangraphs.com/players/chas-mccormick/19599/stats" TargetMode="External"/><Relationship Id="rId1510" Type="http://schemas.openxmlformats.org/officeDocument/2006/relationships/hyperlink" Target="https://www.fangraphs.com/players/jose-tena/23691/stats" TargetMode="External"/><Relationship Id="rId1955" Type="http://schemas.openxmlformats.org/officeDocument/2006/relationships/hyperlink" Target="https://www.fangraphs.com/teams/mariners" TargetMode="External"/><Relationship Id="rId1608" Type="http://schemas.openxmlformats.org/officeDocument/2006/relationships/hyperlink" Target="https://www.fangraphs.com/teams/guardians" TargetMode="External"/><Relationship Id="rId1815" Type="http://schemas.openxmlformats.org/officeDocument/2006/relationships/hyperlink" Target="https://www.fangraphs.com/teams/dodgers" TargetMode="External"/><Relationship Id="rId189" Type="http://schemas.openxmlformats.org/officeDocument/2006/relationships/hyperlink" Target="https://www.fangraphs.com/players/jeremy-pena/21636/stats" TargetMode="External"/><Relationship Id="rId396" Type="http://schemas.openxmlformats.org/officeDocument/2006/relationships/hyperlink" Target="https://www.fangraphs.com/teams/astros" TargetMode="External"/><Relationship Id="rId2077" Type="http://schemas.openxmlformats.org/officeDocument/2006/relationships/hyperlink" Target="https://www.fangraphs.com/players/mickey-gasper/24759/stats" TargetMode="External"/><Relationship Id="rId256" Type="http://schemas.openxmlformats.org/officeDocument/2006/relationships/hyperlink" Target="https://www.fangraphs.com/teams/orioles" TargetMode="External"/><Relationship Id="rId463" Type="http://schemas.openxmlformats.org/officeDocument/2006/relationships/hyperlink" Target="https://www.fangraphs.com/players/daulton-varsho/19918/stats" TargetMode="External"/><Relationship Id="rId670" Type="http://schemas.openxmlformats.org/officeDocument/2006/relationships/hyperlink" Target="https://www.fangraphs.com/teams/cubs" TargetMode="External"/><Relationship Id="rId1093" Type="http://schemas.openxmlformats.org/officeDocument/2006/relationships/hyperlink" Target="https://www.fangraphs.com/players/pedro-avila/18864/stats" TargetMode="External"/><Relationship Id="rId116" Type="http://schemas.openxmlformats.org/officeDocument/2006/relationships/hyperlink" Target="https://www.fangraphs.com/teams/padres" TargetMode="External"/><Relationship Id="rId323" Type="http://schemas.openxmlformats.org/officeDocument/2006/relationships/hyperlink" Target="https://www.fangraphs.com/players/hunter-brown/25880/stats" TargetMode="External"/><Relationship Id="rId530" Type="http://schemas.openxmlformats.org/officeDocument/2006/relationships/hyperlink" Target="https://www.fangraphs.com/teams/rangers" TargetMode="External"/><Relationship Id="rId768" Type="http://schemas.openxmlformats.org/officeDocument/2006/relationships/hyperlink" Target="https://www.fangraphs.com/players/johan-rojas/24336/stats" TargetMode="External"/><Relationship Id="rId975" Type="http://schemas.openxmlformats.org/officeDocument/2006/relationships/hyperlink" Target="https://www.fangraphs.com/players/jorge-polanco/13152/stats" TargetMode="External"/><Relationship Id="rId1160" Type="http://schemas.openxmlformats.org/officeDocument/2006/relationships/hyperlink" Target="https://www.fangraphs.com/players/steven-matz/13361/stats" TargetMode="External"/><Relationship Id="rId1398" Type="http://schemas.openxmlformats.org/officeDocument/2006/relationships/hyperlink" Target="https://www.fangraphs.com/players/tommy-henry/26285/stats" TargetMode="External"/><Relationship Id="rId2004" Type="http://schemas.openxmlformats.org/officeDocument/2006/relationships/hyperlink" Target="https://www.fangraphs.com/players/brian-anderson/18289/stats" TargetMode="External"/><Relationship Id="rId628" Type="http://schemas.openxmlformats.org/officeDocument/2006/relationships/hyperlink" Target="https://www.fangraphs.com/teams/cardinals" TargetMode="External"/><Relationship Id="rId835" Type="http://schemas.openxmlformats.org/officeDocument/2006/relationships/hyperlink" Target="https://www.fangraphs.com/teams/twins" TargetMode="External"/><Relationship Id="rId1258" Type="http://schemas.openxmlformats.org/officeDocument/2006/relationships/hyperlink" Target="https://www.fangraphs.com/teams/phillies" TargetMode="External"/><Relationship Id="rId1465" Type="http://schemas.openxmlformats.org/officeDocument/2006/relationships/hyperlink" Target="https://www.fangraphs.com/players/drew-romo/27763/stats" TargetMode="External"/><Relationship Id="rId1672" Type="http://schemas.openxmlformats.org/officeDocument/2006/relationships/hyperlink" Target="https://www.fangraphs.com/teams/giants" TargetMode="External"/><Relationship Id="rId1020" Type="http://schemas.openxmlformats.org/officeDocument/2006/relationships/hyperlink" Target="https://www.fangraphs.com/teams/blue-jays" TargetMode="External"/><Relationship Id="rId1118" Type="http://schemas.openxmlformats.org/officeDocument/2006/relationships/hyperlink" Target="https://www.fangraphs.com/players/jose-ruiz/14552/stats" TargetMode="External"/><Relationship Id="rId1325" Type="http://schemas.openxmlformats.org/officeDocument/2006/relationships/hyperlink" Target="https://www.fangraphs.com/players/martin-perez/6902/stats" TargetMode="External"/><Relationship Id="rId1532" Type="http://schemas.openxmlformats.org/officeDocument/2006/relationships/hyperlink" Target="https://www.fangraphs.com/teams/white-sox" TargetMode="External"/><Relationship Id="rId1977" Type="http://schemas.openxmlformats.org/officeDocument/2006/relationships/hyperlink" Target="https://www.fangraphs.com/teams/cubs" TargetMode="External"/><Relationship Id="rId902" Type="http://schemas.openxmlformats.org/officeDocument/2006/relationships/hyperlink" Target="https://www.fangraphs.com/players/joey-cantillo/23335/stats" TargetMode="External"/><Relationship Id="rId1837" Type="http://schemas.openxmlformats.org/officeDocument/2006/relationships/hyperlink" Target="https://www.fangraphs.com/teams/mets" TargetMode="External"/><Relationship Id="rId31" Type="http://schemas.openxmlformats.org/officeDocument/2006/relationships/hyperlink" Target="https://www.fangraphs.com/players/jarren-duran/24617/stats" TargetMode="External"/><Relationship Id="rId180" Type="http://schemas.openxmlformats.org/officeDocument/2006/relationships/hyperlink" Target="https://www.fangraphs.com/teams/red-sox" TargetMode="External"/><Relationship Id="rId278" Type="http://schemas.openxmlformats.org/officeDocument/2006/relationships/hyperlink" Target="https://www.fangraphs.com/teams/dodgers" TargetMode="External"/><Relationship Id="rId1904" Type="http://schemas.openxmlformats.org/officeDocument/2006/relationships/hyperlink" Target="https://www.fangraphs.com/teams/astros" TargetMode="External"/><Relationship Id="rId485" Type="http://schemas.openxmlformats.org/officeDocument/2006/relationships/hyperlink" Target="https://www.fangraphs.com/players/jo-adell/20220/stats" TargetMode="External"/><Relationship Id="rId692" Type="http://schemas.openxmlformats.org/officeDocument/2006/relationships/hyperlink" Target="https://www.fangraphs.com/teams/rays" TargetMode="External"/><Relationship Id="rId138" Type="http://schemas.openxmlformats.org/officeDocument/2006/relationships/hyperlink" Target="https://www.fangraphs.com/teams/orioles" TargetMode="External"/><Relationship Id="rId345" Type="http://schemas.openxmlformats.org/officeDocument/2006/relationships/hyperlink" Target="https://www.fangraphs.com/players/matt-vierling/21558/stats" TargetMode="External"/><Relationship Id="rId552" Type="http://schemas.openxmlformats.org/officeDocument/2006/relationships/hyperlink" Target="https://www.fangraphs.com/players/mike-yastrzemski/14854/stats" TargetMode="External"/><Relationship Id="rId997" Type="http://schemas.openxmlformats.org/officeDocument/2006/relationships/hyperlink" Target="https://www.fangraphs.com/teams/guardians" TargetMode="External"/><Relationship Id="rId1182" Type="http://schemas.openxmlformats.org/officeDocument/2006/relationships/hyperlink" Target="https://www.fangraphs.com/teams/pirates" TargetMode="External"/><Relationship Id="rId2026" Type="http://schemas.openxmlformats.org/officeDocument/2006/relationships/hyperlink" Target="https://www.fangraphs.com/teams/pirates" TargetMode="External"/><Relationship Id="rId205" Type="http://schemas.openxmlformats.org/officeDocument/2006/relationships/hyperlink" Target="https://www.fangraphs.com/players/max-fried/13743/stats" TargetMode="External"/><Relationship Id="rId412" Type="http://schemas.openxmlformats.org/officeDocument/2006/relationships/hyperlink" Target="https://www.fangraphs.com/teams/guardians" TargetMode="External"/><Relationship Id="rId857" Type="http://schemas.openxmlformats.org/officeDocument/2006/relationships/hyperlink" Target="https://www.fangraphs.com/players/nick-sandlin/20517/stats" TargetMode="External"/><Relationship Id="rId1042" Type="http://schemas.openxmlformats.org/officeDocument/2006/relationships/hyperlink" Target="https://www.fangraphs.com/teams/athletics" TargetMode="External"/><Relationship Id="rId1487" Type="http://schemas.openxmlformats.org/officeDocument/2006/relationships/hyperlink" Target="https://www.fangraphs.com/players/joey-loperfido/29630/stats" TargetMode="External"/><Relationship Id="rId1694" Type="http://schemas.openxmlformats.org/officeDocument/2006/relationships/hyperlink" Target="https://www.fangraphs.com/players/dj-stewart/17766/stats" TargetMode="External"/><Relationship Id="rId717" Type="http://schemas.openxmlformats.org/officeDocument/2006/relationships/hyperlink" Target="https://www.fangraphs.com/teams/rays" TargetMode="External"/><Relationship Id="rId924" Type="http://schemas.openxmlformats.org/officeDocument/2006/relationships/hyperlink" Target="https://www.fangraphs.com/teams/padres" TargetMode="External"/><Relationship Id="rId1347" Type="http://schemas.openxmlformats.org/officeDocument/2006/relationships/hyperlink" Target="https://www.fangraphs.com/teams/rockies" TargetMode="External"/><Relationship Id="rId1554" Type="http://schemas.openxmlformats.org/officeDocument/2006/relationships/hyperlink" Target="https://www.fangraphs.com/teams/giants" TargetMode="External"/><Relationship Id="rId1761" Type="http://schemas.openxmlformats.org/officeDocument/2006/relationships/hyperlink" Target="https://www.fangraphs.com/teams/white-sox" TargetMode="External"/><Relationship Id="rId1999" Type="http://schemas.openxmlformats.org/officeDocument/2006/relationships/hyperlink" Target="https://www.fangraphs.com/teams/marlins" TargetMode="External"/><Relationship Id="rId53" Type="http://schemas.openxmlformats.org/officeDocument/2006/relationships/hyperlink" Target="https://www.fangraphs.com/players/corbin-carroll/25878/stats" TargetMode="External"/><Relationship Id="rId1207" Type="http://schemas.openxmlformats.org/officeDocument/2006/relationships/hyperlink" Target="https://www.fangraphs.com/players/dane-dunning/19409/stats" TargetMode="External"/><Relationship Id="rId1414" Type="http://schemas.openxmlformats.org/officeDocument/2006/relationships/hyperlink" Target="https://www.fangraphs.com/players/trent-grisham/18564/stats" TargetMode="External"/><Relationship Id="rId1621" Type="http://schemas.openxmlformats.org/officeDocument/2006/relationships/hyperlink" Target="https://www.fangraphs.com/players/jack-leiter/30146/stats" TargetMode="External"/><Relationship Id="rId1859" Type="http://schemas.openxmlformats.org/officeDocument/2006/relationships/hyperlink" Target="https://www.fangraphs.com/teams/yankees" TargetMode="External"/><Relationship Id="rId1719" Type="http://schemas.openxmlformats.org/officeDocument/2006/relationships/hyperlink" Target="https://www.fangraphs.com/teams/brewers" TargetMode="External"/><Relationship Id="rId1926" Type="http://schemas.openxmlformats.org/officeDocument/2006/relationships/hyperlink" Target="https://www.fangraphs.com/players/vaughn-grissom/26031/stats" TargetMode="External"/><Relationship Id="rId367" Type="http://schemas.openxmlformats.org/officeDocument/2006/relationships/hyperlink" Target="https://www.fangraphs.com/players/brandon-marsh/20202/stats" TargetMode="External"/><Relationship Id="rId574" Type="http://schemas.openxmlformats.org/officeDocument/2006/relationships/hyperlink" Target="https://www.fangraphs.com/players/dean-kremer/19350/stats" TargetMode="External"/><Relationship Id="rId2048" Type="http://schemas.openxmlformats.org/officeDocument/2006/relationships/hyperlink" Target="https://www.fangraphs.com/teams/rockies" TargetMode="External"/><Relationship Id="rId227" Type="http://schemas.openxmlformats.org/officeDocument/2006/relationships/hyperlink" Target="https://www.fangraphs.com/players/taylor-ward/17548/stats" TargetMode="External"/><Relationship Id="rId781" Type="http://schemas.openxmlformats.org/officeDocument/2006/relationships/hyperlink" Target="https://www.fangraphs.com/players/joe-jimenez/15761/stats" TargetMode="External"/><Relationship Id="rId879" Type="http://schemas.openxmlformats.org/officeDocument/2006/relationships/hyperlink" Target="https://www.fangraphs.com/teams/giants" TargetMode="External"/><Relationship Id="rId434" Type="http://schemas.openxmlformats.org/officeDocument/2006/relationships/hyperlink" Target="https://www.fangraphs.com/teams/orioles" TargetMode="External"/><Relationship Id="rId641" Type="http://schemas.openxmlformats.org/officeDocument/2006/relationships/hyperlink" Target="https://www.fangraphs.com/players/bo-naylor/21865/stats" TargetMode="External"/><Relationship Id="rId739" Type="http://schemas.openxmlformats.org/officeDocument/2006/relationships/hyperlink" Target="https://www.fangraphs.com/players/tylor-megill/21318/stats" TargetMode="External"/><Relationship Id="rId1064" Type="http://schemas.openxmlformats.org/officeDocument/2006/relationships/hyperlink" Target="https://www.fangraphs.com/teams/guardians" TargetMode="External"/><Relationship Id="rId1271" Type="http://schemas.openxmlformats.org/officeDocument/2006/relationships/hyperlink" Target="https://www.fangraphs.com/players/colin-poche/19403/stats" TargetMode="External"/><Relationship Id="rId1369" Type="http://schemas.openxmlformats.org/officeDocument/2006/relationships/hyperlink" Target="https://www.fangraphs.com/teams/diamondbacks" TargetMode="External"/><Relationship Id="rId1576" Type="http://schemas.openxmlformats.org/officeDocument/2006/relationships/hyperlink" Target="https://www.fangraphs.com/teams/mariners" TargetMode="External"/><Relationship Id="rId501" Type="http://schemas.openxmlformats.org/officeDocument/2006/relationships/hyperlink" Target="https://www.fangraphs.com/players/cole-sands/21461/stats" TargetMode="External"/><Relationship Id="rId946" Type="http://schemas.openxmlformats.org/officeDocument/2006/relationships/hyperlink" Target="https://www.fangraphs.com/teams/mariners" TargetMode="External"/><Relationship Id="rId1131" Type="http://schemas.openxmlformats.org/officeDocument/2006/relationships/hyperlink" Target="https://www.fangraphs.com/teams/white-sox" TargetMode="External"/><Relationship Id="rId1229" Type="http://schemas.openxmlformats.org/officeDocument/2006/relationships/hyperlink" Target="https://www.fangraphs.com/teams/rockies" TargetMode="External"/><Relationship Id="rId1783" Type="http://schemas.openxmlformats.org/officeDocument/2006/relationships/hyperlink" Target="https://www.fangraphs.com/players/chris-flexen/13896/stats" TargetMode="External"/><Relationship Id="rId1990" Type="http://schemas.openxmlformats.org/officeDocument/2006/relationships/hyperlink" Target="https://www.fangraphs.com/teams/mets" TargetMode="External"/><Relationship Id="rId75" Type="http://schemas.openxmlformats.org/officeDocument/2006/relationships/hyperlink" Target="https://www.fangraphs.com/players/bryce-harper/11579/stats" TargetMode="External"/><Relationship Id="rId806" Type="http://schemas.openxmlformats.org/officeDocument/2006/relationships/hyperlink" Target="https://www.fangraphs.com/players/wenceel-perez/22857/stats" TargetMode="External"/><Relationship Id="rId1436" Type="http://schemas.openxmlformats.org/officeDocument/2006/relationships/hyperlink" Target="https://www.fangraphs.com/players/blake-sabol/25805/stats" TargetMode="External"/><Relationship Id="rId1643" Type="http://schemas.openxmlformats.org/officeDocument/2006/relationships/hyperlink" Target="https://www.fangraphs.com/teams/white-sox" TargetMode="External"/><Relationship Id="rId1850" Type="http://schemas.openxmlformats.org/officeDocument/2006/relationships/hyperlink" Target="https://www.fangraphs.com/players/avisail-garcia/5760/stats" TargetMode="External"/><Relationship Id="rId1503" Type="http://schemas.openxmlformats.org/officeDocument/2006/relationships/hyperlink" Target="https://www.fangraphs.com/teams/pirates" TargetMode="External"/><Relationship Id="rId1710" Type="http://schemas.openxmlformats.org/officeDocument/2006/relationships/hyperlink" Target="https://www.fangraphs.com/players/esteury-ruiz/21780/stats" TargetMode="External"/><Relationship Id="rId1948" Type="http://schemas.openxmlformats.org/officeDocument/2006/relationships/hyperlink" Target="https://www.fangraphs.com/teams/mariners" TargetMode="External"/><Relationship Id="rId291" Type="http://schemas.openxmlformats.org/officeDocument/2006/relationships/hyperlink" Target="https://www.fangraphs.com/players/logan-webb/17995/stats" TargetMode="External"/><Relationship Id="rId1808" Type="http://schemas.openxmlformats.org/officeDocument/2006/relationships/hyperlink" Target="https://www.fangraphs.com/players/zach-deloach/27471/stats" TargetMode="External"/><Relationship Id="rId151" Type="http://schemas.openxmlformats.org/officeDocument/2006/relationships/hyperlink" Target="https://www.fangraphs.com/players/sonny-gray/12768/stats" TargetMode="External"/><Relationship Id="rId389" Type="http://schemas.openxmlformats.org/officeDocument/2006/relationships/hyperlink" Target="https://www.fangraphs.com/players/matt-strahm/13799/stats" TargetMode="External"/><Relationship Id="rId596" Type="http://schemas.openxmlformats.org/officeDocument/2006/relationships/hyperlink" Target="https://www.fangraphs.com/teams/dodgers" TargetMode="External"/><Relationship Id="rId249" Type="http://schemas.openxmlformats.org/officeDocument/2006/relationships/hyperlink" Target="https://www.fangraphs.com/players/ceddanne-rafaela/24262/stats" TargetMode="External"/><Relationship Id="rId456" Type="http://schemas.openxmlformats.org/officeDocument/2006/relationships/hyperlink" Target="https://www.fangraphs.com/teams/braves" TargetMode="External"/><Relationship Id="rId663" Type="http://schemas.openxmlformats.org/officeDocument/2006/relationships/hyperlink" Target="https://www.fangraphs.com/players/ozzie-albies/16556/stats" TargetMode="External"/><Relationship Id="rId870" Type="http://schemas.openxmlformats.org/officeDocument/2006/relationships/hyperlink" Target="https://www.fangraphs.com/teams/twins" TargetMode="External"/><Relationship Id="rId1086" Type="http://schemas.openxmlformats.org/officeDocument/2006/relationships/hyperlink" Target="https://www.fangraphs.com/players/daniel-lynch-iv/21537/stats" TargetMode="External"/><Relationship Id="rId1293" Type="http://schemas.openxmlformats.org/officeDocument/2006/relationships/hyperlink" Target="https://www.fangraphs.com/teams/cardinals" TargetMode="External"/><Relationship Id="rId109" Type="http://schemas.openxmlformats.org/officeDocument/2006/relationships/hyperlink" Target="https://www.fangraphs.com/players/julio-rodriguez/23697/stats" TargetMode="External"/><Relationship Id="rId316" Type="http://schemas.openxmlformats.org/officeDocument/2006/relationships/hyperlink" Target="https://www.fangraphs.com/teams/twins" TargetMode="External"/><Relationship Id="rId523" Type="http://schemas.openxmlformats.org/officeDocument/2006/relationships/hyperlink" Target="https://www.fangraphs.com/teams/mets" TargetMode="External"/><Relationship Id="rId968" Type="http://schemas.openxmlformats.org/officeDocument/2006/relationships/hyperlink" Target="https://www.fangraphs.com/teams/braves" TargetMode="External"/><Relationship Id="rId1153" Type="http://schemas.openxmlformats.org/officeDocument/2006/relationships/hyperlink" Target="https://www.fangraphs.com/teams/mariners" TargetMode="External"/><Relationship Id="rId1598" Type="http://schemas.openxmlformats.org/officeDocument/2006/relationships/hyperlink" Target="https://www.fangraphs.com/teams/royals" TargetMode="External"/><Relationship Id="rId97" Type="http://schemas.openxmlformats.org/officeDocument/2006/relationships/hyperlink" Target="https://www.fangraphs.com/players/josh-naylor/18839/stats" TargetMode="External"/><Relationship Id="rId730" Type="http://schemas.openxmlformats.org/officeDocument/2006/relationships/hyperlink" Target="https://www.fangraphs.com/teams/orioles" TargetMode="External"/><Relationship Id="rId828" Type="http://schemas.openxmlformats.org/officeDocument/2006/relationships/hyperlink" Target="https://www.fangraphs.com/players/miguel-rojas/7802/stats" TargetMode="External"/><Relationship Id="rId1013" Type="http://schemas.openxmlformats.org/officeDocument/2006/relationships/hyperlink" Target="https://www.fangraphs.com/players/connor-joe/16572/stats" TargetMode="External"/><Relationship Id="rId1360" Type="http://schemas.openxmlformats.org/officeDocument/2006/relationships/hyperlink" Target="https://www.fangraphs.com/players/hunter-harvey/15507/stats" TargetMode="External"/><Relationship Id="rId1458" Type="http://schemas.openxmlformats.org/officeDocument/2006/relationships/hyperlink" Target="https://www.fangraphs.com/players/kyle-nicolas/27775/stats" TargetMode="External"/><Relationship Id="rId1665" Type="http://schemas.openxmlformats.org/officeDocument/2006/relationships/hyperlink" Target="https://www.fangraphs.com/players/trey-lipscomb/31567/stats" TargetMode="External"/><Relationship Id="rId1872" Type="http://schemas.openxmlformats.org/officeDocument/2006/relationships/hyperlink" Target="https://www.fangraphs.com/players/luke-williams/19931/stats" TargetMode="External"/><Relationship Id="rId1220" Type="http://schemas.openxmlformats.org/officeDocument/2006/relationships/hyperlink" Target="https://www.fangraphs.com/teams/rockies" TargetMode="External"/><Relationship Id="rId1318" Type="http://schemas.openxmlformats.org/officeDocument/2006/relationships/hyperlink" Target="https://www.fangraphs.com/teams/tigers" TargetMode="External"/><Relationship Id="rId1525" Type="http://schemas.openxmlformats.org/officeDocument/2006/relationships/hyperlink" Target="https://www.fangraphs.com/players/tyler-heineman/13897/stats" TargetMode="External"/><Relationship Id="rId1732" Type="http://schemas.openxmlformats.org/officeDocument/2006/relationships/hyperlink" Target="https://www.fangraphs.com/teams/pirates" TargetMode="External"/><Relationship Id="rId24" Type="http://schemas.openxmlformats.org/officeDocument/2006/relationships/hyperlink" Target="https://www.fangraphs.com/teams/brewers" TargetMode="External"/><Relationship Id="rId173" Type="http://schemas.openxmlformats.org/officeDocument/2006/relationships/hyperlink" Target="https://www.fangraphs.com/players/corey-seager/13624/stats" TargetMode="External"/><Relationship Id="rId380" Type="http://schemas.openxmlformats.org/officeDocument/2006/relationships/hyperlink" Target="https://www.fangraphs.com/teams/cardinals" TargetMode="External"/><Relationship Id="rId2061" Type="http://schemas.openxmlformats.org/officeDocument/2006/relationships/hyperlink" Target="https://www.fangraphs.com/teams/padres" TargetMode="External"/><Relationship Id="rId240" Type="http://schemas.openxmlformats.org/officeDocument/2006/relationships/hyperlink" Target="https://www.fangraphs.com/teams/twins" TargetMode="External"/><Relationship Id="rId478" Type="http://schemas.openxmlformats.org/officeDocument/2006/relationships/hyperlink" Target="https://www.fangraphs.com/teams/reds" TargetMode="External"/><Relationship Id="rId685" Type="http://schemas.openxmlformats.org/officeDocument/2006/relationships/hyperlink" Target="https://www.fangraphs.com/players/kevin-ginkel/19876/stats" TargetMode="External"/><Relationship Id="rId892" Type="http://schemas.openxmlformats.org/officeDocument/2006/relationships/hyperlink" Target="https://www.fangraphs.com/players/josh-winckowski/22387/stats" TargetMode="External"/><Relationship Id="rId100" Type="http://schemas.openxmlformats.org/officeDocument/2006/relationships/hyperlink" Target="https://www.fangraphs.com/teams/red-sox" TargetMode="External"/><Relationship Id="rId338" Type="http://schemas.openxmlformats.org/officeDocument/2006/relationships/hyperlink" Target="https://www.fangraphs.com/teams/guardians" TargetMode="External"/><Relationship Id="rId545" Type="http://schemas.openxmlformats.org/officeDocument/2006/relationships/hyperlink" Target="https://www.fangraphs.com/teams/padres" TargetMode="External"/><Relationship Id="rId752" Type="http://schemas.openxmlformats.org/officeDocument/2006/relationships/hyperlink" Target="https://www.fangraphs.com/teams/tigers" TargetMode="External"/><Relationship Id="rId1175" Type="http://schemas.openxmlformats.org/officeDocument/2006/relationships/hyperlink" Target="https://www.fangraphs.com/players/dl-hall/22207/stats" TargetMode="External"/><Relationship Id="rId1382" Type="http://schemas.openxmlformats.org/officeDocument/2006/relationships/hyperlink" Target="https://www.fangraphs.com/players/randy-vasquez/24719/stats" TargetMode="External"/><Relationship Id="rId2019" Type="http://schemas.openxmlformats.org/officeDocument/2006/relationships/hyperlink" Target="https://www.fangraphs.com/players/jose-devers/20540/stats" TargetMode="External"/><Relationship Id="rId405" Type="http://schemas.openxmlformats.org/officeDocument/2006/relationships/hyperlink" Target="https://www.fangraphs.com/players/andres-munoz/20373/stats" TargetMode="External"/><Relationship Id="rId612" Type="http://schemas.openxmlformats.org/officeDocument/2006/relationships/hyperlink" Target="https://www.fangraphs.com/teams/marlins" TargetMode="External"/><Relationship Id="rId1035" Type="http://schemas.openxmlformats.org/officeDocument/2006/relationships/hyperlink" Target="https://www.fangraphs.com/players/elvis-peguero/21652/stats" TargetMode="External"/><Relationship Id="rId1242" Type="http://schemas.openxmlformats.org/officeDocument/2006/relationships/hyperlink" Target="https://www.fangraphs.com/teams/orioles" TargetMode="External"/><Relationship Id="rId1687" Type="http://schemas.openxmlformats.org/officeDocument/2006/relationships/hyperlink" Target="https://www.fangraphs.com/teams/astros" TargetMode="External"/><Relationship Id="rId1894" Type="http://schemas.openxmlformats.org/officeDocument/2006/relationships/hyperlink" Target="https://www.fangraphs.com/players/akil-baddoo/22168/stats" TargetMode="External"/><Relationship Id="rId917" Type="http://schemas.openxmlformats.org/officeDocument/2006/relationships/hyperlink" Target="https://www.fangraphs.com/teams/twins" TargetMode="External"/><Relationship Id="rId1102" Type="http://schemas.openxmlformats.org/officeDocument/2006/relationships/hyperlink" Target="https://www.fangraphs.com/players/ronald-acuna-jr/18401/stats" TargetMode="External"/><Relationship Id="rId1547" Type="http://schemas.openxmlformats.org/officeDocument/2006/relationships/hyperlink" Target="https://www.fangraphs.com/teams/diamondbacks" TargetMode="External"/><Relationship Id="rId1754" Type="http://schemas.openxmlformats.org/officeDocument/2006/relationships/hyperlink" Target="https://www.fangraphs.com/players/ji-hwan-bae/23818/stats" TargetMode="External"/><Relationship Id="rId1961" Type="http://schemas.openxmlformats.org/officeDocument/2006/relationships/hyperlink" Target="https://www.fangraphs.com/players/justin-lawrence/17639/stats" TargetMode="External"/><Relationship Id="rId46" Type="http://schemas.openxmlformats.org/officeDocument/2006/relationships/hyperlink" Target="https://www.fangraphs.com/teams/mariners" TargetMode="External"/><Relationship Id="rId1407" Type="http://schemas.openxmlformats.org/officeDocument/2006/relationships/hyperlink" Target="https://www.fangraphs.com/teams/blue-jays" TargetMode="External"/><Relationship Id="rId1614" Type="http://schemas.openxmlformats.org/officeDocument/2006/relationships/hyperlink" Target="https://www.fangraphs.com/teams/tigers" TargetMode="External"/><Relationship Id="rId1821" Type="http://schemas.openxmlformats.org/officeDocument/2006/relationships/hyperlink" Target="https://www.fangraphs.com/teams/tigers" TargetMode="External"/><Relationship Id="rId195" Type="http://schemas.openxmlformats.org/officeDocument/2006/relationships/hyperlink" Target="https://www.fangraphs.com/players/marcus-semien/12533/stats" TargetMode="External"/><Relationship Id="rId1919" Type="http://schemas.openxmlformats.org/officeDocument/2006/relationships/hyperlink" Target="https://www.fangraphs.com/players/jamie-westbrook/15504/stats" TargetMode="External"/><Relationship Id="rId2083" Type="http://schemas.openxmlformats.org/officeDocument/2006/relationships/hyperlink" Target="https://www.fangraphs.com/players/ryan-noda/23312/stats" TargetMode="External"/><Relationship Id="rId262" Type="http://schemas.openxmlformats.org/officeDocument/2006/relationships/hyperlink" Target="https://www.fangraphs.com/teams/twins" TargetMode="External"/><Relationship Id="rId567" Type="http://schemas.openxmlformats.org/officeDocument/2006/relationships/hyperlink" Target="https://www.fangraphs.com/teams/cubs" TargetMode="External"/><Relationship Id="rId1197" Type="http://schemas.openxmlformats.org/officeDocument/2006/relationships/hyperlink" Target="https://www.fangraphs.com/players/michael-soroka/18383/stats" TargetMode="External"/><Relationship Id="rId122" Type="http://schemas.openxmlformats.org/officeDocument/2006/relationships/hyperlink" Target="https://www.fangraphs.com/teams/mariners" TargetMode="External"/><Relationship Id="rId774" Type="http://schemas.openxmlformats.org/officeDocument/2006/relationships/hyperlink" Target="https://www.fangraphs.com/players/joel-payamps/14332/stats" TargetMode="External"/><Relationship Id="rId981" Type="http://schemas.openxmlformats.org/officeDocument/2006/relationships/hyperlink" Target="https://www.fangraphs.com/players/buck-farmer/14814/stats" TargetMode="External"/><Relationship Id="rId1057" Type="http://schemas.openxmlformats.org/officeDocument/2006/relationships/hyperlink" Target="https://www.fangraphs.com/players/yariel-rodriguez/33838/stats" TargetMode="External"/><Relationship Id="rId2010" Type="http://schemas.openxmlformats.org/officeDocument/2006/relationships/hyperlink" Target="https://www.fangraphs.com/players/kyren-paris/26420/stats" TargetMode="External"/><Relationship Id="rId427" Type="http://schemas.openxmlformats.org/officeDocument/2006/relationships/hyperlink" Target="https://www.fangraphs.com/players/keibert-ruiz/19610/stats" TargetMode="External"/><Relationship Id="rId634" Type="http://schemas.openxmlformats.org/officeDocument/2006/relationships/hyperlink" Target="https://www.fangraphs.com/teams/padres" TargetMode="External"/><Relationship Id="rId841" Type="http://schemas.openxmlformats.org/officeDocument/2006/relationships/hyperlink" Target="https://www.fangraphs.com/teams/phillies" TargetMode="External"/><Relationship Id="rId1264" Type="http://schemas.openxmlformats.org/officeDocument/2006/relationships/hyperlink" Target="https://www.fangraphs.com/teams/red-sox" TargetMode="External"/><Relationship Id="rId1471" Type="http://schemas.openxmlformats.org/officeDocument/2006/relationships/hyperlink" Target="https://www.fangraphs.com/players/brett-sullivan/18217/stats" TargetMode="External"/><Relationship Id="rId1569" Type="http://schemas.openxmlformats.org/officeDocument/2006/relationships/hyperlink" Target="https://www.fangraphs.com/players/chris-stratton/13761/stats" TargetMode="External"/><Relationship Id="rId701" Type="http://schemas.openxmlformats.org/officeDocument/2006/relationships/hyperlink" Target="https://www.fangraphs.com/teams/dodgers" TargetMode="External"/><Relationship Id="rId939" Type="http://schemas.openxmlformats.org/officeDocument/2006/relationships/hyperlink" Target="https://www.fangraphs.com/players/trent-thornton/17948/stats" TargetMode="External"/><Relationship Id="rId1124" Type="http://schemas.openxmlformats.org/officeDocument/2006/relationships/hyperlink" Target="https://www.fangraphs.com/players/jason-heyward/4940/stats" TargetMode="External"/><Relationship Id="rId1331" Type="http://schemas.openxmlformats.org/officeDocument/2006/relationships/hyperlink" Target="https://www.fangraphs.com/players/harold-ramirez/14387/stats" TargetMode="External"/><Relationship Id="rId1776" Type="http://schemas.openxmlformats.org/officeDocument/2006/relationships/hyperlink" Target="https://www.fangraphs.com/players/aaron-schunk/25524/stats" TargetMode="External"/><Relationship Id="rId1983" Type="http://schemas.openxmlformats.org/officeDocument/2006/relationships/hyperlink" Target="https://www.fangraphs.com/players/sandro-fabian/19910/stats" TargetMode="External"/><Relationship Id="rId68" Type="http://schemas.openxmlformats.org/officeDocument/2006/relationships/hyperlink" Target="https://www.fangraphs.com/teams/royals" TargetMode="External"/><Relationship Id="rId1429" Type="http://schemas.openxmlformats.org/officeDocument/2006/relationships/hyperlink" Target="https://www.fangraphs.com/players/kevin-kiermaier/11038/stats" TargetMode="External"/><Relationship Id="rId1636" Type="http://schemas.openxmlformats.org/officeDocument/2006/relationships/hyperlink" Target="https://www.fangraphs.com/players/griffin-conine/21626/stats" TargetMode="External"/><Relationship Id="rId1843" Type="http://schemas.openxmlformats.org/officeDocument/2006/relationships/hyperlink" Target="https://www.fangraphs.com/teams/pirates" TargetMode="External"/><Relationship Id="rId1703" Type="http://schemas.openxmlformats.org/officeDocument/2006/relationships/hyperlink" Target="https://www.fangraphs.com/teams/braves" TargetMode="External"/><Relationship Id="rId1910" Type="http://schemas.openxmlformats.org/officeDocument/2006/relationships/hyperlink" Target="https://www.fangraphs.com/players/brandon-drury/11615/stats" TargetMode="External"/><Relationship Id="rId284" Type="http://schemas.openxmlformats.org/officeDocument/2006/relationships/hyperlink" Target="https://www.fangraphs.com/teams/giants" TargetMode="External"/><Relationship Id="rId491" Type="http://schemas.openxmlformats.org/officeDocument/2006/relationships/hyperlink" Target="https://www.fangraphs.com/players/michael-conforto/16376/stats" TargetMode="External"/><Relationship Id="rId144" Type="http://schemas.openxmlformats.org/officeDocument/2006/relationships/hyperlink" Target="https://www.fangraphs.com/teams/braves" TargetMode="External"/><Relationship Id="rId589" Type="http://schemas.openxmlformats.org/officeDocument/2006/relationships/hyperlink" Target="https://www.fangraphs.com/players/andrew-mccutchen/9847/stats" TargetMode="External"/><Relationship Id="rId796" Type="http://schemas.openxmlformats.org/officeDocument/2006/relationships/hyperlink" Target="https://www.fangraphs.com/players/lars-nootbaar/21454/stats" TargetMode="External"/><Relationship Id="rId351" Type="http://schemas.openxmlformats.org/officeDocument/2006/relationships/hyperlink" Target="https://www.fangraphs.com/players/ryan-pepiot/26221/stats" TargetMode="External"/><Relationship Id="rId449" Type="http://schemas.openxmlformats.org/officeDocument/2006/relationships/hyperlink" Target="https://www.fangraphs.com/players/luis-severino/15890/stats" TargetMode="External"/><Relationship Id="rId656" Type="http://schemas.openxmlformats.org/officeDocument/2006/relationships/hyperlink" Target="https://www.fangraphs.com/teams/reds" TargetMode="External"/><Relationship Id="rId863" Type="http://schemas.openxmlformats.org/officeDocument/2006/relationships/hyperlink" Target="https://www.fangraphs.com/players/kyle-harrison/27758/stats" TargetMode="External"/><Relationship Id="rId1079" Type="http://schemas.openxmlformats.org/officeDocument/2006/relationships/hyperlink" Target="https://www.fangraphs.com/players/dylan-floro/13394/stats" TargetMode="External"/><Relationship Id="rId1286" Type="http://schemas.openxmlformats.org/officeDocument/2006/relationships/hyperlink" Target="https://www.fangraphs.com/players/triston-mckenzie/18000/stats" TargetMode="External"/><Relationship Id="rId1493" Type="http://schemas.openxmlformats.org/officeDocument/2006/relationships/hyperlink" Target="https://www.fangraphs.com/teams/athletics" TargetMode="External"/><Relationship Id="rId2032" Type="http://schemas.openxmlformats.org/officeDocument/2006/relationships/hyperlink" Target="https://www.fangraphs.com/teams/reds" TargetMode="External"/><Relationship Id="rId211" Type="http://schemas.openxmlformats.org/officeDocument/2006/relationships/hyperlink" Target="https://www.fangraphs.com/players/jameson-taillon/11674/stats" TargetMode="External"/><Relationship Id="rId309" Type="http://schemas.openxmlformats.org/officeDocument/2006/relationships/hyperlink" Target="https://www.fangraphs.com/players/kevin-gausman/14107/stats" TargetMode="External"/><Relationship Id="rId516" Type="http://schemas.openxmlformats.org/officeDocument/2006/relationships/hyperlink" Target="https://www.fangraphs.com/players/osvaldo-bido/23150/stats" TargetMode="External"/><Relationship Id="rId1146" Type="http://schemas.openxmlformats.org/officeDocument/2006/relationships/hyperlink" Target="https://www.fangraphs.com/players/luis-medina/21649/stats" TargetMode="External"/><Relationship Id="rId1798" Type="http://schemas.openxmlformats.org/officeDocument/2006/relationships/hyperlink" Target="https://www.fangraphs.com/teams/blue-jays" TargetMode="External"/><Relationship Id="rId723" Type="http://schemas.openxmlformats.org/officeDocument/2006/relationships/hyperlink" Target="https://www.fangraphs.com/players/josh-lowe/19953/stats" TargetMode="External"/><Relationship Id="rId930" Type="http://schemas.openxmlformats.org/officeDocument/2006/relationships/hyperlink" Target="https://www.fangraphs.com/teams/athletics" TargetMode="External"/><Relationship Id="rId1006" Type="http://schemas.openxmlformats.org/officeDocument/2006/relationships/hyperlink" Target="https://www.fangraphs.com/teams/pirates" TargetMode="External"/><Relationship Id="rId1353" Type="http://schemas.openxmlformats.org/officeDocument/2006/relationships/hyperlink" Target="https://www.fangraphs.com/teams/reds" TargetMode="External"/><Relationship Id="rId1560" Type="http://schemas.openxmlformats.org/officeDocument/2006/relationships/hyperlink" Target="https://www.fangraphs.com/teams/tigers" TargetMode="External"/><Relationship Id="rId1658" Type="http://schemas.openxmlformats.org/officeDocument/2006/relationships/hyperlink" Target="https://www.fangraphs.com/teams/blue-jays" TargetMode="External"/><Relationship Id="rId1865" Type="http://schemas.openxmlformats.org/officeDocument/2006/relationships/hyperlink" Target="https://www.fangraphs.com/teams/pirates" TargetMode="External"/><Relationship Id="rId1213" Type="http://schemas.openxmlformats.org/officeDocument/2006/relationships/hyperlink" Target="https://www.fangraphs.com/players/kebryan-hayes/18577/stats" TargetMode="External"/><Relationship Id="rId1420" Type="http://schemas.openxmlformats.org/officeDocument/2006/relationships/hyperlink" Target="https://www.fangraphs.com/teams/yankees" TargetMode="External"/><Relationship Id="rId1518" Type="http://schemas.openxmlformats.org/officeDocument/2006/relationships/hyperlink" Target="https://www.fangraphs.com/players/junior-caminero/28163/stats" TargetMode="External"/><Relationship Id="rId1725" Type="http://schemas.openxmlformats.org/officeDocument/2006/relationships/hyperlink" Target="https://www.fangraphs.com/players/ryan-bliss/29547/stats" TargetMode="External"/><Relationship Id="rId1932" Type="http://schemas.openxmlformats.org/officeDocument/2006/relationships/hyperlink" Target="https://www.fangraphs.com/teams/braves" TargetMode="External"/><Relationship Id="rId17" Type="http://schemas.openxmlformats.org/officeDocument/2006/relationships/hyperlink" Target="https://www.fangraphs.com/players/elly-de-la-cruz/26668/stats" TargetMode="External"/><Relationship Id="rId166" Type="http://schemas.openxmlformats.org/officeDocument/2006/relationships/hyperlink" Target="https://www.fangraphs.com/teams/reds" TargetMode="External"/><Relationship Id="rId373" Type="http://schemas.openxmlformats.org/officeDocument/2006/relationships/hyperlink" Target="https://www.fangraphs.com/players/luke-raley/19354/stats" TargetMode="External"/><Relationship Id="rId580" Type="http://schemas.openxmlformats.org/officeDocument/2006/relationships/hyperlink" Target="https://www.fangraphs.com/players/paul-dejong/18015/stats" TargetMode="External"/><Relationship Id="rId2054" Type="http://schemas.openxmlformats.org/officeDocument/2006/relationships/hyperlink" Target="https://www.fangraphs.com/players/keston-hiura/20003/stats" TargetMode="External"/><Relationship Id="rId1" Type="http://schemas.openxmlformats.org/officeDocument/2006/relationships/hyperlink" Target="https://www.fangraphs.com/players/shohei-ohtani/19755/stats" TargetMode="External"/><Relationship Id="rId233" Type="http://schemas.openxmlformats.org/officeDocument/2006/relationships/hyperlink" Target="https://www.fangraphs.com/players/christian-walker/13419/stats" TargetMode="External"/><Relationship Id="rId440" Type="http://schemas.openxmlformats.org/officeDocument/2006/relationships/hyperlink" Target="https://www.fangraphs.com/teams/braves" TargetMode="External"/><Relationship Id="rId678" Type="http://schemas.openxmlformats.org/officeDocument/2006/relationships/hyperlink" Target="https://www.fangraphs.com/teams/white-sox" TargetMode="External"/><Relationship Id="rId885" Type="http://schemas.openxmlformats.org/officeDocument/2006/relationships/hyperlink" Target="https://www.fangraphs.com/teams/cubs" TargetMode="External"/><Relationship Id="rId1070" Type="http://schemas.openxmlformats.org/officeDocument/2006/relationships/hyperlink" Target="https://www.fangraphs.com/teams/diamondbacks" TargetMode="External"/><Relationship Id="rId300" Type="http://schemas.openxmlformats.org/officeDocument/2006/relationships/hyperlink" Target="https://www.fangraphs.com/teams/padres" TargetMode="External"/><Relationship Id="rId538" Type="http://schemas.openxmlformats.org/officeDocument/2006/relationships/hyperlink" Target="https://www.fangraphs.com/players/ha-seong-kim/27506/stats" TargetMode="External"/><Relationship Id="rId745" Type="http://schemas.openxmlformats.org/officeDocument/2006/relationships/hyperlink" Target="https://www.fangraphs.com/players/jarred-kelenic/22558/stats" TargetMode="External"/><Relationship Id="rId952" Type="http://schemas.openxmlformats.org/officeDocument/2006/relationships/hyperlink" Target="https://www.fangraphs.com/teams/athletics" TargetMode="External"/><Relationship Id="rId1168" Type="http://schemas.openxmlformats.org/officeDocument/2006/relationships/hyperlink" Target="https://www.fangraphs.com/players/jalen-beeks/17192/stats" TargetMode="External"/><Relationship Id="rId1375" Type="http://schemas.openxmlformats.org/officeDocument/2006/relationships/hyperlink" Target="https://www.fangraphs.com/teams/blue-jays" TargetMode="External"/><Relationship Id="rId1582" Type="http://schemas.openxmlformats.org/officeDocument/2006/relationships/hyperlink" Target="https://www.fangraphs.com/teams/padres" TargetMode="External"/><Relationship Id="rId81" Type="http://schemas.openxmlformats.org/officeDocument/2006/relationships/hyperlink" Target="https://www.fangraphs.com/players/dylan-cease/18525/stats" TargetMode="External"/><Relationship Id="rId605" Type="http://schemas.openxmlformats.org/officeDocument/2006/relationships/hyperlink" Target="https://www.fangraphs.com/players/jason-foley/19531/stats" TargetMode="External"/><Relationship Id="rId812" Type="http://schemas.openxmlformats.org/officeDocument/2006/relationships/hyperlink" Target="https://www.fangraphs.com/players/jose-urena/11589/stats" TargetMode="External"/><Relationship Id="rId1028" Type="http://schemas.openxmlformats.org/officeDocument/2006/relationships/hyperlink" Target="https://www.fangraphs.com/teams/marlins" TargetMode="External"/><Relationship Id="rId1235" Type="http://schemas.openxmlformats.org/officeDocument/2006/relationships/hyperlink" Target="https://www.fangraphs.com/teams/phillies" TargetMode="External"/><Relationship Id="rId1442" Type="http://schemas.openxmlformats.org/officeDocument/2006/relationships/hyperlink" Target="https://www.fangraphs.com/players/bryce-jarvis/27477/stats" TargetMode="External"/><Relationship Id="rId1887" Type="http://schemas.openxmlformats.org/officeDocument/2006/relationships/hyperlink" Target="https://www.fangraphs.com/teams/phillies" TargetMode="External"/><Relationship Id="rId1302" Type="http://schemas.openxmlformats.org/officeDocument/2006/relationships/hyperlink" Target="https://www.fangraphs.com/players/alex-wood/13781/stats" TargetMode="External"/><Relationship Id="rId1747" Type="http://schemas.openxmlformats.org/officeDocument/2006/relationships/hyperlink" Target="https://www.fangraphs.com/players/kris-bryant/15429/stats" TargetMode="External"/><Relationship Id="rId1954" Type="http://schemas.openxmlformats.org/officeDocument/2006/relationships/hyperlink" Target="https://www.fangraphs.com/players/miles-mastrobuoni/20017/stats" TargetMode="External"/><Relationship Id="rId39" Type="http://schemas.openxmlformats.org/officeDocument/2006/relationships/hyperlink" Target="https://www.fangraphs.com/players/paul-skenes/33677/stats" TargetMode="External"/><Relationship Id="rId1607" Type="http://schemas.openxmlformats.org/officeDocument/2006/relationships/hyperlink" Target="https://www.fangraphs.com/players/daniel-schneemann/25180/stats" TargetMode="External"/><Relationship Id="rId1814" Type="http://schemas.openxmlformats.org/officeDocument/2006/relationships/hyperlink" Target="https://www.fangraphs.com/players/james-outman/24770/stats" TargetMode="External"/><Relationship Id="rId188" Type="http://schemas.openxmlformats.org/officeDocument/2006/relationships/hyperlink" Target="https://www.fangraphs.com/teams/reds" TargetMode="External"/><Relationship Id="rId395" Type="http://schemas.openxmlformats.org/officeDocument/2006/relationships/hyperlink" Target="https://www.fangraphs.com/players/isaac-paredes/20036/stats" TargetMode="External"/><Relationship Id="rId2076" Type="http://schemas.openxmlformats.org/officeDocument/2006/relationships/hyperlink" Target="https://www.fangraphs.com/players/aledmys-diaz/15937/stats" TargetMode="External"/><Relationship Id="rId255" Type="http://schemas.openxmlformats.org/officeDocument/2006/relationships/hyperlink" Target="https://www.fangraphs.com/players/cedric-mullins/17929/stats" TargetMode="External"/><Relationship Id="rId462" Type="http://schemas.openxmlformats.org/officeDocument/2006/relationships/hyperlink" Target="https://www.fangraphs.com/teams/dodgers" TargetMode="External"/><Relationship Id="rId1092" Type="http://schemas.openxmlformats.org/officeDocument/2006/relationships/hyperlink" Target="https://www.fangraphs.com/teams/blue-jays" TargetMode="External"/><Relationship Id="rId1397" Type="http://schemas.openxmlformats.org/officeDocument/2006/relationships/hyperlink" Target="https://www.fangraphs.com/teams/rangers" TargetMode="External"/><Relationship Id="rId115" Type="http://schemas.openxmlformats.org/officeDocument/2006/relationships/hyperlink" Target="https://www.fangraphs.com/players/michael-king/19853/stats" TargetMode="External"/><Relationship Id="rId322" Type="http://schemas.openxmlformats.org/officeDocument/2006/relationships/hyperlink" Target="https://www.fangraphs.com/teams/royals" TargetMode="External"/><Relationship Id="rId767" Type="http://schemas.openxmlformats.org/officeDocument/2006/relationships/hyperlink" Target="https://www.fangraphs.com/teams/royals" TargetMode="External"/><Relationship Id="rId974" Type="http://schemas.openxmlformats.org/officeDocument/2006/relationships/hyperlink" Target="https://www.fangraphs.com/teams/tigers" TargetMode="External"/><Relationship Id="rId2003" Type="http://schemas.openxmlformats.org/officeDocument/2006/relationships/hyperlink" Target="https://www.fangraphs.com/teams/athletics" TargetMode="External"/><Relationship Id="rId627" Type="http://schemas.openxmlformats.org/officeDocument/2006/relationships/hyperlink" Target="https://www.fangraphs.com/players/andre-pallante/26108/stats" TargetMode="External"/><Relationship Id="rId834" Type="http://schemas.openxmlformats.org/officeDocument/2006/relationships/hyperlink" Target="https://www.fangraphs.com/players/simeon-woods-richardson/24494/stats" TargetMode="External"/><Relationship Id="rId1257" Type="http://schemas.openxmlformats.org/officeDocument/2006/relationships/hyperlink" Target="https://www.fangraphs.com/players/rafael-marchan/21646/stats" TargetMode="External"/><Relationship Id="rId1464" Type="http://schemas.openxmlformats.org/officeDocument/2006/relationships/hyperlink" Target="https://www.fangraphs.com/players/yan-gomes/9627/stats" TargetMode="External"/><Relationship Id="rId1671" Type="http://schemas.openxmlformats.org/officeDocument/2006/relationships/hyperlink" Target="https://www.fangraphs.com/players/grant-mccray/25690/stats" TargetMode="External"/><Relationship Id="rId901" Type="http://schemas.openxmlformats.org/officeDocument/2006/relationships/hyperlink" Target="https://www.fangraphs.com/teams/rays" TargetMode="External"/><Relationship Id="rId1117" Type="http://schemas.openxmlformats.org/officeDocument/2006/relationships/hyperlink" Target="https://www.fangraphs.com/teams/marlins" TargetMode="External"/><Relationship Id="rId1324" Type="http://schemas.openxmlformats.org/officeDocument/2006/relationships/hyperlink" Target="https://www.fangraphs.com/teams/cardinals" TargetMode="External"/><Relationship Id="rId1531" Type="http://schemas.openxmlformats.org/officeDocument/2006/relationships/hyperlink" Target="https://www.fangraphs.com/players/omar-narvaez/13338/stats" TargetMode="External"/><Relationship Id="rId1769" Type="http://schemas.openxmlformats.org/officeDocument/2006/relationships/hyperlink" Target="https://www.fangraphs.com/teams/blue-jays" TargetMode="External"/><Relationship Id="rId1976" Type="http://schemas.openxmlformats.org/officeDocument/2006/relationships/hyperlink" Target="https://www.fangraphs.com/players/kevin-alcantara/25971/stats" TargetMode="External"/><Relationship Id="rId30" Type="http://schemas.openxmlformats.org/officeDocument/2006/relationships/hyperlink" Target="https://www.fangraphs.com/teams/athletics" TargetMode="External"/><Relationship Id="rId1629" Type="http://schemas.openxmlformats.org/officeDocument/2006/relationships/hyperlink" Target="https://www.fangraphs.com/players/gabriel-arias/22563/stats" TargetMode="External"/><Relationship Id="rId1836" Type="http://schemas.openxmlformats.org/officeDocument/2006/relationships/hyperlink" Target="https://www.fangraphs.com/players/nick-madrigal/20521/stats" TargetMode="External"/><Relationship Id="rId1903" Type="http://schemas.openxmlformats.org/officeDocument/2006/relationships/hyperlink" Target="https://www.fangraphs.com/players/zack-short/19562/stats" TargetMode="External"/><Relationship Id="rId277" Type="http://schemas.openxmlformats.org/officeDocument/2006/relationships/hyperlink" Target="https://www.fangraphs.com/players/blake-snell/13543/stats" TargetMode="External"/><Relationship Id="rId484" Type="http://schemas.openxmlformats.org/officeDocument/2006/relationships/hyperlink" Target="https://www.fangraphs.com/teams/rangers" TargetMode="External"/><Relationship Id="rId137" Type="http://schemas.openxmlformats.org/officeDocument/2006/relationships/hyperlink" Target="https://www.fangraphs.com/players/adley-rutschman/26288/stats" TargetMode="External"/><Relationship Id="rId344" Type="http://schemas.openxmlformats.org/officeDocument/2006/relationships/hyperlink" Target="https://www.fangraphs.com/teams/mariners" TargetMode="External"/><Relationship Id="rId691" Type="http://schemas.openxmlformats.org/officeDocument/2006/relationships/hyperlink" Target="https://www.fangraphs.com/players/edwin-uceta/20539/stats" TargetMode="External"/><Relationship Id="rId789" Type="http://schemas.openxmlformats.org/officeDocument/2006/relationships/hyperlink" Target="https://www.fangraphs.com/players/james-mccann/12859/stats" TargetMode="External"/><Relationship Id="rId996" Type="http://schemas.openxmlformats.org/officeDocument/2006/relationships/hyperlink" Target="https://www.fangraphs.com/players/paul-sewald/13892/stats" TargetMode="External"/><Relationship Id="rId2025" Type="http://schemas.openxmlformats.org/officeDocument/2006/relationships/hyperlink" Target="https://www.fangraphs.com/players/liover-peguero/24273/stats" TargetMode="External"/><Relationship Id="rId551" Type="http://schemas.openxmlformats.org/officeDocument/2006/relationships/hyperlink" Target="https://www.fangraphs.com/teams/cardinals" TargetMode="External"/><Relationship Id="rId649" Type="http://schemas.openxmlformats.org/officeDocument/2006/relationships/hyperlink" Target="https://www.fangraphs.com/players/tayler-scott/13652/stats" TargetMode="External"/><Relationship Id="rId856" Type="http://schemas.openxmlformats.org/officeDocument/2006/relationships/hyperlink" Target="https://www.fangraphs.com/teams/blue-jays" TargetMode="External"/><Relationship Id="rId1181" Type="http://schemas.openxmlformats.org/officeDocument/2006/relationships/hyperlink" Target="https://www.fangraphs.com/players/david-bednar/19569/stats" TargetMode="External"/><Relationship Id="rId1279" Type="http://schemas.openxmlformats.org/officeDocument/2006/relationships/hyperlink" Target="https://www.fangraphs.com/players/drew-smyly/11760/stats" TargetMode="External"/><Relationship Id="rId1486" Type="http://schemas.openxmlformats.org/officeDocument/2006/relationships/hyperlink" Target="https://www.fangraphs.com/players/dillon-tate/17796/stats" TargetMode="External"/><Relationship Id="rId204" Type="http://schemas.openxmlformats.org/officeDocument/2006/relationships/hyperlink" Target="https://www.fangraphs.com/teams/red-sox" TargetMode="External"/><Relationship Id="rId411" Type="http://schemas.openxmlformats.org/officeDocument/2006/relationships/hyperlink" Target="https://www.fangraphs.com/players/ben-lively/14932/stats" TargetMode="External"/><Relationship Id="rId509" Type="http://schemas.openxmlformats.org/officeDocument/2006/relationships/hyperlink" Target="https://www.fangraphs.com/players/ryan-mountcastle/18373/stats" TargetMode="External"/><Relationship Id="rId1041" Type="http://schemas.openxmlformats.org/officeDocument/2006/relationships/hyperlink" Target="https://www.fangraphs.com/players/mitch-spence/27707/stats" TargetMode="External"/><Relationship Id="rId1139" Type="http://schemas.openxmlformats.org/officeDocument/2006/relationships/hyperlink" Target="https://www.fangraphs.com/teams/giants" TargetMode="External"/><Relationship Id="rId1346" Type="http://schemas.openxmlformats.org/officeDocument/2006/relationships/hyperlink" Target="https://www.fangraphs.com/players/kyle-freeland/16256/stats" TargetMode="External"/><Relationship Id="rId1693" Type="http://schemas.openxmlformats.org/officeDocument/2006/relationships/hyperlink" Target="https://www.fangraphs.com/teams/diamondbacks" TargetMode="External"/><Relationship Id="rId1998" Type="http://schemas.openxmlformats.org/officeDocument/2006/relationships/hyperlink" Target="https://www.fangraphs.com/players/javier-sanoja/28253/stats" TargetMode="External"/><Relationship Id="rId716" Type="http://schemas.openxmlformats.org/officeDocument/2006/relationships/hyperlink" Target="https://www.fangraphs.com/players/alex-faedo/19874/stats" TargetMode="External"/><Relationship Id="rId923" Type="http://schemas.openxmlformats.org/officeDocument/2006/relationships/hyperlink" Target="https://www.fangraphs.com/players/matt-waldron/25550/stats" TargetMode="External"/><Relationship Id="rId1553" Type="http://schemas.openxmlformats.org/officeDocument/2006/relationships/hyperlink" Target="https://www.fangraphs.com/players/jerar-encarnacion/21871/stats" TargetMode="External"/><Relationship Id="rId1760" Type="http://schemas.openxmlformats.org/officeDocument/2006/relationships/hyperlink" Target="https://www.fangraphs.com/players/miguel-vargas/20178/stats" TargetMode="External"/><Relationship Id="rId1858" Type="http://schemas.openxmlformats.org/officeDocument/2006/relationships/hyperlink" Target="https://www.fangraphs.com/players/duke-ellis/27543/stats" TargetMode="External"/><Relationship Id="rId52" Type="http://schemas.openxmlformats.org/officeDocument/2006/relationships/hyperlink" Target="https://www.fangraphs.com/teams/padres" TargetMode="External"/><Relationship Id="rId1206" Type="http://schemas.openxmlformats.org/officeDocument/2006/relationships/hyperlink" Target="https://www.fangraphs.com/teams/tigers" TargetMode="External"/><Relationship Id="rId1413" Type="http://schemas.openxmlformats.org/officeDocument/2006/relationships/hyperlink" Target="https://www.fangraphs.com/teams/red-sox" TargetMode="External"/><Relationship Id="rId1620" Type="http://schemas.openxmlformats.org/officeDocument/2006/relationships/hyperlink" Target="https://www.fangraphs.com/teams/orioles" TargetMode="External"/><Relationship Id="rId1718" Type="http://schemas.openxmlformats.org/officeDocument/2006/relationships/hyperlink" Target="https://www.fangraphs.com/players/nick-mears/25376/stats" TargetMode="External"/><Relationship Id="rId1925" Type="http://schemas.openxmlformats.org/officeDocument/2006/relationships/hyperlink" Target="https://www.fangraphs.com/players/aaron-hicks/5297/stats" TargetMode="External"/><Relationship Id="rId299" Type="http://schemas.openxmlformats.org/officeDocument/2006/relationships/hyperlink" Target="https://www.fangraphs.com/players/fernando-tatis-jr/19709/stats" TargetMode="External"/><Relationship Id="rId159" Type="http://schemas.openxmlformats.org/officeDocument/2006/relationships/hyperlink" Target="https://www.fangraphs.com/players/nick-castellanos/11737/stats" TargetMode="External"/><Relationship Id="rId366" Type="http://schemas.openxmlformats.org/officeDocument/2006/relationships/hyperlink" Target="https://www.fangraphs.com/teams/guardians" TargetMode="External"/><Relationship Id="rId573" Type="http://schemas.openxmlformats.org/officeDocument/2006/relationships/hyperlink" Target="https://www.fangraphs.com/teams/dodgers" TargetMode="External"/><Relationship Id="rId780" Type="http://schemas.openxmlformats.org/officeDocument/2006/relationships/hyperlink" Target="https://www.fangraphs.com/teams/diamondbacks" TargetMode="External"/><Relationship Id="rId2047" Type="http://schemas.openxmlformats.org/officeDocument/2006/relationships/hyperlink" Target="https://www.fangraphs.com/players/adael-amador/27962/stats" TargetMode="External"/><Relationship Id="rId226" Type="http://schemas.openxmlformats.org/officeDocument/2006/relationships/hyperlink" Target="https://www.fangraphs.com/teams/rangers" TargetMode="External"/><Relationship Id="rId433" Type="http://schemas.openxmlformats.org/officeDocument/2006/relationships/hyperlink" Target="https://www.fangraphs.com/players/ryan-ohearn/16442/stats" TargetMode="External"/><Relationship Id="rId878" Type="http://schemas.openxmlformats.org/officeDocument/2006/relationships/hyperlink" Target="https://www.fangraphs.com/players/tyler-rogers/15541/stats" TargetMode="External"/><Relationship Id="rId1063" Type="http://schemas.openxmlformats.org/officeDocument/2006/relationships/hyperlink" Target="https://www.fangraphs.com/players/tyler-freeman/22532/stats" TargetMode="External"/><Relationship Id="rId1270" Type="http://schemas.openxmlformats.org/officeDocument/2006/relationships/hyperlink" Target="https://www.fangraphs.com/teams/giants" TargetMode="External"/><Relationship Id="rId640" Type="http://schemas.openxmlformats.org/officeDocument/2006/relationships/hyperlink" Target="https://www.fangraphs.com/teams/braves" TargetMode="External"/><Relationship Id="rId738" Type="http://schemas.openxmlformats.org/officeDocument/2006/relationships/hyperlink" Target="https://www.fangraphs.com/teams/rays" TargetMode="External"/><Relationship Id="rId945" Type="http://schemas.openxmlformats.org/officeDocument/2006/relationships/hyperlink" Target="https://www.fangraphs.com/players/collin-snider/23307/stats" TargetMode="External"/><Relationship Id="rId1368" Type="http://schemas.openxmlformats.org/officeDocument/2006/relationships/hyperlink" Target="https://www.fangraphs.com/players/rene-pinto/19859/stats" TargetMode="External"/><Relationship Id="rId1575" Type="http://schemas.openxmlformats.org/officeDocument/2006/relationships/hyperlink" Target="https://www.fangraphs.com/players/dominic-canzone/26438/stats" TargetMode="External"/><Relationship Id="rId1782" Type="http://schemas.openxmlformats.org/officeDocument/2006/relationships/hyperlink" Target="https://www.fangraphs.com/teams/mets" TargetMode="External"/><Relationship Id="rId74" Type="http://schemas.openxmlformats.org/officeDocument/2006/relationships/hyperlink" Target="https://www.fangraphs.com/teams/diamondbacks" TargetMode="External"/><Relationship Id="rId500" Type="http://schemas.openxmlformats.org/officeDocument/2006/relationships/hyperlink" Target="https://www.fangraphs.com/teams/angels" TargetMode="External"/><Relationship Id="rId805" Type="http://schemas.openxmlformats.org/officeDocument/2006/relationships/hyperlink" Target="https://www.fangraphs.com/teams/royals" TargetMode="External"/><Relationship Id="rId1130" Type="http://schemas.openxmlformats.org/officeDocument/2006/relationships/hyperlink" Target="https://www.fangraphs.com/players/davis-martin/21448/stats" TargetMode="External"/><Relationship Id="rId1228" Type="http://schemas.openxmlformats.org/officeDocument/2006/relationships/hyperlink" Target="https://www.fangraphs.com/players/ryan-feltner/21446/stats" TargetMode="External"/><Relationship Id="rId1435" Type="http://schemas.openxmlformats.org/officeDocument/2006/relationships/hyperlink" Target="https://www.fangraphs.com/teams/royals" TargetMode="External"/><Relationship Id="rId1642" Type="http://schemas.openxmlformats.org/officeDocument/2006/relationships/hyperlink" Target="https://www.fangraphs.com/players/corey-julks/20311/stats" TargetMode="External"/><Relationship Id="rId1947" Type="http://schemas.openxmlformats.org/officeDocument/2006/relationships/hyperlink" Target="https://www.fangraphs.com/players/cade-marlowe/25505/stats" TargetMode="External"/><Relationship Id="rId1502" Type="http://schemas.openxmlformats.org/officeDocument/2006/relationships/hyperlink" Target="https://www.fangraphs.com/players/enmanuel-valdez/21716/stats" TargetMode="External"/><Relationship Id="rId1807" Type="http://schemas.openxmlformats.org/officeDocument/2006/relationships/hyperlink" Target="https://www.fangraphs.com/teams/diamondbacks" TargetMode="External"/><Relationship Id="rId290" Type="http://schemas.openxmlformats.org/officeDocument/2006/relationships/hyperlink" Target="https://www.fangraphs.com/teams/diamondbacks" TargetMode="External"/><Relationship Id="rId388" Type="http://schemas.openxmlformats.org/officeDocument/2006/relationships/hyperlink" Target="https://www.fangraphs.com/teams/angels" TargetMode="External"/><Relationship Id="rId2069" Type="http://schemas.openxmlformats.org/officeDocument/2006/relationships/hyperlink" Target="https://www.fangraphs.com/players/anthony-molina/26952/stats" TargetMode="External"/><Relationship Id="rId150" Type="http://schemas.openxmlformats.org/officeDocument/2006/relationships/hyperlink" Target="https://www.fangraphs.com/teams/twins" TargetMode="External"/><Relationship Id="rId595" Type="http://schemas.openxmlformats.org/officeDocument/2006/relationships/hyperlink" Target="https://www.fangraphs.com/players/landon-knack/27487/stats" TargetMode="External"/><Relationship Id="rId248" Type="http://schemas.openxmlformats.org/officeDocument/2006/relationships/hyperlink" Target="https://www.fangraphs.com/teams/orioles" TargetMode="External"/><Relationship Id="rId455" Type="http://schemas.openxmlformats.org/officeDocument/2006/relationships/hyperlink" Target="https://www.fangraphs.com/players/austin-riley/18360/stats" TargetMode="External"/><Relationship Id="rId662" Type="http://schemas.openxmlformats.org/officeDocument/2006/relationships/hyperlink" Target="https://www.fangraphs.com/teams/blue-jays" TargetMode="External"/><Relationship Id="rId1085" Type="http://schemas.openxmlformats.org/officeDocument/2006/relationships/hyperlink" Target="https://www.fangraphs.com/teams/athletics" TargetMode="External"/><Relationship Id="rId1292" Type="http://schemas.openxmlformats.org/officeDocument/2006/relationships/hyperlink" Target="https://www.fangraphs.com/players/ryan-fernandez/24862/stats" TargetMode="External"/><Relationship Id="rId108" Type="http://schemas.openxmlformats.org/officeDocument/2006/relationships/hyperlink" Target="https://www.fangraphs.com/teams/tigers" TargetMode="External"/><Relationship Id="rId315" Type="http://schemas.openxmlformats.org/officeDocument/2006/relationships/hyperlink" Target="https://www.fangraphs.com/players/willi-castro/17338/stats" TargetMode="External"/><Relationship Id="rId522" Type="http://schemas.openxmlformats.org/officeDocument/2006/relationships/hyperlink" Target="https://www.fangraphs.com/players/francisco-alvarez/26121/stats" TargetMode="External"/><Relationship Id="rId967" Type="http://schemas.openxmlformats.org/officeDocument/2006/relationships/hyperlink" Target="https://www.fangraphs.com/players/orlando-arcia/13185/stats" TargetMode="External"/><Relationship Id="rId1152" Type="http://schemas.openxmlformats.org/officeDocument/2006/relationships/hyperlink" Target="https://www.fangraphs.com/players/jp-crawford/15491/stats" TargetMode="External"/><Relationship Id="rId1597" Type="http://schemas.openxmlformats.org/officeDocument/2006/relationships/hyperlink" Target="https://www.fangraphs.com/players/cavan-biggio/19252/stats" TargetMode="External"/><Relationship Id="rId96" Type="http://schemas.openxmlformats.org/officeDocument/2006/relationships/hyperlink" Target="https://www.fangraphs.com/teams/giants" TargetMode="External"/><Relationship Id="rId827" Type="http://schemas.openxmlformats.org/officeDocument/2006/relationships/hyperlink" Target="https://www.fangraphs.com/teams/astros" TargetMode="External"/><Relationship Id="rId1012" Type="http://schemas.openxmlformats.org/officeDocument/2006/relationships/hyperlink" Target="https://www.fangraphs.com/teams/giants" TargetMode="External"/><Relationship Id="rId1457" Type="http://schemas.openxmlformats.org/officeDocument/2006/relationships/hyperlink" Target="https://www.fangraphs.com/teams/athletics" TargetMode="External"/><Relationship Id="rId1664" Type="http://schemas.openxmlformats.org/officeDocument/2006/relationships/hyperlink" Target="https://www.fangraphs.com/teams/mets" TargetMode="External"/><Relationship Id="rId1871" Type="http://schemas.openxmlformats.org/officeDocument/2006/relationships/hyperlink" Target="https://www.fangraphs.com/teams/cardinals" TargetMode="External"/><Relationship Id="rId1317" Type="http://schemas.openxmlformats.org/officeDocument/2006/relationships/hyperlink" Target="https://www.fangraphs.com/players/casey-mize/20492/stats" TargetMode="External"/><Relationship Id="rId1524" Type="http://schemas.openxmlformats.org/officeDocument/2006/relationships/hyperlink" Target="https://www.fangraphs.com/players/andrew-knapp/14942/stats" TargetMode="External"/><Relationship Id="rId1731" Type="http://schemas.openxmlformats.org/officeDocument/2006/relationships/hyperlink" Target="https://www.fangraphs.com/players/yohan-ramirez/19444/stats" TargetMode="External"/><Relationship Id="rId1969" Type="http://schemas.openxmlformats.org/officeDocument/2006/relationships/hyperlink" Target="https://www.fangraphs.com/players/sam-haggerty/18054/stats" TargetMode="External"/><Relationship Id="rId23" Type="http://schemas.openxmlformats.org/officeDocument/2006/relationships/hyperlink" Target="https://www.fangraphs.com/players/william-contreras/20503/stats" TargetMode="External"/><Relationship Id="rId1829" Type="http://schemas.openxmlformats.org/officeDocument/2006/relationships/hyperlink" Target="https://www.fangraphs.com/teams/padres" TargetMode="External"/><Relationship Id="rId172" Type="http://schemas.openxmlformats.org/officeDocument/2006/relationships/hyperlink" Target="https://www.fangraphs.com/teams/tigers" TargetMode="External"/><Relationship Id="rId477" Type="http://schemas.openxmlformats.org/officeDocument/2006/relationships/hyperlink" Target="https://www.fangraphs.com/players/brady-singer/25377/stats" TargetMode="External"/><Relationship Id="rId684" Type="http://schemas.openxmlformats.org/officeDocument/2006/relationships/hyperlink" Target="https://www.fangraphs.com/teams/reds" TargetMode="External"/><Relationship Id="rId2060" Type="http://schemas.openxmlformats.org/officeDocument/2006/relationships/hyperlink" Target="https://www.fangraphs.com/players/trenton-brooks/19384/stats" TargetMode="External"/><Relationship Id="rId337" Type="http://schemas.openxmlformats.org/officeDocument/2006/relationships/hyperlink" Target="https://www.fangraphs.com/players/david-fry/24934/stats" TargetMode="External"/><Relationship Id="rId891" Type="http://schemas.openxmlformats.org/officeDocument/2006/relationships/hyperlink" Target="https://www.fangraphs.com/teams/twins" TargetMode="External"/><Relationship Id="rId989" Type="http://schemas.openxmlformats.org/officeDocument/2006/relationships/hyperlink" Target="https://www.fangraphs.com/players/adrian-del-castillo/29554/stats" TargetMode="External"/><Relationship Id="rId2018" Type="http://schemas.openxmlformats.org/officeDocument/2006/relationships/hyperlink" Target="https://www.fangraphs.com/teams/white-sox" TargetMode="External"/><Relationship Id="rId544" Type="http://schemas.openxmlformats.org/officeDocument/2006/relationships/hyperlink" Target="https://www.fangraphs.com/players/joe-musgrove/12970/stats" TargetMode="External"/><Relationship Id="rId751" Type="http://schemas.openxmlformats.org/officeDocument/2006/relationships/hyperlink" Target="https://www.fangraphs.com/players/jake-rogers/19452/stats" TargetMode="External"/><Relationship Id="rId849" Type="http://schemas.openxmlformats.org/officeDocument/2006/relationships/hyperlink" Target="https://www.fangraphs.com/teams/rangers" TargetMode="External"/><Relationship Id="rId1174" Type="http://schemas.openxmlformats.org/officeDocument/2006/relationships/hyperlink" Target="https://www.fangraphs.com/teams/white-sox" TargetMode="External"/><Relationship Id="rId1381" Type="http://schemas.openxmlformats.org/officeDocument/2006/relationships/hyperlink" Target="https://www.fangraphs.com/teams/twins" TargetMode="External"/><Relationship Id="rId1479" Type="http://schemas.openxmlformats.org/officeDocument/2006/relationships/hyperlink" Target="https://www.fangraphs.com/players/edward-olivares/19698/stats" TargetMode="External"/><Relationship Id="rId1686" Type="http://schemas.openxmlformats.org/officeDocument/2006/relationships/hyperlink" Target="https://www.fangraphs.com/players/ben-gamel/12160/stats" TargetMode="External"/><Relationship Id="rId404" Type="http://schemas.openxmlformats.org/officeDocument/2006/relationships/hyperlink" Target="https://www.fangraphs.com/teams/rockies" TargetMode="External"/><Relationship Id="rId611" Type="http://schemas.openxmlformats.org/officeDocument/2006/relationships/hyperlink" Target="https://www.fangraphs.com/players/otto-lopez/19608/stats" TargetMode="External"/><Relationship Id="rId1034" Type="http://schemas.openxmlformats.org/officeDocument/2006/relationships/hyperlink" Target="https://www.fangraphs.com/teams/rangers" TargetMode="External"/><Relationship Id="rId1241" Type="http://schemas.openxmlformats.org/officeDocument/2006/relationships/hyperlink" Target="https://www.fangraphs.com/players/cade-povich/30055/stats" TargetMode="External"/><Relationship Id="rId1339" Type="http://schemas.openxmlformats.org/officeDocument/2006/relationships/hyperlink" Target="https://www.fangraphs.com/teams/cubs" TargetMode="External"/><Relationship Id="rId1893" Type="http://schemas.openxmlformats.org/officeDocument/2006/relationships/hyperlink" Target="https://www.fangraphs.com/teams/braves" TargetMode="External"/><Relationship Id="rId709" Type="http://schemas.openxmlformats.org/officeDocument/2006/relationships/hyperlink" Target="https://www.fangraphs.com/teams/diamondbacks" TargetMode="External"/><Relationship Id="rId916" Type="http://schemas.openxmlformats.org/officeDocument/2006/relationships/hyperlink" Target="https://www.fangraphs.com/players/ty-france/17982/stats" TargetMode="External"/><Relationship Id="rId1101" Type="http://schemas.openxmlformats.org/officeDocument/2006/relationships/hyperlink" Target="https://www.fangraphs.com/teams/mets" TargetMode="External"/><Relationship Id="rId1546" Type="http://schemas.openxmlformats.org/officeDocument/2006/relationships/hyperlink" Target="https://www.fangraphs.com/players/aramis-garcia/16925/stats" TargetMode="External"/><Relationship Id="rId1753" Type="http://schemas.openxmlformats.org/officeDocument/2006/relationships/hyperlink" Target="https://www.fangraphs.com/teams/cardinals" TargetMode="External"/><Relationship Id="rId1960" Type="http://schemas.openxmlformats.org/officeDocument/2006/relationships/hyperlink" Target="https://www.fangraphs.com/players/ehire-adrianza/8418/stats" TargetMode="External"/><Relationship Id="rId45" Type="http://schemas.openxmlformats.org/officeDocument/2006/relationships/hyperlink" Target="https://www.fangraphs.com/players/logan-gilbert/22250/stats" TargetMode="External"/><Relationship Id="rId1406" Type="http://schemas.openxmlformats.org/officeDocument/2006/relationships/hyperlink" Target="https://www.fangraphs.com/players/bo-bichette/19612/stats" TargetMode="External"/><Relationship Id="rId1613" Type="http://schemas.openxmlformats.org/officeDocument/2006/relationships/hyperlink" Target="https://www.fangraphs.com/players/kenta-maeda/18498/stats" TargetMode="External"/><Relationship Id="rId1820" Type="http://schemas.openxmlformats.org/officeDocument/2006/relationships/hyperlink" Target="https://www.fangraphs.com/players/david-hensley/25111/stats" TargetMode="External"/><Relationship Id="rId194" Type="http://schemas.openxmlformats.org/officeDocument/2006/relationships/hyperlink" Target="https://www.fangraphs.com/teams/blue-jays" TargetMode="External"/><Relationship Id="rId1918" Type="http://schemas.openxmlformats.org/officeDocument/2006/relationships/hyperlink" Target="https://www.fangraphs.com/players/cole-tucker/17326/stats" TargetMode="External"/><Relationship Id="rId2082" Type="http://schemas.openxmlformats.org/officeDocument/2006/relationships/hyperlink" Target="https://www.fangraphs.com/teams/rangers" TargetMode="External"/><Relationship Id="rId261" Type="http://schemas.openxmlformats.org/officeDocument/2006/relationships/hyperlink" Target="https://www.fangraphs.com/players/pablo-lopez/17085/stats" TargetMode="External"/><Relationship Id="rId499" Type="http://schemas.openxmlformats.org/officeDocument/2006/relationships/hyperlink" Target="https://www.fangraphs.com/players/kenley-jansen/3096/stats" TargetMode="External"/><Relationship Id="rId359" Type="http://schemas.openxmlformats.org/officeDocument/2006/relationships/hyperlink" Target="https://www.fangraphs.com/players/jared-koenig/27517/stats" TargetMode="External"/><Relationship Id="rId566" Type="http://schemas.openxmlformats.org/officeDocument/2006/relationships/hyperlink" Target="https://www.fangraphs.com/players/tyson-miller/19976/stats" TargetMode="External"/><Relationship Id="rId773" Type="http://schemas.openxmlformats.org/officeDocument/2006/relationships/hyperlink" Target="https://www.fangraphs.com/teams/angels" TargetMode="External"/><Relationship Id="rId1196" Type="http://schemas.openxmlformats.org/officeDocument/2006/relationships/hyperlink" Target="https://www.fangraphs.com/teams/brewers" TargetMode="External"/><Relationship Id="rId121" Type="http://schemas.openxmlformats.org/officeDocument/2006/relationships/hyperlink" Target="https://www.fangraphs.com/players/george-kirby/25436/stats" TargetMode="External"/><Relationship Id="rId219" Type="http://schemas.openxmlformats.org/officeDocument/2006/relationships/hyperlink" Target="https://www.fangraphs.com/players/logan-ohoppe/24729/stats" TargetMode="External"/><Relationship Id="rId426" Type="http://schemas.openxmlformats.org/officeDocument/2006/relationships/hyperlink" Target="https://www.fangraphs.com/teams/yankees" TargetMode="External"/><Relationship Id="rId633" Type="http://schemas.openxmlformats.org/officeDocument/2006/relationships/hyperlink" Target="https://www.fangraphs.com/players/jeremiah-estrada/22210/stats" TargetMode="External"/><Relationship Id="rId980" Type="http://schemas.openxmlformats.org/officeDocument/2006/relationships/hyperlink" Target="https://www.fangraphs.com/teams/dodgers" TargetMode="External"/><Relationship Id="rId1056" Type="http://schemas.openxmlformats.org/officeDocument/2006/relationships/hyperlink" Target="https://www.fangraphs.com/teams/braves" TargetMode="External"/><Relationship Id="rId1263" Type="http://schemas.openxmlformats.org/officeDocument/2006/relationships/hyperlink" Target="https://www.fangraphs.com/players/brennan-bernardino/16835/stats" TargetMode="External"/><Relationship Id="rId840" Type="http://schemas.openxmlformats.org/officeDocument/2006/relationships/hyperlink" Target="https://www.fangraphs.com/players/joe-ross/12972/stats" TargetMode="External"/><Relationship Id="rId938" Type="http://schemas.openxmlformats.org/officeDocument/2006/relationships/hyperlink" Target="https://www.fangraphs.com/teams/brewers" TargetMode="External"/><Relationship Id="rId1470" Type="http://schemas.openxmlformats.org/officeDocument/2006/relationships/hyperlink" Target="https://www.fangraphs.com/teams/nationals" TargetMode="External"/><Relationship Id="rId1568" Type="http://schemas.openxmlformats.org/officeDocument/2006/relationships/hyperlink" Target="https://www.fangraphs.com/teams/astros" TargetMode="External"/><Relationship Id="rId1775" Type="http://schemas.openxmlformats.org/officeDocument/2006/relationships/hyperlink" Target="https://www.fangraphs.com/players/will-smith/8048/stats" TargetMode="External"/><Relationship Id="rId67" Type="http://schemas.openxmlformats.org/officeDocument/2006/relationships/hyperlink" Target="https://www.fangraphs.com/players/seth-lugo/12447/stats" TargetMode="External"/><Relationship Id="rId700" Type="http://schemas.openxmlformats.org/officeDocument/2006/relationships/hyperlink" Target="https://www.fangraphs.com/players/evan-phillips/17734/stats" TargetMode="External"/><Relationship Id="rId1123" Type="http://schemas.openxmlformats.org/officeDocument/2006/relationships/hyperlink" Target="https://www.fangraphs.com/teams/red-sox" TargetMode="External"/><Relationship Id="rId1330" Type="http://schemas.openxmlformats.org/officeDocument/2006/relationships/hyperlink" Target="https://www.fangraphs.com/teams/athletics" TargetMode="External"/><Relationship Id="rId1428" Type="http://schemas.openxmlformats.org/officeDocument/2006/relationships/hyperlink" Target="https://www.fangraphs.com/teams/rangers" TargetMode="External"/><Relationship Id="rId1635" Type="http://schemas.openxmlformats.org/officeDocument/2006/relationships/hyperlink" Target="https://www.fangraphs.com/players/patrick-wisdom/13602/stats" TargetMode="External"/><Relationship Id="rId1982" Type="http://schemas.openxmlformats.org/officeDocument/2006/relationships/hyperlink" Target="https://www.fangraphs.com/teams/astros" TargetMode="External"/><Relationship Id="rId1842" Type="http://schemas.openxmlformats.org/officeDocument/2006/relationships/hyperlink" Target="https://www.fangraphs.com/players/bryce-johnson/20002/stats" TargetMode="External"/><Relationship Id="rId1702" Type="http://schemas.openxmlformats.org/officeDocument/2006/relationships/hyperlink" Target="https://www.fangraphs.com/players/chad-kuhl/14975/stats" TargetMode="External"/><Relationship Id="rId283" Type="http://schemas.openxmlformats.org/officeDocument/2006/relationships/hyperlink" Target="https://www.fangraphs.com/players/heliot-ramos/22515/stats" TargetMode="External"/><Relationship Id="rId490" Type="http://schemas.openxmlformats.org/officeDocument/2006/relationships/hyperlink" Target="https://www.fangraphs.com/teams/giants" TargetMode="External"/><Relationship Id="rId143" Type="http://schemas.openxmlformats.org/officeDocument/2006/relationships/hyperlink" Target="https://www.fangraphs.com/players/raisel-iglesias/17130/stats" TargetMode="External"/><Relationship Id="rId350" Type="http://schemas.openxmlformats.org/officeDocument/2006/relationships/hyperlink" Target="https://www.fangraphs.com/teams/twins" TargetMode="External"/><Relationship Id="rId588" Type="http://schemas.openxmlformats.org/officeDocument/2006/relationships/hyperlink" Target="https://www.fangraphs.com/teams/guardians" TargetMode="External"/><Relationship Id="rId795" Type="http://schemas.openxmlformats.org/officeDocument/2006/relationships/hyperlink" Target="https://www.fangraphs.com/teams/reds" TargetMode="External"/><Relationship Id="rId2031" Type="http://schemas.openxmlformats.org/officeDocument/2006/relationships/hyperlink" Target="https://www.fangraphs.com/players/levi-jordan/25138/stats" TargetMode="External"/><Relationship Id="rId9" Type="http://schemas.openxmlformats.org/officeDocument/2006/relationships/hyperlink" Target="https://www.fangraphs.com/players/juan-soto/20123/stats" TargetMode="External"/><Relationship Id="rId210" Type="http://schemas.openxmlformats.org/officeDocument/2006/relationships/hyperlink" Target="https://www.fangraphs.com/teams/red-sox" TargetMode="External"/><Relationship Id="rId448" Type="http://schemas.openxmlformats.org/officeDocument/2006/relationships/hyperlink" Target="https://www.fangraphs.com/teams/twins" TargetMode="External"/><Relationship Id="rId655" Type="http://schemas.openxmlformats.org/officeDocument/2006/relationships/hyperlink" Target="https://www.fangraphs.com/players/jeimer-candelario/13621/stats" TargetMode="External"/><Relationship Id="rId862" Type="http://schemas.openxmlformats.org/officeDocument/2006/relationships/hyperlink" Target="https://www.fangraphs.com/teams/mariners" TargetMode="External"/><Relationship Id="rId1078" Type="http://schemas.openxmlformats.org/officeDocument/2006/relationships/hyperlink" Target="https://www.fangraphs.com/teams/marlins" TargetMode="External"/><Relationship Id="rId1285" Type="http://schemas.openxmlformats.org/officeDocument/2006/relationships/hyperlink" Target="https://www.fangraphs.com/teams/yankees" TargetMode="External"/><Relationship Id="rId1492" Type="http://schemas.openxmlformats.org/officeDocument/2006/relationships/hyperlink" Target="https://www.fangraphs.com/players/tyler-soderstrom/27467/stats" TargetMode="External"/><Relationship Id="rId308" Type="http://schemas.openxmlformats.org/officeDocument/2006/relationships/hyperlink" Target="https://www.fangraphs.com/teams/cubs" TargetMode="External"/><Relationship Id="rId515" Type="http://schemas.openxmlformats.org/officeDocument/2006/relationships/hyperlink" Target="https://www.fangraphs.com/players/spencer-turnbull/16207/stats" TargetMode="External"/><Relationship Id="rId722" Type="http://schemas.openxmlformats.org/officeDocument/2006/relationships/hyperlink" Target="https://www.fangraphs.com/teams/nationals" TargetMode="External"/><Relationship Id="rId1145" Type="http://schemas.openxmlformats.org/officeDocument/2006/relationships/hyperlink" Target="https://www.fangraphs.com/teams/rangers" TargetMode="External"/><Relationship Id="rId1352" Type="http://schemas.openxmlformats.org/officeDocument/2006/relationships/hyperlink" Target="https://www.fangraphs.com/players/carson-spiers/27685/stats" TargetMode="External"/><Relationship Id="rId1797" Type="http://schemas.openxmlformats.org/officeDocument/2006/relationships/hyperlink" Target="https://www.fangraphs.com/players/steward-berroa/22766/stats" TargetMode="External"/><Relationship Id="rId89" Type="http://schemas.openxmlformats.org/officeDocument/2006/relationships/hyperlink" Target="https://www.fangraphs.com/players/ronel-blanco/19407/stats" TargetMode="External"/><Relationship Id="rId1005" Type="http://schemas.openxmlformats.org/officeDocument/2006/relationships/hyperlink" Target="https://www.fangraphs.com/players/dennis-santana/17878/stats" TargetMode="External"/><Relationship Id="rId1212" Type="http://schemas.openxmlformats.org/officeDocument/2006/relationships/hyperlink" Target="https://www.fangraphs.com/teams/giants" TargetMode="External"/><Relationship Id="rId1657" Type="http://schemas.openxmlformats.org/officeDocument/2006/relationships/hyperlink" Target="https://www.fangraphs.com/players/leo-jimenez/23782/stats" TargetMode="External"/><Relationship Id="rId1864" Type="http://schemas.openxmlformats.org/officeDocument/2006/relationships/hyperlink" Target="https://www.fangraphs.com/players/alika-williams/27604/stats" TargetMode="External"/><Relationship Id="rId1517" Type="http://schemas.openxmlformats.org/officeDocument/2006/relationships/hyperlink" Target="https://www.fangraphs.com/teams/blue-jays" TargetMode="External"/><Relationship Id="rId1724" Type="http://schemas.openxmlformats.org/officeDocument/2006/relationships/hyperlink" Target="https://www.fangraphs.com/teams/white-sox" TargetMode="External"/><Relationship Id="rId16" Type="http://schemas.openxmlformats.org/officeDocument/2006/relationships/hyperlink" Target="https://www.fangraphs.com/teams/phillies" TargetMode="External"/><Relationship Id="rId1931" Type="http://schemas.openxmlformats.org/officeDocument/2006/relationships/hyperlink" Target="https://www.fangraphs.com/players/conner-capel/19983/stats" TargetMode="External"/><Relationship Id="rId165" Type="http://schemas.openxmlformats.org/officeDocument/2006/relationships/hyperlink" Target="https://www.fangraphs.com/players/spencer-steer/26323/stats" TargetMode="External"/><Relationship Id="rId372" Type="http://schemas.openxmlformats.org/officeDocument/2006/relationships/hyperlink" Target="https://www.fangraphs.com/teams/yankees" TargetMode="External"/><Relationship Id="rId677" Type="http://schemas.openxmlformats.org/officeDocument/2006/relationships/hyperlink" Target="https://www.fangraphs.com/players/luis-robert-jr/20043/stats" TargetMode="External"/><Relationship Id="rId2053" Type="http://schemas.openxmlformats.org/officeDocument/2006/relationships/hyperlink" Target="https://www.fangraphs.com/players/tony-kemp/14894/stats" TargetMode="External"/><Relationship Id="rId232" Type="http://schemas.openxmlformats.org/officeDocument/2006/relationships/hyperlink" Target="https://www.fangraphs.com/teams/rangers" TargetMode="External"/><Relationship Id="rId884" Type="http://schemas.openxmlformats.org/officeDocument/2006/relationships/hyperlink" Target="https://www.fangraphs.com/players/eli-morgan/20203/stats" TargetMode="External"/><Relationship Id="rId537" Type="http://schemas.openxmlformats.org/officeDocument/2006/relationships/hyperlink" Target="https://www.fangraphs.com/teams/brewers" TargetMode="External"/><Relationship Id="rId744" Type="http://schemas.openxmlformats.org/officeDocument/2006/relationships/hyperlink" Target="https://www.fangraphs.com/teams/braves" TargetMode="External"/><Relationship Id="rId951" Type="http://schemas.openxmlformats.org/officeDocument/2006/relationships/hyperlink" Target="https://www.fangraphs.com/players/seth-brown/18171/stats" TargetMode="External"/><Relationship Id="rId1167" Type="http://schemas.openxmlformats.org/officeDocument/2006/relationships/hyperlink" Target="https://www.fangraphs.com/teams/royals" TargetMode="External"/><Relationship Id="rId1374" Type="http://schemas.openxmlformats.org/officeDocument/2006/relationships/hyperlink" Target="https://www.fangraphs.com/players/brendon-little/21574/stats" TargetMode="External"/><Relationship Id="rId1581" Type="http://schemas.openxmlformats.org/officeDocument/2006/relationships/hyperlink" Target="https://www.fangraphs.com/players/tyler-wade/15730/stats" TargetMode="External"/><Relationship Id="rId1679" Type="http://schemas.openxmlformats.org/officeDocument/2006/relationships/hyperlink" Target="https://www.fangraphs.com/teams/angels" TargetMode="External"/><Relationship Id="rId80" Type="http://schemas.openxmlformats.org/officeDocument/2006/relationships/hyperlink" Target="https://www.fangraphs.com/teams/astros" TargetMode="External"/><Relationship Id="rId604" Type="http://schemas.openxmlformats.org/officeDocument/2006/relationships/hyperlink" Target="https://www.fangraphs.com/teams/nationals" TargetMode="External"/><Relationship Id="rId811" Type="http://schemas.openxmlformats.org/officeDocument/2006/relationships/hyperlink" Target="https://www.fangraphs.com/teams/pirates" TargetMode="External"/><Relationship Id="rId1027" Type="http://schemas.openxmlformats.org/officeDocument/2006/relationships/hyperlink" Target="https://www.fangraphs.com/players/edward-cabrera/21690/stats" TargetMode="External"/><Relationship Id="rId1234" Type="http://schemas.openxmlformats.org/officeDocument/2006/relationships/hyperlink" Target="https://www.fangraphs.com/players/garrett-stubbs/18067/stats" TargetMode="External"/><Relationship Id="rId1441" Type="http://schemas.openxmlformats.org/officeDocument/2006/relationships/hyperlink" Target="https://www.fangraphs.com/teams/marlins" TargetMode="External"/><Relationship Id="rId1886" Type="http://schemas.openxmlformats.org/officeDocument/2006/relationships/hyperlink" Target="https://www.fangraphs.com/players/buddy-kennedy/22505/stats" TargetMode="External"/><Relationship Id="rId909" Type="http://schemas.openxmlformats.org/officeDocument/2006/relationships/hyperlink" Target="https://www.fangraphs.com/teams/yankees" TargetMode="External"/><Relationship Id="rId1301" Type="http://schemas.openxmlformats.org/officeDocument/2006/relationships/hyperlink" Target="https://www.fangraphs.com/teams/red-sox" TargetMode="External"/><Relationship Id="rId1539" Type="http://schemas.openxmlformats.org/officeDocument/2006/relationships/hyperlink" Target="https://www.fangraphs.com/teams/marlins" TargetMode="External"/><Relationship Id="rId1746" Type="http://schemas.openxmlformats.org/officeDocument/2006/relationships/hyperlink" Target="https://www.fangraphs.com/teams/rockies" TargetMode="External"/><Relationship Id="rId1953" Type="http://schemas.openxmlformats.org/officeDocument/2006/relationships/hyperlink" Target="https://www.fangraphs.com/teams/nationals" TargetMode="External"/><Relationship Id="rId38" Type="http://schemas.openxmlformats.org/officeDocument/2006/relationships/hyperlink" Target="https://www.fangraphs.com/teams/giants" TargetMode="External"/><Relationship Id="rId1606" Type="http://schemas.openxmlformats.org/officeDocument/2006/relationships/hyperlink" Target="https://www.fangraphs.com/teams/rangers" TargetMode="External"/><Relationship Id="rId1813" Type="http://schemas.openxmlformats.org/officeDocument/2006/relationships/hyperlink" Target="https://www.fangraphs.com/teams/astros" TargetMode="External"/><Relationship Id="rId187" Type="http://schemas.openxmlformats.org/officeDocument/2006/relationships/hyperlink" Target="https://www.fangraphs.com/players/nick-martinez/12730/stats" TargetMode="External"/><Relationship Id="rId394" Type="http://schemas.openxmlformats.org/officeDocument/2006/relationships/hyperlink" Target="https://www.fangraphs.com/teams/rangers" TargetMode="External"/><Relationship Id="rId2075" Type="http://schemas.openxmlformats.org/officeDocument/2006/relationships/hyperlink" Target="https://www.fangraphs.com/players/jose-abreu/15676/stats" TargetMode="External"/><Relationship Id="rId254" Type="http://schemas.openxmlformats.org/officeDocument/2006/relationships/hyperlink" Target="https://www.fangraphs.com/teams/royals" TargetMode="External"/><Relationship Id="rId699" Type="http://schemas.openxmlformats.org/officeDocument/2006/relationships/hyperlink" Target="https://www.fangraphs.com/teams/astros" TargetMode="External"/><Relationship Id="rId1091" Type="http://schemas.openxmlformats.org/officeDocument/2006/relationships/hyperlink" Target="https://www.fangraphs.com/players/davis-schneider/23565/stats" TargetMode="External"/><Relationship Id="rId114" Type="http://schemas.openxmlformats.org/officeDocument/2006/relationships/hyperlink" Target="https://www.fangraphs.com/teams/royals" TargetMode="External"/><Relationship Id="rId461" Type="http://schemas.openxmlformats.org/officeDocument/2006/relationships/hyperlink" Target="https://www.fangraphs.com/players/alex-vesia/25007/stats" TargetMode="External"/><Relationship Id="rId559" Type="http://schemas.openxmlformats.org/officeDocument/2006/relationships/hyperlink" Target="https://www.fangraphs.com/teams/pirates" TargetMode="External"/><Relationship Id="rId766" Type="http://schemas.openxmlformats.org/officeDocument/2006/relationships/hyperlink" Target="https://www.fangraphs.com/players/michael-massey/27684/stats" TargetMode="External"/><Relationship Id="rId1189" Type="http://schemas.openxmlformats.org/officeDocument/2006/relationships/hyperlink" Target="https://www.fangraphs.com/players/mark-leiter-jr/15551/stats" TargetMode="External"/><Relationship Id="rId1396" Type="http://schemas.openxmlformats.org/officeDocument/2006/relationships/hyperlink" Target="https://www.fangraphs.com/players/tucker-barnhart/10200/stats" TargetMode="External"/><Relationship Id="rId321" Type="http://schemas.openxmlformats.org/officeDocument/2006/relationships/hyperlink" Target="https://www.fangraphs.com/players/jonathan-india/21523/stats" TargetMode="External"/><Relationship Id="rId419" Type="http://schemas.openxmlformats.org/officeDocument/2006/relationships/hyperlink" Target="https://www.fangraphs.com/players/luke-weaver/16918/stats" TargetMode="External"/><Relationship Id="rId626" Type="http://schemas.openxmlformats.org/officeDocument/2006/relationships/hyperlink" Target="https://www.fangraphs.com/teams/athletics" TargetMode="External"/><Relationship Id="rId973" Type="http://schemas.openxmlformats.org/officeDocument/2006/relationships/hyperlink" Target="https://www.fangraphs.com/players/parker-meadows/23800/stats" TargetMode="External"/><Relationship Id="rId1049" Type="http://schemas.openxmlformats.org/officeDocument/2006/relationships/hyperlink" Target="https://www.fangraphs.com/players/seranthony-dominguez/19249/stats" TargetMode="External"/><Relationship Id="rId1256" Type="http://schemas.openxmlformats.org/officeDocument/2006/relationships/hyperlink" Target="https://www.fangraphs.com/teams/marlins" TargetMode="External"/><Relationship Id="rId2002" Type="http://schemas.openxmlformats.org/officeDocument/2006/relationships/hyperlink" Target="https://www.fangraphs.com/players/cj-alexander/20557/stats" TargetMode="External"/><Relationship Id="rId833" Type="http://schemas.openxmlformats.org/officeDocument/2006/relationships/hyperlink" Target="https://www.fangraphs.com/teams/giants" TargetMode="External"/><Relationship Id="rId1116" Type="http://schemas.openxmlformats.org/officeDocument/2006/relationships/hyperlink" Target="https://www.fangraphs.com/players/anthony-bender/19742/stats" TargetMode="External"/><Relationship Id="rId1463" Type="http://schemas.openxmlformats.org/officeDocument/2006/relationships/hyperlink" Target="https://www.fangraphs.com/teams/marlins" TargetMode="External"/><Relationship Id="rId1670" Type="http://schemas.openxmlformats.org/officeDocument/2006/relationships/hyperlink" Target="https://www.fangraphs.com/teams/twins" TargetMode="External"/><Relationship Id="rId1768" Type="http://schemas.openxmlformats.org/officeDocument/2006/relationships/hyperlink" Target="https://www.fangraphs.com/players/jonatan-clase/26599/stats" TargetMode="External"/><Relationship Id="rId900" Type="http://schemas.openxmlformats.org/officeDocument/2006/relationships/hyperlink" Target="https://www.fangraphs.com/players/danny-jansen/16535/stats" TargetMode="External"/><Relationship Id="rId1323" Type="http://schemas.openxmlformats.org/officeDocument/2006/relationships/hyperlink" Target="https://www.fangraphs.com/players/nick-anderson/18337/stats" TargetMode="External"/><Relationship Id="rId1530" Type="http://schemas.openxmlformats.org/officeDocument/2006/relationships/hyperlink" Target="https://www.fangraphs.com/teams/twins" TargetMode="External"/><Relationship Id="rId1628" Type="http://schemas.openxmlformats.org/officeDocument/2006/relationships/hyperlink" Target="https://www.fangraphs.com/teams/braves" TargetMode="External"/><Relationship Id="rId1975" Type="http://schemas.openxmlformats.org/officeDocument/2006/relationships/hyperlink" Target="https://www.fangraphs.com/teams/yankees" TargetMode="External"/><Relationship Id="rId1835" Type="http://schemas.openxmlformats.org/officeDocument/2006/relationships/hyperlink" Target="https://www.fangraphs.com/teams/reds" TargetMode="External"/><Relationship Id="rId1902" Type="http://schemas.openxmlformats.org/officeDocument/2006/relationships/hyperlink" Target="https://www.fangraphs.com/teams/mets" TargetMode="External"/><Relationship Id="rId276" Type="http://schemas.openxmlformats.org/officeDocument/2006/relationships/hyperlink" Target="https://www.fangraphs.com/teams/brewers" TargetMode="External"/><Relationship Id="rId483" Type="http://schemas.openxmlformats.org/officeDocument/2006/relationships/hyperlink" Target="https://www.fangraphs.com/players/jonah-heim/16930/stats" TargetMode="External"/><Relationship Id="rId690" Type="http://schemas.openxmlformats.org/officeDocument/2006/relationships/hyperlink" Target="https://www.fangraphs.com/teams/padres" TargetMode="External"/><Relationship Id="rId136" Type="http://schemas.openxmlformats.org/officeDocument/2006/relationships/hyperlink" Target="https://www.fangraphs.com/teams/angels" TargetMode="External"/><Relationship Id="rId343" Type="http://schemas.openxmlformats.org/officeDocument/2006/relationships/hyperlink" Target="https://www.fangraphs.com/players/randy-arozarena/19290/stats" TargetMode="External"/><Relationship Id="rId550" Type="http://schemas.openxmlformats.org/officeDocument/2006/relationships/hyperlink" Target="https://www.fangraphs.com/players/ivan-herrera/20599/stats" TargetMode="External"/><Relationship Id="rId788" Type="http://schemas.openxmlformats.org/officeDocument/2006/relationships/hyperlink" Target="https://www.fangraphs.com/teams/blue-jays" TargetMode="External"/><Relationship Id="rId995" Type="http://schemas.openxmlformats.org/officeDocument/2006/relationships/hyperlink" Target="https://www.fangraphs.com/teams/mets" TargetMode="External"/><Relationship Id="rId1180" Type="http://schemas.openxmlformats.org/officeDocument/2006/relationships/hyperlink" Target="https://www.fangraphs.com/teams/rangers" TargetMode="External"/><Relationship Id="rId2024" Type="http://schemas.openxmlformats.org/officeDocument/2006/relationships/hyperlink" Target="https://www.fangraphs.com/teams/phillies" TargetMode="External"/><Relationship Id="rId203" Type="http://schemas.openxmlformats.org/officeDocument/2006/relationships/hyperlink" Target="https://www.fangraphs.com/players/connor-wong/19896/stats" TargetMode="External"/><Relationship Id="rId648" Type="http://schemas.openxmlformats.org/officeDocument/2006/relationships/hyperlink" Target="https://www.fangraphs.com/teams/blue-jays" TargetMode="External"/><Relationship Id="rId855" Type="http://schemas.openxmlformats.org/officeDocument/2006/relationships/hyperlink" Target="https://www.fangraphs.com/players/yimi-garcia/12095/stats" TargetMode="External"/><Relationship Id="rId1040" Type="http://schemas.openxmlformats.org/officeDocument/2006/relationships/hyperlink" Target="https://www.fangraphs.com/teams/padres" TargetMode="External"/><Relationship Id="rId1278" Type="http://schemas.openxmlformats.org/officeDocument/2006/relationships/hyperlink" Target="https://www.fangraphs.com/teams/diamondbacks" TargetMode="External"/><Relationship Id="rId1485" Type="http://schemas.openxmlformats.org/officeDocument/2006/relationships/hyperlink" Target="https://www.fangraphs.com/teams/red-sox" TargetMode="External"/><Relationship Id="rId1692" Type="http://schemas.openxmlformats.org/officeDocument/2006/relationships/hyperlink" Target="https://www.fangraphs.com/players/thyago-vieira/14510/stats" TargetMode="External"/><Relationship Id="rId410" Type="http://schemas.openxmlformats.org/officeDocument/2006/relationships/hyperlink" Target="https://www.fangraphs.com/teams/royals" TargetMode="External"/><Relationship Id="rId508" Type="http://schemas.openxmlformats.org/officeDocument/2006/relationships/hyperlink" Target="https://www.fangraphs.com/teams/angels" TargetMode="External"/><Relationship Id="rId715" Type="http://schemas.openxmlformats.org/officeDocument/2006/relationships/hyperlink" Target="https://www.fangraphs.com/teams/diamondbacks" TargetMode="External"/><Relationship Id="rId922" Type="http://schemas.openxmlformats.org/officeDocument/2006/relationships/hyperlink" Target="https://www.fangraphs.com/players/jake-cave/14477/stats" TargetMode="External"/><Relationship Id="rId1138" Type="http://schemas.openxmlformats.org/officeDocument/2006/relationships/hyperlink" Target="https://www.fangraphs.com/players/spencer-bivens/30226/stats" TargetMode="External"/><Relationship Id="rId1345" Type="http://schemas.openxmlformats.org/officeDocument/2006/relationships/hyperlink" Target="https://www.fangraphs.com/teams/royals" TargetMode="External"/><Relationship Id="rId1552" Type="http://schemas.openxmlformats.org/officeDocument/2006/relationships/hyperlink" Target="https://www.fangraphs.com/players/willie-calhoun/17838/stats" TargetMode="External"/><Relationship Id="rId1997" Type="http://schemas.openxmlformats.org/officeDocument/2006/relationships/hyperlink" Target="https://www.fangraphs.com/teams/rangers" TargetMode="External"/><Relationship Id="rId1205" Type="http://schemas.openxmlformats.org/officeDocument/2006/relationships/hyperlink" Target="https://www.fangraphs.com/players/spencer-torkelson/27465/stats" TargetMode="External"/><Relationship Id="rId1857" Type="http://schemas.openxmlformats.org/officeDocument/2006/relationships/hyperlink" Target="https://www.fangraphs.com/teams/padres" TargetMode="External"/><Relationship Id="rId51" Type="http://schemas.openxmlformats.org/officeDocument/2006/relationships/hyperlink" Target="https://www.fangraphs.com/players/manny-machado/11493/stats" TargetMode="External"/><Relationship Id="rId1412" Type="http://schemas.openxmlformats.org/officeDocument/2006/relationships/hyperlink" Target="https://www.fangraphs.com/players/austin-adams/13801/stats" TargetMode="External"/><Relationship Id="rId1717" Type="http://schemas.openxmlformats.org/officeDocument/2006/relationships/hyperlink" Target="https://www.fangraphs.com/teams/orioles" TargetMode="External"/><Relationship Id="rId1924" Type="http://schemas.openxmlformats.org/officeDocument/2006/relationships/hyperlink" Target="https://www.fangraphs.com/teams/yankees" TargetMode="External"/><Relationship Id="rId298" Type="http://schemas.openxmlformats.org/officeDocument/2006/relationships/hyperlink" Target="https://www.fangraphs.com/teams/mets" TargetMode="External"/><Relationship Id="rId158" Type="http://schemas.openxmlformats.org/officeDocument/2006/relationships/hyperlink" Target="https://www.fangraphs.com/teams/mets" TargetMode="External"/><Relationship Id="rId365" Type="http://schemas.openxmlformats.org/officeDocument/2006/relationships/hyperlink" Target="https://www.fangraphs.com/players/luis-l-ortiz/27646/stats" TargetMode="External"/><Relationship Id="rId572" Type="http://schemas.openxmlformats.org/officeDocument/2006/relationships/hyperlink" Target="https://www.fangraphs.com/players/michael-kopech/17282/stats" TargetMode="External"/><Relationship Id="rId2046" Type="http://schemas.openxmlformats.org/officeDocument/2006/relationships/hyperlink" Target="https://www.fangraphs.com/teams/orioles" TargetMode="External"/><Relationship Id="rId225" Type="http://schemas.openxmlformats.org/officeDocument/2006/relationships/hyperlink" Target="https://www.fangraphs.com/players/nathan-eovaldi/9132/stats" TargetMode="External"/><Relationship Id="rId432" Type="http://schemas.openxmlformats.org/officeDocument/2006/relationships/hyperlink" Target="https://www.fangraphs.com/teams/braves" TargetMode="External"/><Relationship Id="rId877" Type="http://schemas.openxmlformats.org/officeDocument/2006/relationships/hyperlink" Target="https://www.fangraphs.com/teams/brewers" TargetMode="External"/><Relationship Id="rId1062" Type="http://schemas.openxmlformats.org/officeDocument/2006/relationships/hyperlink" Target="https://www.fangraphs.com/teams/yankees" TargetMode="External"/><Relationship Id="rId737" Type="http://schemas.openxmlformats.org/officeDocument/2006/relationships/hyperlink" Target="https://www.fangraphs.com/players/pete-fairbanks/17998/stats" TargetMode="External"/><Relationship Id="rId944" Type="http://schemas.openxmlformats.org/officeDocument/2006/relationships/hyperlink" Target="https://www.fangraphs.com/teams/padres" TargetMode="External"/><Relationship Id="rId1367" Type="http://schemas.openxmlformats.org/officeDocument/2006/relationships/hyperlink" Target="https://www.fangraphs.com/teams/guardians" TargetMode="External"/><Relationship Id="rId1574" Type="http://schemas.openxmlformats.org/officeDocument/2006/relationships/hyperlink" Target="https://www.fangraphs.com/teams/angels" TargetMode="External"/><Relationship Id="rId1781" Type="http://schemas.openxmlformats.org/officeDocument/2006/relationships/hyperlink" Target="https://www.fangraphs.com/players/luisangel-acuna/26548/stats" TargetMode="External"/><Relationship Id="rId73" Type="http://schemas.openxmlformats.org/officeDocument/2006/relationships/hyperlink" Target="https://www.fangraphs.com/players/corbin-burnes/19361/stats" TargetMode="External"/><Relationship Id="rId804" Type="http://schemas.openxmlformats.org/officeDocument/2006/relationships/hyperlink" Target="https://www.fangraphs.com/players/hunter-renfroe/15464/stats" TargetMode="External"/><Relationship Id="rId1227" Type="http://schemas.openxmlformats.org/officeDocument/2006/relationships/hyperlink" Target="https://www.fangraphs.com/teams/reds" TargetMode="External"/><Relationship Id="rId1434" Type="http://schemas.openxmlformats.org/officeDocument/2006/relationships/hyperlink" Target="https://www.fangraphs.com/players/angel-zerpa/22717/stats" TargetMode="External"/><Relationship Id="rId1641" Type="http://schemas.openxmlformats.org/officeDocument/2006/relationships/hyperlink" Target="https://www.fangraphs.com/teams/phillies" TargetMode="External"/><Relationship Id="rId1879" Type="http://schemas.openxmlformats.org/officeDocument/2006/relationships/hyperlink" Target="https://www.fangraphs.com/players/oscar-colas/30162/stats" TargetMode="External"/><Relationship Id="rId1501" Type="http://schemas.openxmlformats.org/officeDocument/2006/relationships/hyperlink" Target="https://www.fangraphs.com/teams/reds" TargetMode="External"/><Relationship Id="rId1739" Type="http://schemas.openxmlformats.org/officeDocument/2006/relationships/hyperlink" Target="https://www.fangraphs.com/players/roddery-munoz/25311/stats" TargetMode="External"/><Relationship Id="rId1946" Type="http://schemas.openxmlformats.org/officeDocument/2006/relationships/hyperlink" Target="https://www.fangraphs.com/players/matt-duffy/13836/stats" TargetMode="External"/><Relationship Id="rId1806" Type="http://schemas.openxmlformats.org/officeDocument/2006/relationships/hyperlink" Target="https://www.fangraphs.com/players/jordan-montgomery/16511/stats" TargetMode="External"/><Relationship Id="rId387" Type="http://schemas.openxmlformats.org/officeDocument/2006/relationships/hyperlink" Target="https://www.fangraphs.com/players/yusei-kikuchi/20633/stats" TargetMode="External"/><Relationship Id="rId594" Type="http://schemas.openxmlformats.org/officeDocument/2006/relationships/hyperlink" Target="https://www.fangraphs.com/teams/diamondbacks" TargetMode="External"/><Relationship Id="rId2068" Type="http://schemas.openxmlformats.org/officeDocument/2006/relationships/hyperlink" Target="https://www.fangraphs.com/teams/reds" TargetMode="External"/><Relationship Id="rId247" Type="http://schemas.openxmlformats.org/officeDocument/2006/relationships/hyperlink" Target="https://www.fangraphs.com/players/tyler-oneill/15711/stats" TargetMode="External"/><Relationship Id="rId899" Type="http://schemas.openxmlformats.org/officeDocument/2006/relationships/hyperlink" Target="https://www.fangraphs.com/teams/reds" TargetMode="External"/><Relationship Id="rId1084" Type="http://schemas.openxmlformats.org/officeDocument/2006/relationships/hyperlink" Target="https://www.fangraphs.com/players/miguel-andujar/15878/stats" TargetMode="External"/><Relationship Id="rId107" Type="http://schemas.openxmlformats.org/officeDocument/2006/relationships/hyperlink" Target="https://www.fangraphs.com/players/tyler-holton/26231/stats" TargetMode="External"/><Relationship Id="rId454" Type="http://schemas.openxmlformats.org/officeDocument/2006/relationships/hyperlink" Target="https://www.fangraphs.com/teams/angels" TargetMode="External"/><Relationship Id="rId661" Type="http://schemas.openxmlformats.org/officeDocument/2006/relationships/hyperlink" Target="https://www.fangraphs.com/players/chad-green/15552/stats" TargetMode="External"/><Relationship Id="rId759" Type="http://schemas.openxmlformats.org/officeDocument/2006/relationships/hyperlink" Target="https://www.fangraphs.com/teams/pirates" TargetMode="External"/><Relationship Id="rId966" Type="http://schemas.openxmlformats.org/officeDocument/2006/relationships/hyperlink" Target="https://www.fangraphs.com/teams/twins" TargetMode="External"/><Relationship Id="rId1291" Type="http://schemas.openxmlformats.org/officeDocument/2006/relationships/hyperlink" Target="https://www.fangraphs.com/teams/dodgers" TargetMode="External"/><Relationship Id="rId1389" Type="http://schemas.openxmlformats.org/officeDocument/2006/relationships/hyperlink" Target="https://www.fangraphs.com/teams/diamondbacks" TargetMode="External"/><Relationship Id="rId1596" Type="http://schemas.openxmlformats.org/officeDocument/2006/relationships/hyperlink" Target="https://www.fangraphs.com/teams/phillies" TargetMode="External"/><Relationship Id="rId314" Type="http://schemas.openxmlformats.org/officeDocument/2006/relationships/hyperlink" Target="https://www.fangraphs.com/teams/angels" TargetMode="External"/><Relationship Id="rId521" Type="http://schemas.openxmlformats.org/officeDocument/2006/relationships/hyperlink" Target="https://www.fangraphs.com/teams/reds" TargetMode="External"/><Relationship Id="rId619" Type="http://schemas.openxmlformats.org/officeDocument/2006/relationships/hyperlink" Target="https://www.fangraphs.com/players/porter-hodge/26413/stats" TargetMode="External"/><Relationship Id="rId1151" Type="http://schemas.openxmlformats.org/officeDocument/2006/relationships/hyperlink" Target="https://www.fangraphs.com/teams/reds" TargetMode="External"/><Relationship Id="rId1249" Type="http://schemas.openxmlformats.org/officeDocument/2006/relationships/hyperlink" Target="https://www.fangraphs.com/players/tayler-saucedo/17888/stats" TargetMode="External"/><Relationship Id="rId95" Type="http://schemas.openxmlformats.org/officeDocument/2006/relationships/hyperlink" Target="https://www.fangraphs.com/players/matt-chapman/16505/stats" TargetMode="External"/><Relationship Id="rId826" Type="http://schemas.openxmlformats.org/officeDocument/2006/relationships/hyperlink" Target="https://www.fangraphs.com/players/bryan-abreu/16609/stats" TargetMode="External"/><Relationship Id="rId1011" Type="http://schemas.openxmlformats.org/officeDocument/2006/relationships/hyperlink" Target="https://www.fangraphs.com/players/lamonte-wade-jr/18126/stats" TargetMode="External"/><Relationship Id="rId1109" Type="http://schemas.openxmlformats.org/officeDocument/2006/relationships/hyperlink" Target="https://www.fangraphs.com/teams/rockies" TargetMode="External"/><Relationship Id="rId1456" Type="http://schemas.openxmlformats.org/officeDocument/2006/relationships/hyperlink" Target="https://www.fangraphs.com/players/jhonny-pereda/19802/stats" TargetMode="External"/><Relationship Id="rId1663" Type="http://schemas.openxmlformats.org/officeDocument/2006/relationships/hyperlink" Target="https://www.fangraphs.com/players/brett-baty/26123/stats" TargetMode="External"/><Relationship Id="rId1870" Type="http://schemas.openxmlformats.org/officeDocument/2006/relationships/hyperlink" Target="https://www.fangraphs.com/players/ryan-vilade/22165/stats" TargetMode="External"/><Relationship Id="rId1968" Type="http://schemas.openxmlformats.org/officeDocument/2006/relationships/hyperlink" Target="https://www.fangraphs.com/teams/royals" TargetMode="External"/><Relationship Id="rId1316" Type="http://schemas.openxmlformats.org/officeDocument/2006/relationships/hyperlink" Target="https://www.fangraphs.com/teams/nationals" TargetMode="External"/><Relationship Id="rId1523" Type="http://schemas.openxmlformats.org/officeDocument/2006/relationships/hyperlink" Target="https://www.fangraphs.com/teams/tigers" TargetMode="External"/><Relationship Id="rId1730" Type="http://schemas.openxmlformats.org/officeDocument/2006/relationships/hyperlink" Target="https://www.fangraphs.com/teams/cubs" TargetMode="External"/><Relationship Id="rId22" Type="http://schemas.openxmlformats.org/officeDocument/2006/relationships/hyperlink" Target="https://www.fangraphs.com/teams/mets" TargetMode="External"/><Relationship Id="rId1828" Type="http://schemas.openxmlformats.org/officeDocument/2006/relationships/hyperlink" Target="https://www.fangraphs.com/players/forrest-wall/16496/stats" TargetMode="External"/><Relationship Id="rId171" Type="http://schemas.openxmlformats.org/officeDocument/2006/relationships/hyperlink" Target="https://www.fangraphs.com/players/riley-greene/25976/stats" TargetMode="External"/><Relationship Id="rId269" Type="http://schemas.openxmlformats.org/officeDocument/2006/relationships/hyperlink" Target="https://www.fangraphs.com/players/adolis-garcia/19287/stats" TargetMode="External"/><Relationship Id="rId476" Type="http://schemas.openxmlformats.org/officeDocument/2006/relationships/hyperlink" Target="https://www.fangraphs.com/teams/mariners" TargetMode="External"/><Relationship Id="rId683" Type="http://schemas.openxmlformats.org/officeDocument/2006/relationships/hyperlink" Target="https://www.fangraphs.com/players/gavin-lux/19955/stats" TargetMode="External"/><Relationship Id="rId890" Type="http://schemas.openxmlformats.org/officeDocument/2006/relationships/hyperlink" Target="https://www.fangraphs.com/players/jorge-alcala/19459/stats" TargetMode="External"/><Relationship Id="rId129" Type="http://schemas.openxmlformats.org/officeDocument/2006/relationships/hyperlink" Target="https://www.fangraphs.com/players/mookie-betts/13611/stats" TargetMode="External"/><Relationship Id="rId336" Type="http://schemas.openxmlformats.org/officeDocument/2006/relationships/hyperlink" Target="https://www.fangraphs.com/teams/twins" TargetMode="External"/><Relationship Id="rId543" Type="http://schemas.openxmlformats.org/officeDocument/2006/relationships/hyperlink" Target="https://www.fangraphs.com/teams/angels" TargetMode="External"/><Relationship Id="rId988" Type="http://schemas.openxmlformats.org/officeDocument/2006/relationships/hyperlink" Target="https://www.fangraphs.com/teams/nationals" TargetMode="External"/><Relationship Id="rId1173" Type="http://schemas.openxmlformats.org/officeDocument/2006/relationships/hyperlink" Target="https://www.fangraphs.com/players/lenyn-sosa/22896/stats" TargetMode="External"/><Relationship Id="rId1380" Type="http://schemas.openxmlformats.org/officeDocument/2006/relationships/hyperlink" Target="https://www.fangraphs.com/players/darren-mccaughan/20038/stats" TargetMode="External"/><Relationship Id="rId2017" Type="http://schemas.openxmlformats.org/officeDocument/2006/relationships/hyperlink" Target="https://www.fangraphs.com/players/bobby-dalbec/19966/stats" TargetMode="External"/><Relationship Id="rId403" Type="http://schemas.openxmlformats.org/officeDocument/2006/relationships/hyperlink" Target="https://www.fangraphs.com/players/ryan-mcmahon/15112/stats" TargetMode="External"/><Relationship Id="rId750" Type="http://schemas.openxmlformats.org/officeDocument/2006/relationships/hyperlink" Target="https://www.fangraphs.com/teams/royals" TargetMode="External"/><Relationship Id="rId848" Type="http://schemas.openxmlformats.org/officeDocument/2006/relationships/hyperlink" Target="https://www.fangraphs.com/players/kevin-pillar/12434/stats" TargetMode="External"/><Relationship Id="rId1033" Type="http://schemas.openxmlformats.org/officeDocument/2006/relationships/hyperlink" Target="https://www.fangraphs.com/players/chris-martin/11847/stats" TargetMode="External"/><Relationship Id="rId1478" Type="http://schemas.openxmlformats.org/officeDocument/2006/relationships/hyperlink" Target="https://www.fangraphs.com/teams/red-sox" TargetMode="External"/><Relationship Id="rId1685" Type="http://schemas.openxmlformats.org/officeDocument/2006/relationships/hyperlink" Target="https://www.fangraphs.com/teams/pirates" TargetMode="External"/><Relationship Id="rId1892" Type="http://schemas.openxmlformats.org/officeDocument/2006/relationships/hyperlink" Target="https://www.fangraphs.com/players/jordan-weems/13190/stats" TargetMode="External"/><Relationship Id="rId610" Type="http://schemas.openxmlformats.org/officeDocument/2006/relationships/hyperlink" Target="https://www.fangraphs.com/teams/angels" TargetMode="External"/><Relationship Id="rId708" Type="http://schemas.openxmlformats.org/officeDocument/2006/relationships/hyperlink" Target="https://www.fangraphs.com/players/justin-martinez/24453/stats" TargetMode="External"/><Relationship Id="rId915" Type="http://schemas.openxmlformats.org/officeDocument/2006/relationships/hyperlink" Target="https://www.fangraphs.com/teams/white-sox" TargetMode="External"/><Relationship Id="rId1240" Type="http://schemas.openxmlformats.org/officeDocument/2006/relationships/hyperlink" Target="https://www.fangraphs.com/players/brent-honeywell/16466/stats" TargetMode="External"/><Relationship Id="rId1338" Type="http://schemas.openxmlformats.org/officeDocument/2006/relationships/hyperlink" Target="https://www.fangraphs.com/players/trevor-richards/19309/stats" TargetMode="External"/><Relationship Id="rId1545" Type="http://schemas.openxmlformats.org/officeDocument/2006/relationships/hyperlink" Target="https://www.fangraphs.com/teams/orioles" TargetMode="External"/><Relationship Id="rId1100" Type="http://schemas.openxmlformats.org/officeDocument/2006/relationships/hyperlink" Target="https://www.fangraphs.com/players/frankie-montas/14309/stats" TargetMode="External"/><Relationship Id="rId1405" Type="http://schemas.openxmlformats.org/officeDocument/2006/relationships/hyperlink" Target="https://www.fangraphs.com/teams/twins" TargetMode="External"/><Relationship Id="rId1752" Type="http://schemas.openxmlformats.org/officeDocument/2006/relationships/hyperlink" Target="https://www.fangraphs.com/players/victor-scott-ii/31349/stats" TargetMode="External"/><Relationship Id="rId44" Type="http://schemas.openxmlformats.org/officeDocument/2006/relationships/hyperlink" Target="https://www.fangraphs.com/teams/dodgers" TargetMode="External"/><Relationship Id="rId1612" Type="http://schemas.openxmlformats.org/officeDocument/2006/relationships/hyperlink" Target="https://www.fangraphs.com/teams/white-sox" TargetMode="External"/><Relationship Id="rId1917" Type="http://schemas.openxmlformats.org/officeDocument/2006/relationships/hyperlink" Target="https://www.fangraphs.com/teams/diamondbacks" TargetMode="External"/><Relationship Id="rId193" Type="http://schemas.openxmlformats.org/officeDocument/2006/relationships/hyperlink" Target="https://www.fangraphs.com/players/jose-berrios/14168/stats" TargetMode="External"/><Relationship Id="rId498" Type="http://schemas.openxmlformats.org/officeDocument/2006/relationships/hyperlink" Target="https://www.fangraphs.com/teams/twins" TargetMode="External"/><Relationship Id="rId2081" Type="http://schemas.openxmlformats.org/officeDocument/2006/relationships/hyperlink" Target="https://www.fangraphs.com/players/alan-trejo/20056/stats" TargetMode="External"/><Relationship Id="rId260" Type="http://schemas.openxmlformats.org/officeDocument/2006/relationships/hyperlink" Target="https://www.fangraphs.com/teams/guardians" TargetMode="External"/><Relationship Id="rId120" Type="http://schemas.openxmlformats.org/officeDocument/2006/relationships/hyperlink" Target="https://www.fangraphs.com/teams/cubs" TargetMode="External"/><Relationship Id="rId358" Type="http://schemas.openxmlformats.org/officeDocument/2006/relationships/hyperlink" Target="https://www.fangraphs.com/teams/padres" TargetMode="External"/><Relationship Id="rId565" Type="http://schemas.openxmlformats.org/officeDocument/2006/relationships/hyperlink" Target="https://www.fangraphs.com/teams/tigers" TargetMode="External"/><Relationship Id="rId772" Type="http://schemas.openxmlformats.org/officeDocument/2006/relationships/hyperlink" Target="https://www.fangraphs.com/players/mickey-moniak/19956/stats" TargetMode="External"/><Relationship Id="rId1195" Type="http://schemas.openxmlformats.org/officeDocument/2006/relationships/hyperlink" Target="https://www.fangraphs.com/players/manuel-margot/14712/stats" TargetMode="External"/><Relationship Id="rId2039" Type="http://schemas.openxmlformats.org/officeDocument/2006/relationships/hyperlink" Target="https://www.fangraphs.com/players/vinny-capra/25040/stats" TargetMode="External"/><Relationship Id="rId218" Type="http://schemas.openxmlformats.org/officeDocument/2006/relationships/hyperlink" Target="https://www.fangraphs.com/teams/astros" TargetMode="External"/><Relationship Id="rId425" Type="http://schemas.openxmlformats.org/officeDocument/2006/relationships/hyperlink" Target="https://www.fangraphs.com/players/clarke-schmidt/19899/stats" TargetMode="External"/><Relationship Id="rId632" Type="http://schemas.openxmlformats.org/officeDocument/2006/relationships/hyperlink" Target="https://www.fangraphs.com/teams/brewers" TargetMode="External"/><Relationship Id="rId1055" Type="http://schemas.openxmlformats.org/officeDocument/2006/relationships/hyperlink" Target="https://www.fangraphs.com/players/sean-murphy/19352/stats" TargetMode="External"/><Relationship Id="rId1262" Type="http://schemas.openxmlformats.org/officeDocument/2006/relationships/hyperlink" Target="https://www.fangraphs.com/teams/red-sox" TargetMode="External"/><Relationship Id="rId937" Type="http://schemas.openxmlformats.org/officeDocument/2006/relationships/hyperlink" Target="https://www.fangraphs.com/players/jake-bauers/15194/stats" TargetMode="External"/><Relationship Id="rId1122" Type="http://schemas.openxmlformats.org/officeDocument/2006/relationships/hyperlink" Target="https://www.fangraphs.com/players/greg-weissert/20375/stats" TargetMode="External"/><Relationship Id="rId1567" Type="http://schemas.openxmlformats.org/officeDocument/2006/relationships/hyperlink" Target="https://www.fangraphs.com/players/rafael-montero/12760/stats" TargetMode="External"/><Relationship Id="rId1774" Type="http://schemas.openxmlformats.org/officeDocument/2006/relationships/hyperlink" Target="https://www.fangraphs.com/players/trey-cabbage/21078/stats" TargetMode="External"/><Relationship Id="rId1981" Type="http://schemas.openxmlformats.org/officeDocument/2006/relationships/hyperlink" Target="https://www.fangraphs.com/players/shay-whitcomb/27789/stats" TargetMode="External"/><Relationship Id="rId66" Type="http://schemas.openxmlformats.org/officeDocument/2006/relationships/hyperlink" Target="https://www.fangraphs.com/teams/mariners" TargetMode="External"/><Relationship Id="rId1427" Type="http://schemas.openxmlformats.org/officeDocument/2006/relationships/hyperlink" Target="https://www.fangraphs.com/players/jacob-latz/21306/stats" TargetMode="External"/><Relationship Id="rId1634" Type="http://schemas.openxmlformats.org/officeDocument/2006/relationships/hyperlink" Target="https://www.fangraphs.com/teams/cardinals" TargetMode="External"/><Relationship Id="rId1841" Type="http://schemas.openxmlformats.org/officeDocument/2006/relationships/hyperlink" Target="https://www.fangraphs.com/teams/angels" TargetMode="External"/><Relationship Id="rId1939" Type="http://schemas.openxmlformats.org/officeDocument/2006/relationships/hyperlink" Target="https://www.fangraphs.com/players/jason-vosler/16686/stats" TargetMode="External"/><Relationship Id="rId1701" Type="http://schemas.openxmlformats.org/officeDocument/2006/relationships/hyperlink" Target="https://www.fangraphs.com/teams/brewers" TargetMode="External"/><Relationship Id="rId282" Type="http://schemas.openxmlformats.org/officeDocument/2006/relationships/hyperlink" Target="https://www.fangraphs.com/teams/phillies" TargetMode="External"/><Relationship Id="rId587" Type="http://schemas.openxmlformats.org/officeDocument/2006/relationships/hyperlink" Target="https://www.fangraphs.com/players/tim-herrin/25139/stats" TargetMode="External"/><Relationship Id="rId8" Type="http://schemas.openxmlformats.org/officeDocument/2006/relationships/hyperlink" Target="https://www.fangraphs.com/teams/guardians" TargetMode="External"/><Relationship Id="rId142" Type="http://schemas.openxmlformats.org/officeDocument/2006/relationships/hyperlink" Target="https://www.fangraphs.com/teams/athletics" TargetMode="External"/><Relationship Id="rId447" Type="http://schemas.openxmlformats.org/officeDocument/2006/relationships/hyperlink" Target="https://www.fangraphs.com/players/carlos-correa/14162/stats" TargetMode="External"/><Relationship Id="rId794" Type="http://schemas.openxmlformats.org/officeDocument/2006/relationships/hyperlink" Target="https://www.fangraphs.com/players/alexis-diaz/21132/stats" TargetMode="External"/><Relationship Id="rId1077" Type="http://schemas.openxmlformats.org/officeDocument/2006/relationships/hyperlink" Target="https://www.fangraphs.com/players/jesus-tinoco/16300/stats" TargetMode="External"/><Relationship Id="rId2030" Type="http://schemas.openxmlformats.org/officeDocument/2006/relationships/hyperlink" Target="https://www.fangraphs.com/teams/orioles" TargetMode="External"/><Relationship Id="rId654" Type="http://schemas.openxmlformats.org/officeDocument/2006/relationships/hyperlink" Target="https://www.fangraphs.com/teams/tigers" TargetMode="External"/><Relationship Id="rId861" Type="http://schemas.openxmlformats.org/officeDocument/2006/relationships/hyperlink" Target="https://www.fangraphs.com/players/rowdy-tellez/15679/stats" TargetMode="External"/><Relationship Id="rId959" Type="http://schemas.openxmlformats.org/officeDocument/2006/relationships/hyperlink" Target="https://www.fangraphs.com/players/pierce-johnson/13435/stats" TargetMode="External"/><Relationship Id="rId1284" Type="http://schemas.openxmlformats.org/officeDocument/2006/relationships/hyperlink" Target="https://www.fangraphs.com/players/fernando-cruz/7048/stats" TargetMode="External"/><Relationship Id="rId1491" Type="http://schemas.openxmlformats.org/officeDocument/2006/relationships/hyperlink" Target="https://www.fangraphs.com/teams/mets" TargetMode="External"/><Relationship Id="rId1589" Type="http://schemas.openxmlformats.org/officeDocument/2006/relationships/hyperlink" Target="https://www.fangraphs.com/players/jake-bird/21267/stats" TargetMode="External"/><Relationship Id="rId307" Type="http://schemas.openxmlformats.org/officeDocument/2006/relationships/hyperlink" Target="https://www.fangraphs.com/players/kyle-tucker/18345/stats" TargetMode="External"/><Relationship Id="rId514" Type="http://schemas.openxmlformats.org/officeDocument/2006/relationships/hyperlink" Target="https://www.fangraphs.com/teams/diamondbacks" TargetMode="External"/><Relationship Id="rId721" Type="http://schemas.openxmlformats.org/officeDocument/2006/relationships/hyperlink" Target="https://www.fangraphs.com/players/dj-herz/26389/stats" TargetMode="External"/><Relationship Id="rId1144" Type="http://schemas.openxmlformats.org/officeDocument/2006/relationships/hyperlink" Target="https://www.fangraphs.com/players/shawn-armstrong/12857/stats" TargetMode="External"/><Relationship Id="rId1351" Type="http://schemas.openxmlformats.org/officeDocument/2006/relationships/hyperlink" Target="https://www.fangraphs.com/teams/mets" TargetMode="External"/><Relationship Id="rId1449" Type="http://schemas.openxmlformats.org/officeDocument/2006/relationships/hyperlink" Target="https://www.fangraphs.com/teams/tigers" TargetMode="External"/><Relationship Id="rId1796" Type="http://schemas.openxmlformats.org/officeDocument/2006/relationships/hyperlink" Target="https://www.fangraphs.com/teams/white-sox" TargetMode="External"/><Relationship Id="rId88" Type="http://schemas.openxmlformats.org/officeDocument/2006/relationships/hyperlink" Target="https://www.fangraphs.com/teams/brewers" TargetMode="External"/><Relationship Id="rId819" Type="http://schemas.openxmlformats.org/officeDocument/2006/relationships/hyperlink" Target="https://www.fangraphs.com/teams/mets" TargetMode="External"/><Relationship Id="rId1004" Type="http://schemas.openxmlformats.org/officeDocument/2006/relationships/hyperlink" Target="https://www.fangraphs.com/teams/white-sox" TargetMode="External"/><Relationship Id="rId1211" Type="http://schemas.openxmlformats.org/officeDocument/2006/relationships/hyperlink" Target="https://www.fangraphs.com/players/justin-verlander/8700/stats" TargetMode="External"/><Relationship Id="rId1656" Type="http://schemas.openxmlformats.org/officeDocument/2006/relationships/hyperlink" Target="https://www.fangraphs.com/teams/blue-jays" TargetMode="External"/><Relationship Id="rId1863" Type="http://schemas.openxmlformats.org/officeDocument/2006/relationships/hyperlink" Target="https://www.fangraphs.com/teams/phillies" TargetMode="External"/><Relationship Id="rId1309" Type="http://schemas.openxmlformats.org/officeDocument/2006/relationships/hyperlink" Target="https://www.fangraphs.com/players/zebby-matthews/31827/stats" TargetMode="External"/><Relationship Id="rId1516" Type="http://schemas.openxmlformats.org/officeDocument/2006/relationships/hyperlink" Target="https://www.fangraphs.com/players/addison-barger/24598/stats" TargetMode="External"/><Relationship Id="rId1723" Type="http://schemas.openxmlformats.org/officeDocument/2006/relationships/hyperlink" Target="https://www.fangraphs.com/players/danny-mendick/18889/stats" TargetMode="External"/><Relationship Id="rId1930" Type="http://schemas.openxmlformats.org/officeDocument/2006/relationships/hyperlink" Target="https://www.fangraphs.com/players/jp-martinez/24451/stats" TargetMode="External"/><Relationship Id="rId15" Type="http://schemas.openxmlformats.org/officeDocument/2006/relationships/hyperlink" Target="https://www.fangraphs.com/players/zack-wheeler/10310/stats" TargetMode="External"/><Relationship Id="rId164" Type="http://schemas.openxmlformats.org/officeDocument/2006/relationships/hyperlink" Target="https://www.fangraphs.com/teams/guardians" TargetMode="External"/><Relationship Id="rId371" Type="http://schemas.openxmlformats.org/officeDocument/2006/relationships/hyperlink" Target="https://www.fangraphs.com/players/gerrit-cole/13125/stats" TargetMode="External"/><Relationship Id="rId2052" Type="http://schemas.openxmlformats.org/officeDocument/2006/relationships/hyperlink" Target="https://www.fangraphs.com/teams/white-sox" TargetMode="External"/><Relationship Id="rId469" Type="http://schemas.openxmlformats.org/officeDocument/2006/relationships/hyperlink" Target="https://www.fangraphs.com/players/shane-baz/22264/stats" TargetMode="External"/><Relationship Id="rId676" Type="http://schemas.openxmlformats.org/officeDocument/2006/relationships/hyperlink" Target="https://www.fangraphs.com/teams/cubs" TargetMode="External"/><Relationship Id="rId883" Type="http://schemas.openxmlformats.org/officeDocument/2006/relationships/hyperlink" Target="https://www.fangraphs.com/teams/tigers" TargetMode="External"/><Relationship Id="rId1099" Type="http://schemas.openxmlformats.org/officeDocument/2006/relationships/hyperlink" Target="https://www.fangraphs.com/teams/royals" TargetMode="External"/><Relationship Id="rId231" Type="http://schemas.openxmlformats.org/officeDocument/2006/relationships/hyperlink" Target="https://www.fangraphs.com/players/jake-burger/22275/stats" TargetMode="External"/><Relationship Id="rId329" Type="http://schemas.openxmlformats.org/officeDocument/2006/relationships/hyperlink" Target="https://www.fangraphs.com/players/jt-realmuto/11739/stats" TargetMode="External"/><Relationship Id="rId536" Type="http://schemas.openxmlformats.org/officeDocument/2006/relationships/hyperlink" Target="https://www.fangraphs.com/players/joey-ortiz/25493/stats" TargetMode="External"/><Relationship Id="rId1166" Type="http://schemas.openxmlformats.org/officeDocument/2006/relationships/hyperlink" Target="https://www.fangraphs.com/players/john-schreiber/20020/stats" TargetMode="External"/><Relationship Id="rId1373" Type="http://schemas.openxmlformats.org/officeDocument/2006/relationships/hyperlink" Target="https://www.fangraphs.com/teams/rockies" TargetMode="External"/><Relationship Id="rId743" Type="http://schemas.openxmlformats.org/officeDocument/2006/relationships/hyperlink" Target="https://www.fangraphs.com/players/dylan-lee/19996/stats" TargetMode="External"/><Relationship Id="rId950" Type="http://schemas.openxmlformats.org/officeDocument/2006/relationships/hyperlink" Target="https://www.fangraphs.com/teams/brewers" TargetMode="External"/><Relationship Id="rId1026" Type="http://schemas.openxmlformats.org/officeDocument/2006/relationships/hyperlink" Target="https://www.fangraphs.com/teams/phillies" TargetMode="External"/><Relationship Id="rId1580" Type="http://schemas.openxmlformats.org/officeDocument/2006/relationships/hyperlink" Target="https://www.fangraphs.com/teams/giants" TargetMode="External"/><Relationship Id="rId1678" Type="http://schemas.openxmlformats.org/officeDocument/2006/relationships/hyperlink" Target="https://www.fangraphs.com/players/anthony-rendon/12861/stats" TargetMode="External"/><Relationship Id="rId1885" Type="http://schemas.openxmlformats.org/officeDocument/2006/relationships/hyperlink" Target="https://www.fangraphs.com/teams/angels" TargetMode="External"/><Relationship Id="rId603" Type="http://schemas.openxmlformats.org/officeDocument/2006/relationships/hyperlink" Target="https://www.fangraphs.com/players/jake-irvin/21504/stats" TargetMode="External"/><Relationship Id="rId810" Type="http://schemas.openxmlformats.org/officeDocument/2006/relationships/hyperlink" Target="https://www.fangraphs.com/players/tommy-pham/2967/stats" TargetMode="External"/><Relationship Id="rId908" Type="http://schemas.openxmlformats.org/officeDocument/2006/relationships/hyperlink" Target="https://www.fangraphs.com/players/oswaldo-cabrera/21707/stats" TargetMode="External"/><Relationship Id="rId1233" Type="http://schemas.openxmlformats.org/officeDocument/2006/relationships/hyperlink" Target="https://www.fangraphs.com/teams/dodgers" TargetMode="External"/><Relationship Id="rId1440" Type="http://schemas.openxmlformats.org/officeDocument/2006/relationships/hyperlink" Target="https://www.fangraphs.com/players/declan-cronin/25645/stats" TargetMode="External"/><Relationship Id="rId1538" Type="http://schemas.openxmlformats.org/officeDocument/2006/relationships/hyperlink" Target="https://www.fangraphs.com/players/rob-brantly/10655/stats" TargetMode="External"/><Relationship Id="rId1300" Type="http://schemas.openxmlformats.org/officeDocument/2006/relationships/hyperlink" Target="https://www.fangraphs.com/players/patrick-sandoval/19447/stats" TargetMode="External"/><Relationship Id="rId1745" Type="http://schemas.openxmlformats.org/officeDocument/2006/relationships/hyperlink" Target="https://www.fangraphs.com/players/sean-bouchard/21270/stats" TargetMode="External"/><Relationship Id="rId1952" Type="http://schemas.openxmlformats.org/officeDocument/2006/relationships/hyperlink" Target="https://www.fangraphs.com/players/darren-baker/29912/stats" TargetMode="External"/><Relationship Id="rId37" Type="http://schemas.openxmlformats.org/officeDocument/2006/relationships/hyperlink" Target="https://www.fangraphs.com/players/willy-adames/15986/stats" TargetMode="External"/><Relationship Id="rId1605" Type="http://schemas.openxmlformats.org/officeDocument/2006/relationships/hyperlink" Target="https://www.fangraphs.com/players/evan-carter/27790/stats" TargetMode="External"/><Relationship Id="rId1812" Type="http://schemas.openxmlformats.org/officeDocument/2006/relationships/hyperlink" Target="https://www.fangraphs.com/players/luis-guillorme/16451/stats" TargetMode="External"/><Relationship Id="rId186" Type="http://schemas.openxmlformats.org/officeDocument/2006/relationships/hyperlink" Target="https://www.fangraphs.com/teams/brewers" TargetMode="External"/><Relationship Id="rId393" Type="http://schemas.openxmlformats.org/officeDocument/2006/relationships/hyperlink" Target="https://www.fangraphs.com/players/josh-smith/26396/stats" TargetMode="External"/><Relationship Id="rId2074" Type="http://schemas.openxmlformats.org/officeDocument/2006/relationships/hyperlink" Target="https://www.fangraphs.com/teams/twins" TargetMode="External"/><Relationship Id="rId253" Type="http://schemas.openxmlformats.org/officeDocument/2006/relationships/hyperlink" Target="https://www.fangraphs.com/players/vinnie-pasquantino/27676/stats" TargetMode="External"/><Relationship Id="rId460" Type="http://schemas.openxmlformats.org/officeDocument/2006/relationships/hyperlink" Target="https://www.fangraphs.com/teams/yankees" TargetMode="External"/><Relationship Id="rId698" Type="http://schemas.openxmlformats.org/officeDocument/2006/relationships/hyperlink" Target="https://www.fangraphs.com/players/hayden-wesneski/27581/stats" TargetMode="External"/><Relationship Id="rId1090" Type="http://schemas.openxmlformats.org/officeDocument/2006/relationships/hyperlink" Target="https://www.fangraphs.com/players/austin-voth/15047/stats" TargetMode="External"/><Relationship Id="rId113" Type="http://schemas.openxmlformats.org/officeDocument/2006/relationships/hyperlink" Target="https://www.fangraphs.com/players/cole-ragans/21846/stats" TargetMode="External"/><Relationship Id="rId320" Type="http://schemas.openxmlformats.org/officeDocument/2006/relationships/hyperlink" Target="https://www.fangraphs.com/teams/cubs" TargetMode="External"/><Relationship Id="rId558" Type="http://schemas.openxmlformats.org/officeDocument/2006/relationships/hyperlink" Target="https://www.fangraphs.com/players/jared-jones/27863/stats" TargetMode="External"/><Relationship Id="rId765" Type="http://schemas.openxmlformats.org/officeDocument/2006/relationships/hyperlink" Target="https://www.fangraphs.com/teams/reds" TargetMode="External"/><Relationship Id="rId972" Type="http://schemas.openxmlformats.org/officeDocument/2006/relationships/hyperlink" Target="https://www.fangraphs.com/teams/athletics" TargetMode="External"/><Relationship Id="rId1188" Type="http://schemas.openxmlformats.org/officeDocument/2006/relationships/hyperlink" Target="https://www.fangraphs.com/teams/braves" TargetMode="External"/><Relationship Id="rId1395" Type="http://schemas.openxmlformats.org/officeDocument/2006/relationships/hyperlink" Target="https://www.fangraphs.com/teams/guardians" TargetMode="External"/><Relationship Id="rId2001" Type="http://schemas.openxmlformats.org/officeDocument/2006/relationships/hyperlink" Target="https://www.fangraphs.com/teams/brewers" TargetMode="External"/><Relationship Id="rId418" Type="http://schemas.openxmlformats.org/officeDocument/2006/relationships/hyperlink" Target="https://www.fangraphs.com/teams/nationals" TargetMode="External"/><Relationship Id="rId625" Type="http://schemas.openxmlformats.org/officeDocument/2006/relationships/hyperlink" Target="https://www.fangraphs.com/players/jp-sears/23429/stats" TargetMode="External"/><Relationship Id="rId832" Type="http://schemas.openxmlformats.org/officeDocument/2006/relationships/hyperlink" Target="https://www.fangraphs.com/players/hayden-birdsong/31635/stats" TargetMode="External"/><Relationship Id="rId1048" Type="http://schemas.openxmlformats.org/officeDocument/2006/relationships/hyperlink" Target="https://www.fangraphs.com/teams/phillies" TargetMode="External"/><Relationship Id="rId1255" Type="http://schemas.openxmlformats.org/officeDocument/2006/relationships/hyperlink" Target="https://www.fangraphs.com/players/connor-norby/29592/stats" TargetMode="External"/><Relationship Id="rId1462" Type="http://schemas.openxmlformats.org/officeDocument/2006/relationships/hyperlink" Target="https://www.fangraphs.com/players/dane-myers/22054/stats" TargetMode="External"/><Relationship Id="rId1115" Type="http://schemas.openxmlformats.org/officeDocument/2006/relationships/hyperlink" Target="https://www.fangraphs.com/teams/cardinals" TargetMode="External"/><Relationship Id="rId1322" Type="http://schemas.openxmlformats.org/officeDocument/2006/relationships/hyperlink" Target="https://www.fangraphs.com/teams/red-sox" TargetMode="External"/><Relationship Id="rId1767" Type="http://schemas.openxmlformats.org/officeDocument/2006/relationships/hyperlink" Target="https://www.fangraphs.com/teams/diamondbacks" TargetMode="External"/><Relationship Id="rId1974" Type="http://schemas.openxmlformats.org/officeDocument/2006/relationships/hyperlink" Target="https://www.fangraphs.com/players/pablo-reyes/16357/stats" TargetMode="External"/><Relationship Id="rId59" Type="http://schemas.openxmlformats.org/officeDocument/2006/relationships/hyperlink" Target="https://www.fangraphs.com/players/jackson-merrill/29490/stats" TargetMode="External"/><Relationship Id="rId1627" Type="http://schemas.openxmlformats.org/officeDocument/2006/relationships/hyperlink" Target="https://www.fangraphs.com/players/enyel-de-los-santos/18403/stats" TargetMode="External"/><Relationship Id="rId1834" Type="http://schemas.openxmlformats.org/officeDocument/2006/relationships/hyperlink" Target="https://www.fangraphs.com/players/blake-dunn/29487/stats" TargetMode="External"/><Relationship Id="rId1901" Type="http://schemas.openxmlformats.org/officeDocument/2006/relationships/hyperlink" Target="https://www.fangraphs.com/players/rafael-ortega/10323/stats" TargetMode="External"/><Relationship Id="rId275" Type="http://schemas.openxmlformats.org/officeDocument/2006/relationships/hyperlink" Target="https://www.fangraphs.com/players/tobias-myers/22191/stats" TargetMode="External"/><Relationship Id="rId482" Type="http://schemas.openxmlformats.org/officeDocument/2006/relationships/hyperlink" Target="https://www.fangraphs.com/teams/astros" TargetMode="External"/><Relationship Id="rId135" Type="http://schemas.openxmlformats.org/officeDocument/2006/relationships/hyperlink" Target="https://www.fangraphs.com/players/zach-neto/31347/stats" TargetMode="External"/><Relationship Id="rId342" Type="http://schemas.openxmlformats.org/officeDocument/2006/relationships/hyperlink" Target="https://www.fangraphs.com/teams/yankees" TargetMode="External"/><Relationship Id="rId787" Type="http://schemas.openxmlformats.org/officeDocument/2006/relationships/hyperlink" Target="https://www.fangraphs.com/players/max-scherzer/3137/stats" TargetMode="External"/><Relationship Id="rId994" Type="http://schemas.openxmlformats.org/officeDocument/2006/relationships/hyperlink" Target="https://www.fangraphs.com/players/ryne-stanek/15947/stats" TargetMode="External"/><Relationship Id="rId2023" Type="http://schemas.openxmlformats.org/officeDocument/2006/relationships/hyperlink" Target="https://www.fangraphs.com/players/taijuan-walker/11836/stats" TargetMode="External"/><Relationship Id="rId202" Type="http://schemas.openxmlformats.org/officeDocument/2006/relationships/hyperlink" Target="https://www.fangraphs.com/teams/rangers" TargetMode="External"/><Relationship Id="rId647" Type="http://schemas.openxmlformats.org/officeDocument/2006/relationships/hyperlink" Target="https://www.fangraphs.com/players/alejandro-kirk/22581/stats" TargetMode="External"/><Relationship Id="rId854" Type="http://schemas.openxmlformats.org/officeDocument/2006/relationships/hyperlink" Target="https://www.fangraphs.com/teams/astros" TargetMode="External"/><Relationship Id="rId1277" Type="http://schemas.openxmlformats.org/officeDocument/2006/relationships/hyperlink" Target="https://www.fangraphs.com/players/jose-herrera/17040/stats" TargetMode="External"/><Relationship Id="rId1484" Type="http://schemas.openxmlformats.org/officeDocument/2006/relationships/hyperlink" Target="https://www.fangraphs.com/players/seby-zavala/18887/stats" TargetMode="External"/><Relationship Id="rId1691" Type="http://schemas.openxmlformats.org/officeDocument/2006/relationships/hyperlink" Target="https://www.fangraphs.com/teams/diamondbacks" TargetMode="External"/><Relationship Id="rId507" Type="http://schemas.openxmlformats.org/officeDocument/2006/relationships/hyperlink" Target="https://www.fangraphs.com/players/jose-soriano/22100/stats" TargetMode="External"/><Relationship Id="rId714" Type="http://schemas.openxmlformats.org/officeDocument/2006/relationships/hyperlink" Target="https://www.fangraphs.com/players/randal-grichuk/10243/stats" TargetMode="External"/><Relationship Id="rId921" Type="http://schemas.openxmlformats.org/officeDocument/2006/relationships/hyperlink" Target="https://www.fangraphs.com/teams/royals" TargetMode="External"/><Relationship Id="rId1137" Type="http://schemas.openxmlformats.org/officeDocument/2006/relationships/hyperlink" Target="https://www.fangraphs.com/teams/brewers" TargetMode="External"/><Relationship Id="rId1344" Type="http://schemas.openxmlformats.org/officeDocument/2006/relationships/hyperlink" Target="https://www.fangraphs.com/players/nelson-velazquez/23359/stats" TargetMode="External"/><Relationship Id="rId1551" Type="http://schemas.openxmlformats.org/officeDocument/2006/relationships/hyperlink" Target="https://www.fangraphs.com/teams/pirates" TargetMode="External"/><Relationship Id="rId1789" Type="http://schemas.openxmlformats.org/officeDocument/2006/relationships/hyperlink" Target="https://www.fangraphs.com/players/brett-harris/29788/stats" TargetMode="External"/><Relationship Id="rId1996" Type="http://schemas.openxmlformats.org/officeDocument/2006/relationships/hyperlink" Target="https://www.fangraphs.com/players/dustin-harris/25705/stats" TargetMode="External"/><Relationship Id="rId50" Type="http://schemas.openxmlformats.org/officeDocument/2006/relationships/hyperlink" Target="https://www.fangraphs.com/teams/cubs" TargetMode="External"/><Relationship Id="rId1204" Type="http://schemas.openxmlformats.org/officeDocument/2006/relationships/hyperlink" Target="https://www.fangraphs.com/teams/cubs" TargetMode="External"/><Relationship Id="rId1411" Type="http://schemas.openxmlformats.org/officeDocument/2006/relationships/hyperlink" Target="https://www.fangraphs.com/teams/orioles" TargetMode="External"/><Relationship Id="rId1649" Type="http://schemas.openxmlformats.org/officeDocument/2006/relationships/hyperlink" Target="https://www.fangraphs.com/players/alek-thomas/23792/stats" TargetMode="External"/><Relationship Id="rId1856" Type="http://schemas.openxmlformats.org/officeDocument/2006/relationships/hyperlink" Target="https://www.fangraphs.com/players/brandon-lockridge/21496/stats" TargetMode="External"/><Relationship Id="rId1509" Type="http://schemas.openxmlformats.org/officeDocument/2006/relationships/hyperlink" Target="https://www.fangraphs.com/teams/blue-jays" TargetMode="External"/><Relationship Id="rId1716" Type="http://schemas.openxmlformats.org/officeDocument/2006/relationships/hyperlink" Target="https://www.fangraphs.com/players/trevor-rogers/22286/stats" TargetMode="External"/><Relationship Id="rId1923" Type="http://schemas.openxmlformats.org/officeDocument/2006/relationships/hyperlink" Target="https://www.fangraphs.com/players/oswald-peraza/22823/stats" TargetMode="External"/><Relationship Id="rId297" Type="http://schemas.openxmlformats.org/officeDocument/2006/relationships/hyperlink" Target="https://www.fangraphs.com/players/jose-butto/23313/stats" TargetMode="External"/><Relationship Id="rId157" Type="http://schemas.openxmlformats.org/officeDocument/2006/relationships/hyperlink" Target="https://www.fangraphs.com/players/brandon-nimmo/12927/stats" TargetMode="External"/><Relationship Id="rId364" Type="http://schemas.openxmlformats.org/officeDocument/2006/relationships/hyperlink" Target="https://www.fangraphs.com/teams/mets" TargetMode="External"/><Relationship Id="rId2045" Type="http://schemas.openxmlformats.org/officeDocument/2006/relationships/hyperlink" Target="https://www.fangraphs.com/players/coby-mayo/28312/stats" TargetMode="External"/><Relationship Id="rId571" Type="http://schemas.openxmlformats.org/officeDocument/2006/relationships/hyperlink" Target="https://www.fangraphs.com/teams/marlins" TargetMode="External"/><Relationship Id="rId669" Type="http://schemas.openxmlformats.org/officeDocument/2006/relationships/hyperlink" Target="https://www.fangraphs.com/players/justin-turner/5235/stats" TargetMode="External"/><Relationship Id="rId876" Type="http://schemas.openxmlformats.org/officeDocument/2006/relationships/hyperlink" Target="https://www.fangraphs.com/players/mark-canha/11445/stats" TargetMode="External"/><Relationship Id="rId1299" Type="http://schemas.openxmlformats.org/officeDocument/2006/relationships/hyperlink" Target="https://www.fangraphs.com/players/cole-irvin/19244/stats" TargetMode="External"/><Relationship Id="rId224" Type="http://schemas.openxmlformats.org/officeDocument/2006/relationships/hyperlink" Target="https://www.fangraphs.com/teams/red-sox" TargetMode="External"/><Relationship Id="rId431" Type="http://schemas.openxmlformats.org/officeDocument/2006/relationships/hyperlink" Target="https://www.fangraphs.com/players/michael-harris-ii/25931/stats" TargetMode="External"/><Relationship Id="rId529" Type="http://schemas.openxmlformats.org/officeDocument/2006/relationships/hyperlink" Target="https://www.fangraphs.com/players/kyle-higashioka/5517/stats" TargetMode="External"/><Relationship Id="rId736" Type="http://schemas.openxmlformats.org/officeDocument/2006/relationships/hyperlink" Target="https://www.fangraphs.com/teams/royals" TargetMode="External"/><Relationship Id="rId1061" Type="http://schemas.openxmlformats.org/officeDocument/2006/relationships/hyperlink" Target="https://www.fangraphs.com/players/marcus-stroman/13431/stats" TargetMode="External"/><Relationship Id="rId1159" Type="http://schemas.openxmlformats.org/officeDocument/2006/relationships/hyperlink" Target="https://www.fangraphs.com/teams/pirates" TargetMode="External"/><Relationship Id="rId1366" Type="http://schemas.openxmlformats.org/officeDocument/2006/relationships/hyperlink" Target="https://www.fangraphs.com/players/austin-hedges/12976/stats" TargetMode="External"/><Relationship Id="rId943" Type="http://schemas.openxmlformats.org/officeDocument/2006/relationships/hyperlink" Target="https://www.fangraphs.com/players/bryan-hoeing/26304/stats" TargetMode="External"/><Relationship Id="rId1019" Type="http://schemas.openxmlformats.org/officeDocument/2006/relationships/hyperlink" Target="https://www.fangraphs.com/players/christian-bethancourt/10028/stats" TargetMode="External"/><Relationship Id="rId1573" Type="http://schemas.openxmlformats.org/officeDocument/2006/relationships/hyperlink" Target="https://www.fangraphs.com/players/reid-detmers/27468/stats" TargetMode="External"/><Relationship Id="rId1780" Type="http://schemas.openxmlformats.org/officeDocument/2006/relationships/hyperlink" Target="https://www.fangraphs.com/teams/angels" TargetMode="External"/><Relationship Id="rId1878" Type="http://schemas.openxmlformats.org/officeDocument/2006/relationships/hyperlink" Target="https://www.fangraphs.com/teams/pirates" TargetMode="External"/><Relationship Id="rId72" Type="http://schemas.openxmlformats.org/officeDocument/2006/relationships/hyperlink" Target="https://www.fangraphs.com/teams/braves" TargetMode="External"/><Relationship Id="rId803" Type="http://schemas.openxmlformats.org/officeDocument/2006/relationships/hyperlink" Target="https://www.fangraphs.com/teams/orioles" TargetMode="External"/><Relationship Id="rId1226" Type="http://schemas.openxmlformats.org/officeDocument/2006/relationships/hyperlink" Target="https://www.fangraphs.com/players/graham-ashcraft/27552/stats" TargetMode="External"/><Relationship Id="rId1433" Type="http://schemas.openxmlformats.org/officeDocument/2006/relationships/hyperlink" Target="https://www.fangraphs.com/teams/royals" TargetMode="External"/><Relationship Id="rId1640" Type="http://schemas.openxmlformats.org/officeDocument/2006/relationships/hyperlink" Target="https://www.fangraphs.com/players/kody-clemens/20572/stats" TargetMode="External"/><Relationship Id="rId1738" Type="http://schemas.openxmlformats.org/officeDocument/2006/relationships/hyperlink" Target="https://www.fangraphs.com/teams/braves" TargetMode="External"/><Relationship Id="rId1500" Type="http://schemas.openxmlformats.org/officeDocument/2006/relationships/hyperlink" Target="https://www.fangraphs.com/players/noelvi-marte/26517/stats" TargetMode="External"/><Relationship Id="rId1945" Type="http://schemas.openxmlformats.org/officeDocument/2006/relationships/hyperlink" Target="https://www.fangraphs.com/teams/cardinals" TargetMode="External"/><Relationship Id="rId1805" Type="http://schemas.openxmlformats.org/officeDocument/2006/relationships/hyperlink" Target="https://www.fangraphs.com/teams/dodgers" TargetMode="External"/><Relationship Id="rId179" Type="http://schemas.openxmlformats.org/officeDocument/2006/relationships/hyperlink" Target="https://www.fangraphs.com/players/alex-bregman/17678/stats" TargetMode="External"/><Relationship Id="rId386" Type="http://schemas.openxmlformats.org/officeDocument/2006/relationships/hyperlink" Target="https://www.fangraphs.com/teams/cubs" TargetMode="External"/><Relationship Id="rId593" Type="http://schemas.openxmlformats.org/officeDocument/2006/relationships/hyperlink" Target="https://www.fangraphs.com/players/ryne-nelson/26253/stats" TargetMode="External"/><Relationship Id="rId2067" Type="http://schemas.openxmlformats.org/officeDocument/2006/relationships/hyperlink" Target="https://www.fangraphs.com/players/edwin-rios/18316/stats" TargetMode="External"/><Relationship Id="rId246" Type="http://schemas.openxmlformats.org/officeDocument/2006/relationships/hyperlink" Target="https://www.fangraphs.com/teams/athletics" TargetMode="External"/><Relationship Id="rId453" Type="http://schemas.openxmlformats.org/officeDocument/2006/relationships/hyperlink" Target="https://www.fangraphs.com/players/travis-darnaud/7739/stats" TargetMode="External"/><Relationship Id="rId660" Type="http://schemas.openxmlformats.org/officeDocument/2006/relationships/hyperlink" Target="https://www.fangraphs.com/teams/royals" TargetMode="External"/><Relationship Id="rId898" Type="http://schemas.openxmlformats.org/officeDocument/2006/relationships/hyperlink" Target="https://www.fangraphs.com/players/santiago-espinal/19997/stats" TargetMode="External"/><Relationship Id="rId1083" Type="http://schemas.openxmlformats.org/officeDocument/2006/relationships/hyperlink" Target="https://www.fangraphs.com/teams/athletics" TargetMode="External"/><Relationship Id="rId1290" Type="http://schemas.openxmlformats.org/officeDocument/2006/relationships/hyperlink" Target="https://www.fangraphs.com/players/eddie-rosario/12155/stats" TargetMode="External"/><Relationship Id="rId106" Type="http://schemas.openxmlformats.org/officeDocument/2006/relationships/hyperlink" Target="https://www.fangraphs.com/teams/dodgers" TargetMode="External"/><Relationship Id="rId313" Type="http://schemas.openxmlformats.org/officeDocument/2006/relationships/hyperlink" Target="https://www.fangraphs.com/players/jorge-soler/14221/stats" TargetMode="External"/><Relationship Id="rId758" Type="http://schemas.openxmlformats.org/officeDocument/2006/relationships/hyperlink" Target="https://www.fangraphs.com/players/andrew-heaney/15423/stats" TargetMode="External"/><Relationship Id="rId965" Type="http://schemas.openxmlformats.org/officeDocument/2006/relationships/hyperlink" Target="https://www.fangraphs.com/players/matt-wallner/26466/stats" TargetMode="External"/><Relationship Id="rId1150" Type="http://schemas.openxmlformats.org/officeDocument/2006/relationships/hyperlink" Target="https://www.fangraphs.com/players/brent-suter/13942/stats" TargetMode="External"/><Relationship Id="rId1388" Type="http://schemas.openxmlformats.org/officeDocument/2006/relationships/hyperlink" Target="https://www.fangraphs.com/players/ildemaro-vargas/13324/stats" TargetMode="External"/><Relationship Id="rId1595" Type="http://schemas.openxmlformats.org/officeDocument/2006/relationships/hyperlink" Target="https://www.fangraphs.com/players/weston-wilson/19358/stats" TargetMode="External"/><Relationship Id="rId94" Type="http://schemas.openxmlformats.org/officeDocument/2006/relationships/hyperlink" Target="https://www.fangraphs.com/teams/phillies" TargetMode="External"/><Relationship Id="rId520" Type="http://schemas.openxmlformats.org/officeDocument/2006/relationships/hyperlink" Target="https://www.fangraphs.com/players/andrew-abbott/29911/stats" TargetMode="External"/><Relationship Id="rId618" Type="http://schemas.openxmlformats.org/officeDocument/2006/relationships/hyperlink" Target="https://www.fangraphs.com/teams/rockies" TargetMode="External"/><Relationship Id="rId825" Type="http://schemas.openxmlformats.org/officeDocument/2006/relationships/hyperlink" Target="https://www.fangraphs.com/teams/red-sox" TargetMode="External"/><Relationship Id="rId1248" Type="http://schemas.openxmlformats.org/officeDocument/2006/relationships/hyperlink" Target="https://www.fangraphs.com/teams/rockies" TargetMode="External"/><Relationship Id="rId1455" Type="http://schemas.openxmlformats.org/officeDocument/2006/relationships/hyperlink" Target="https://www.fangraphs.com/teams/dodgers" TargetMode="External"/><Relationship Id="rId1662" Type="http://schemas.openxmlformats.org/officeDocument/2006/relationships/hyperlink" Target="https://www.fangraphs.com/teams/giants" TargetMode="External"/><Relationship Id="rId1010" Type="http://schemas.openxmlformats.org/officeDocument/2006/relationships/hyperlink" Target="https://www.fangraphs.com/teams/pirates" TargetMode="External"/><Relationship Id="rId1108" Type="http://schemas.openxmlformats.org/officeDocument/2006/relationships/hyperlink" Target="https://www.fangraphs.com/players/thairo-estrada/16426/stats" TargetMode="External"/><Relationship Id="rId1315" Type="http://schemas.openxmlformats.org/officeDocument/2006/relationships/hyperlink" Target="https://www.fangraphs.com/players/riley-adams/19864/stats" TargetMode="External"/><Relationship Id="rId1967" Type="http://schemas.openxmlformats.org/officeDocument/2006/relationships/hyperlink" Target="https://www.fangraphs.com/players/joey-wiemer/27690/stats" TargetMode="External"/><Relationship Id="rId1522" Type="http://schemas.openxmlformats.org/officeDocument/2006/relationships/hyperlink" Target="https://www.fangraphs.com/players/brian-serven/19422/stats" TargetMode="External"/><Relationship Id="rId21" Type="http://schemas.openxmlformats.org/officeDocument/2006/relationships/hyperlink" Target="https://www.fangraphs.com/players/francisco-lindor/12916/stats" TargetMode="External"/><Relationship Id="rId268" Type="http://schemas.openxmlformats.org/officeDocument/2006/relationships/hyperlink" Target="https://www.fangraphs.com/teams/cardinals" TargetMode="External"/><Relationship Id="rId475" Type="http://schemas.openxmlformats.org/officeDocument/2006/relationships/hyperlink" Target="https://www.fangraphs.com/players/victor-robles/18363/stats" TargetMode="External"/><Relationship Id="rId682" Type="http://schemas.openxmlformats.org/officeDocument/2006/relationships/hyperlink" Target="https://www.fangraphs.com/teams/athletics" TargetMode="External"/><Relationship Id="rId128" Type="http://schemas.openxmlformats.org/officeDocument/2006/relationships/hyperlink" Target="https://www.fangraphs.com/teams/mets" TargetMode="External"/><Relationship Id="rId335" Type="http://schemas.openxmlformats.org/officeDocument/2006/relationships/hyperlink" Target="https://www.fangraphs.com/players/byron-buxton/14161/stats" TargetMode="External"/><Relationship Id="rId542" Type="http://schemas.openxmlformats.org/officeDocument/2006/relationships/hyperlink" Target="https://www.fangraphs.com/players/nolan-schanuel/33189/stats" TargetMode="External"/><Relationship Id="rId1172" Type="http://schemas.openxmlformats.org/officeDocument/2006/relationships/hyperlink" Target="https://www.fangraphs.com/teams/marlins" TargetMode="External"/><Relationship Id="rId2016" Type="http://schemas.openxmlformats.org/officeDocument/2006/relationships/hyperlink" Target="https://www.fangraphs.com/teams/rays" TargetMode="External"/><Relationship Id="rId402" Type="http://schemas.openxmlformats.org/officeDocument/2006/relationships/hyperlink" Target="https://www.fangraphs.com/teams/orioles" TargetMode="External"/><Relationship Id="rId1032" Type="http://schemas.openxmlformats.org/officeDocument/2006/relationships/hyperlink" Target="https://www.fangraphs.com/teams/white-sox" TargetMode="External"/><Relationship Id="rId1989" Type="http://schemas.openxmlformats.org/officeDocument/2006/relationships/hyperlink" Target="https://www.fangraphs.com/players/luis-de-los-santos/21682/stats" TargetMode="External"/><Relationship Id="rId1849" Type="http://schemas.openxmlformats.org/officeDocument/2006/relationships/hyperlink" Target="https://www.fangraphs.com/teams/tigers" TargetMode="External"/><Relationship Id="rId192" Type="http://schemas.openxmlformats.org/officeDocument/2006/relationships/hyperlink" Target="https://www.fangraphs.com/teams/diamondbacks" TargetMode="External"/><Relationship Id="rId1709" Type="http://schemas.openxmlformats.org/officeDocument/2006/relationships/hyperlink" Target="https://www.fangraphs.com/teams/red-sox" TargetMode="External"/><Relationship Id="rId1916" Type="http://schemas.openxmlformats.org/officeDocument/2006/relationships/hyperlink" Target="https://www.fangraphs.com/players/jorge-barrosa/23968/stats" TargetMode="External"/><Relationship Id="rId2080" Type="http://schemas.openxmlformats.org/officeDocument/2006/relationships/hyperlink" Target="https://www.fangraphs.com/teams/brav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9E54-99E5-4537-A261-1352C227AF32}">
  <sheetPr filterMode="1"/>
  <dimension ref="A1:O213"/>
  <sheetViews>
    <sheetView tabSelected="1" topLeftCell="D1" workbookViewId="0">
      <selection activeCell="N16" sqref="N16"/>
    </sheetView>
  </sheetViews>
  <sheetFormatPr baseColWidth="10" defaultColWidth="8.83203125" defaultRowHeight="15" x14ac:dyDescent="0.2"/>
  <cols>
    <col min="1" max="1" width="19.33203125" bestFit="1" customWidth="1"/>
    <col min="2" max="2" width="22.33203125" customWidth="1"/>
    <col min="3" max="3" width="20.1640625" customWidth="1"/>
    <col min="4" max="4" width="17.83203125" customWidth="1"/>
    <col min="6" max="6" width="17.1640625" bestFit="1" customWidth="1"/>
    <col min="7" max="7" width="24.33203125" customWidth="1"/>
    <col min="9" max="9" width="10.1640625" bestFit="1" customWidth="1"/>
    <col min="10" max="10" width="9.5" bestFit="1" customWidth="1"/>
    <col min="12" max="12" width="25.33203125" bestFit="1" customWidth="1"/>
    <col min="13" max="13" width="21.1640625" bestFit="1" customWidth="1"/>
    <col min="14" max="14" width="37.1640625" bestFit="1" customWidth="1"/>
    <col min="15" max="15" width="10.5" bestFit="1" customWidth="1"/>
  </cols>
  <sheetData>
    <row r="1" spans="1:15" x14ac:dyDescent="0.2">
      <c r="A1" s="1" t="s">
        <v>248</v>
      </c>
      <c r="B1" s="1" t="s">
        <v>249</v>
      </c>
      <c r="C1" s="1" t="s">
        <v>250</v>
      </c>
      <c r="D1" s="1" t="s">
        <v>251</v>
      </c>
    </row>
    <row r="2" spans="1:15" x14ac:dyDescent="0.2">
      <c r="A2">
        <v>1</v>
      </c>
      <c r="B2" t="s">
        <v>1</v>
      </c>
      <c r="C2" t="s">
        <v>5</v>
      </c>
      <c r="D2" t="s">
        <v>9</v>
      </c>
    </row>
    <row r="3" spans="1:15" x14ac:dyDescent="0.2">
      <c r="A3">
        <v>2</v>
      </c>
      <c r="B3" t="s">
        <v>7</v>
      </c>
      <c r="C3" t="s">
        <v>199</v>
      </c>
      <c r="D3" t="s">
        <v>14</v>
      </c>
    </row>
    <row r="4" spans="1:15" x14ac:dyDescent="0.2">
      <c r="A4">
        <v>3</v>
      </c>
      <c r="B4" t="s">
        <v>21</v>
      </c>
      <c r="C4" t="s">
        <v>27</v>
      </c>
      <c r="D4" t="s">
        <v>268</v>
      </c>
      <c r="H4" s="22"/>
      <c r="I4" s="22" t="s">
        <v>1430</v>
      </c>
      <c r="J4" s="22" t="s">
        <v>1428</v>
      </c>
      <c r="K4" s="22" t="s">
        <v>1429</v>
      </c>
      <c r="L4" s="22" t="s">
        <v>1431</v>
      </c>
      <c r="M4" s="22" t="s">
        <v>1432</v>
      </c>
      <c r="N4" s="22" t="s">
        <v>1433</v>
      </c>
      <c r="O4" s="22" t="s">
        <v>1451</v>
      </c>
    </row>
    <row r="5" spans="1:15" x14ac:dyDescent="0.2">
      <c r="A5">
        <v>4</v>
      </c>
      <c r="B5" t="s">
        <v>25</v>
      </c>
      <c r="C5" t="s">
        <v>222</v>
      </c>
      <c r="D5" t="s">
        <v>221</v>
      </c>
      <c r="H5" t="s">
        <v>1418</v>
      </c>
      <c r="I5">
        <v>7</v>
      </c>
      <c r="J5">
        <v>6</v>
      </c>
      <c r="K5">
        <v>7</v>
      </c>
      <c r="L5" t="s">
        <v>215</v>
      </c>
      <c r="M5" t="s">
        <v>223</v>
      </c>
      <c r="N5" t="s">
        <v>1427</v>
      </c>
      <c r="O5">
        <v>16.600000000000001</v>
      </c>
    </row>
    <row r="6" spans="1:15" x14ac:dyDescent="0.2">
      <c r="A6">
        <v>5</v>
      </c>
      <c r="B6" t="s">
        <v>205</v>
      </c>
      <c r="C6" t="s">
        <v>269</v>
      </c>
      <c r="D6" t="s">
        <v>270</v>
      </c>
      <c r="H6" t="s">
        <v>1417</v>
      </c>
      <c r="I6">
        <v>6</v>
      </c>
      <c r="J6">
        <v>2</v>
      </c>
      <c r="K6">
        <v>16</v>
      </c>
      <c r="L6" t="s">
        <v>205</v>
      </c>
      <c r="M6" t="s">
        <v>1434</v>
      </c>
      <c r="N6" t="s">
        <v>37</v>
      </c>
      <c r="O6">
        <v>13.8</v>
      </c>
    </row>
    <row r="7" spans="1:15" x14ac:dyDescent="0.2">
      <c r="A7">
        <v>6</v>
      </c>
      <c r="B7" t="s">
        <v>215</v>
      </c>
      <c r="C7" t="s">
        <v>206</v>
      </c>
      <c r="D7" t="s">
        <v>271</v>
      </c>
      <c r="H7" t="s">
        <v>1419</v>
      </c>
      <c r="I7">
        <v>8</v>
      </c>
      <c r="J7">
        <v>7</v>
      </c>
      <c r="K7">
        <v>19</v>
      </c>
      <c r="L7" t="s">
        <v>1435</v>
      </c>
      <c r="M7" t="s">
        <v>206</v>
      </c>
      <c r="N7" t="s">
        <v>1436</v>
      </c>
    </row>
    <row r="8" spans="1:15" x14ac:dyDescent="0.2">
      <c r="A8">
        <v>7</v>
      </c>
      <c r="B8" t="s">
        <v>252</v>
      </c>
      <c r="C8" t="s">
        <v>272</v>
      </c>
      <c r="D8" t="s">
        <v>273</v>
      </c>
      <c r="H8" t="s">
        <v>1421</v>
      </c>
      <c r="I8">
        <v>4</v>
      </c>
      <c r="J8">
        <v>3</v>
      </c>
      <c r="K8">
        <v>15</v>
      </c>
      <c r="L8" t="s">
        <v>25</v>
      </c>
      <c r="M8" t="s">
        <v>25</v>
      </c>
      <c r="N8" t="s">
        <v>1438</v>
      </c>
    </row>
    <row r="9" spans="1:15" x14ac:dyDescent="0.2">
      <c r="A9">
        <v>8</v>
      </c>
      <c r="B9" t="s">
        <v>253</v>
      </c>
      <c r="C9" t="s">
        <v>274</v>
      </c>
      <c r="D9" t="s">
        <v>275</v>
      </c>
      <c r="H9" t="s">
        <v>1420</v>
      </c>
      <c r="I9">
        <v>3</v>
      </c>
      <c r="J9">
        <v>2</v>
      </c>
      <c r="K9">
        <v>10</v>
      </c>
      <c r="L9" t="s">
        <v>1437</v>
      </c>
      <c r="M9" t="s">
        <v>29</v>
      </c>
      <c r="N9" t="s">
        <v>202</v>
      </c>
    </row>
    <row r="10" spans="1:15" x14ac:dyDescent="0.2">
      <c r="A10">
        <v>9</v>
      </c>
      <c r="B10" t="s">
        <v>254</v>
      </c>
      <c r="C10" t="s">
        <v>276</v>
      </c>
      <c r="D10" t="s">
        <v>224</v>
      </c>
      <c r="H10" t="s">
        <v>1422</v>
      </c>
      <c r="I10">
        <v>1</v>
      </c>
      <c r="J10">
        <v>1</v>
      </c>
      <c r="K10">
        <v>2</v>
      </c>
      <c r="L10" t="s">
        <v>9</v>
      </c>
      <c r="M10" t="s">
        <v>1</v>
      </c>
      <c r="N10" t="s">
        <v>1446</v>
      </c>
    </row>
    <row r="11" spans="1:15" x14ac:dyDescent="0.2">
      <c r="A11">
        <v>10</v>
      </c>
      <c r="B11" t="s">
        <v>255</v>
      </c>
      <c r="C11" t="s">
        <v>203</v>
      </c>
      <c r="D11" t="s">
        <v>256</v>
      </c>
      <c r="H11" t="s">
        <v>1422</v>
      </c>
      <c r="I11">
        <v>2</v>
      </c>
      <c r="J11">
        <v>2</v>
      </c>
      <c r="K11">
        <v>4</v>
      </c>
      <c r="L11" t="s">
        <v>1447</v>
      </c>
      <c r="M11" t="s">
        <v>7</v>
      </c>
      <c r="N11" t="s">
        <v>1439</v>
      </c>
    </row>
    <row r="12" spans="1:15" x14ac:dyDescent="0.2">
      <c r="A12">
        <v>11</v>
      </c>
      <c r="B12" t="s">
        <v>256</v>
      </c>
      <c r="C12" t="s">
        <v>277</v>
      </c>
      <c r="D12" t="s">
        <v>278</v>
      </c>
      <c r="H12" t="s">
        <v>1422</v>
      </c>
      <c r="I12">
        <v>11</v>
      </c>
      <c r="J12">
        <v>4</v>
      </c>
      <c r="K12">
        <v>13</v>
      </c>
      <c r="L12" t="s">
        <v>203</v>
      </c>
      <c r="M12" t="s">
        <v>1440</v>
      </c>
      <c r="N12" t="s">
        <v>257</v>
      </c>
    </row>
    <row r="13" spans="1:15" x14ac:dyDescent="0.2">
      <c r="A13">
        <v>12</v>
      </c>
      <c r="B13" t="s">
        <v>257</v>
      </c>
      <c r="C13" t="s">
        <v>202</v>
      </c>
      <c r="D13" t="s">
        <v>279</v>
      </c>
      <c r="H13" t="s">
        <v>1423</v>
      </c>
      <c r="I13">
        <v>9</v>
      </c>
      <c r="J13">
        <v>5</v>
      </c>
      <c r="K13">
        <v>11</v>
      </c>
      <c r="L13" t="s">
        <v>219</v>
      </c>
      <c r="M13" t="s">
        <v>12</v>
      </c>
      <c r="N13" t="s">
        <v>202</v>
      </c>
    </row>
    <row r="14" spans="1:15" x14ac:dyDescent="0.2">
      <c r="A14">
        <v>13</v>
      </c>
      <c r="B14" t="s">
        <v>258</v>
      </c>
      <c r="C14" t="s">
        <v>257</v>
      </c>
      <c r="D14" t="s">
        <v>280</v>
      </c>
      <c r="H14" t="s">
        <v>1423</v>
      </c>
      <c r="I14">
        <v>13</v>
      </c>
      <c r="J14">
        <v>11</v>
      </c>
      <c r="K14">
        <v>20</v>
      </c>
      <c r="L14" t="s">
        <v>257</v>
      </c>
      <c r="M14" t="s">
        <v>202</v>
      </c>
      <c r="N14" t="s">
        <v>23</v>
      </c>
    </row>
    <row r="15" spans="1:15" x14ac:dyDescent="0.2">
      <c r="A15">
        <v>14</v>
      </c>
      <c r="B15" t="s">
        <v>282</v>
      </c>
      <c r="C15" t="s">
        <v>259</v>
      </c>
      <c r="D15" t="s">
        <v>260</v>
      </c>
      <c r="H15" t="s">
        <v>1424</v>
      </c>
      <c r="I15">
        <v>5</v>
      </c>
      <c r="J15">
        <v>4</v>
      </c>
      <c r="K15">
        <v>8</v>
      </c>
      <c r="L15" t="s">
        <v>269</v>
      </c>
      <c r="M15" t="s">
        <v>1441</v>
      </c>
      <c r="N15" t="s">
        <v>1454</v>
      </c>
    </row>
    <row r="16" spans="1:15" x14ac:dyDescent="0.2">
      <c r="A16">
        <v>15</v>
      </c>
      <c r="B16" t="s">
        <v>260</v>
      </c>
      <c r="C16" t="s">
        <v>283</v>
      </c>
      <c r="D16" t="s">
        <v>284</v>
      </c>
      <c r="H16" t="s">
        <v>1424</v>
      </c>
      <c r="I16">
        <v>10</v>
      </c>
      <c r="J16">
        <v>9</v>
      </c>
      <c r="K16">
        <v>12</v>
      </c>
      <c r="L16" t="s">
        <v>256</v>
      </c>
      <c r="M16" t="s">
        <v>1450</v>
      </c>
      <c r="N16" t="s">
        <v>279</v>
      </c>
    </row>
    <row r="17" spans="1:14" x14ac:dyDescent="0.2">
      <c r="A17">
        <v>16</v>
      </c>
      <c r="B17" t="s">
        <v>261</v>
      </c>
      <c r="C17" t="s">
        <v>283</v>
      </c>
      <c r="D17" t="s">
        <v>285</v>
      </c>
      <c r="H17" t="s">
        <v>1425</v>
      </c>
      <c r="I17">
        <v>15</v>
      </c>
      <c r="J17">
        <v>12</v>
      </c>
      <c r="K17">
        <v>19</v>
      </c>
      <c r="L17" t="s">
        <v>966</v>
      </c>
      <c r="M17" t="s">
        <v>1031</v>
      </c>
      <c r="N17" t="s">
        <v>289</v>
      </c>
    </row>
    <row r="18" spans="1:14" x14ac:dyDescent="0.2">
      <c r="A18">
        <v>17</v>
      </c>
      <c r="B18" t="s">
        <v>37</v>
      </c>
      <c r="C18" t="s">
        <v>287</v>
      </c>
      <c r="D18" t="s">
        <v>237</v>
      </c>
      <c r="H18" t="s">
        <v>1425</v>
      </c>
      <c r="I18">
        <v>18</v>
      </c>
      <c r="J18">
        <v>15</v>
      </c>
      <c r="K18">
        <v>20</v>
      </c>
      <c r="L18" t="s">
        <v>289</v>
      </c>
      <c r="M18" t="s">
        <v>966</v>
      </c>
      <c r="N18" t="s">
        <v>1442</v>
      </c>
    </row>
    <row r="19" spans="1:14" x14ac:dyDescent="0.2">
      <c r="A19">
        <v>18</v>
      </c>
      <c r="B19" t="s">
        <v>262</v>
      </c>
      <c r="C19" t="s">
        <v>287</v>
      </c>
      <c r="D19" t="s">
        <v>285</v>
      </c>
      <c r="H19" t="s">
        <v>1426</v>
      </c>
      <c r="I19">
        <v>12</v>
      </c>
      <c r="J19">
        <v>11</v>
      </c>
      <c r="K19">
        <v>17</v>
      </c>
      <c r="L19" t="s">
        <v>279</v>
      </c>
      <c r="M19" t="s">
        <v>256</v>
      </c>
      <c r="N19" t="s">
        <v>1404</v>
      </c>
    </row>
    <row r="20" spans="1:14" x14ac:dyDescent="0.2">
      <c r="A20">
        <v>19</v>
      </c>
      <c r="B20" t="s">
        <v>263</v>
      </c>
      <c r="C20" t="s">
        <v>212</v>
      </c>
      <c r="D20" t="s">
        <v>288</v>
      </c>
      <c r="H20" t="s">
        <v>1426</v>
      </c>
      <c r="I20">
        <v>14</v>
      </c>
      <c r="J20">
        <v>13</v>
      </c>
      <c r="K20">
        <v>18</v>
      </c>
      <c r="L20" t="s">
        <v>1404</v>
      </c>
      <c r="M20" t="s">
        <v>279</v>
      </c>
      <c r="N20" t="s">
        <v>1445</v>
      </c>
    </row>
    <row r="21" spans="1:14" x14ac:dyDescent="0.2">
      <c r="A21">
        <v>20</v>
      </c>
      <c r="B21" t="s">
        <v>264</v>
      </c>
      <c r="C21" t="s">
        <v>34</v>
      </c>
      <c r="D21" t="s">
        <v>243</v>
      </c>
      <c r="H21" t="s">
        <v>1426</v>
      </c>
      <c r="I21">
        <v>16</v>
      </c>
      <c r="J21">
        <v>15</v>
      </c>
      <c r="K21">
        <v>19</v>
      </c>
      <c r="L21" t="s">
        <v>1444</v>
      </c>
      <c r="M21" t="s">
        <v>999</v>
      </c>
      <c r="N21" t="s">
        <v>287</v>
      </c>
    </row>
    <row r="22" spans="1:14" x14ac:dyDescent="0.2">
      <c r="A22">
        <v>21</v>
      </c>
      <c r="B22" t="s">
        <v>291</v>
      </c>
      <c r="C22" t="s">
        <v>19</v>
      </c>
      <c r="D22" t="s">
        <v>289</v>
      </c>
      <c r="H22" t="s">
        <v>1426</v>
      </c>
      <c r="I22">
        <v>17</v>
      </c>
      <c r="J22">
        <v>16</v>
      </c>
      <c r="K22">
        <v>20</v>
      </c>
      <c r="L22" t="s">
        <v>1449</v>
      </c>
      <c r="M22" t="s">
        <v>1444</v>
      </c>
      <c r="N22" t="s">
        <v>1448</v>
      </c>
    </row>
    <row r="23" spans="1:14" x14ac:dyDescent="0.2">
      <c r="A23">
        <v>22</v>
      </c>
      <c r="B23" t="s">
        <v>289</v>
      </c>
      <c r="C23" t="s">
        <v>265</v>
      </c>
      <c r="D23" t="s">
        <v>23</v>
      </c>
      <c r="H23" t="s">
        <v>1423</v>
      </c>
      <c r="I23">
        <v>19</v>
      </c>
      <c r="J23">
        <v>17</v>
      </c>
      <c r="K23">
        <v>22</v>
      </c>
      <c r="L23" t="s">
        <v>19</v>
      </c>
      <c r="M23" t="s">
        <v>23</v>
      </c>
      <c r="N23" t="s">
        <v>291</v>
      </c>
    </row>
    <row r="24" spans="1:14" x14ac:dyDescent="0.2">
      <c r="A24">
        <v>23</v>
      </c>
      <c r="B24" t="s">
        <v>293</v>
      </c>
      <c r="C24" t="s">
        <v>19</v>
      </c>
      <c r="D24" t="s">
        <v>292</v>
      </c>
      <c r="H24" t="s">
        <v>1423</v>
      </c>
      <c r="I24">
        <v>20</v>
      </c>
      <c r="J24">
        <v>18</v>
      </c>
      <c r="K24">
        <v>23</v>
      </c>
      <c r="L24" t="s">
        <v>291</v>
      </c>
      <c r="M24" t="s">
        <v>19</v>
      </c>
      <c r="N24" t="s">
        <v>583</v>
      </c>
    </row>
    <row r="25" spans="1:14" x14ac:dyDescent="0.2">
      <c r="A25">
        <v>24</v>
      </c>
      <c r="B25" t="s">
        <v>267</v>
      </c>
      <c r="C25" t="s">
        <v>226</v>
      </c>
      <c r="D25" t="s">
        <v>266</v>
      </c>
      <c r="H25" t="s">
        <v>1426</v>
      </c>
      <c r="I25">
        <v>21</v>
      </c>
      <c r="J25">
        <v>19</v>
      </c>
      <c r="K25">
        <v>21</v>
      </c>
      <c r="L25" t="s">
        <v>1085</v>
      </c>
      <c r="M25" t="s">
        <v>1449</v>
      </c>
      <c r="N25" t="s">
        <v>264</v>
      </c>
    </row>
    <row r="26" spans="1:14" x14ac:dyDescent="0.2">
      <c r="H26" t="s">
        <v>1426</v>
      </c>
      <c r="I26">
        <v>22</v>
      </c>
      <c r="J26">
        <v>20</v>
      </c>
      <c r="K26">
        <v>22</v>
      </c>
      <c r="L26" t="s">
        <v>1064</v>
      </c>
      <c r="M26" t="s">
        <v>1085</v>
      </c>
      <c r="N26" t="s">
        <v>980</v>
      </c>
    </row>
    <row r="27" spans="1:14" x14ac:dyDescent="0.2">
      <c r="H27" t="s">
        <v>1426</v>
      </c>
      <c r="I27">
        <v>23</v>
      </c>
      <c r="J27">
        <v>21</v>
      </c>
      <c r="K27">
        <v>23</v>
      </c>
      <c r="L27" t="s">
        <v>1166</v>
      </c>
      <c r="M27" t="s">
        <v>1064</v>
      </c>
      <c r="N27" t="s">
        <v>1443</v>
      </c>
    </row>
    <row r="29" spans="1:14" x14ac:dyDescent="0.2">
      <c r="L29" t="s">
        <v>1452</v>
      </c>
      <c r="M29" t="s">
        <v>1453</v>
      </c>
    </row>
    <row r="31" spans="1:14" x14ac:dyDescent="0.2">
      <c r="A31" s="1" t="s">
        <v>187</v>
      </c>
      <c r="B31" s="1" t="s">
        <v>1409</v>
      </c>
      <c r="C31" s="1" t="s">
        <v>40</v>
      </c>
      <c r="D31" s="1" t="s">
        <v>297</v>
      </c>
      <c r="E31" s="1" t="s">
        <v>248</v>
      </c>
      <c r="F31" s="1" t="s">
        <v>1410</v>
      </c>
      <c r="G31" s="1" t="s">
        <v>1411</v>
      </c>
      <c r="H31" s="1"/>
    </row>
    <row r="32" spans="1:14" hidden="1" x14ac:dyDescent="0.2">
      <c r="A32" t="s">
        <v>5</v>
      </c>
      <c r="B32" t="s">
        <v>306</v>
      </c>
      <c r="C32" s="19">
        <v>0.92943644999999997</v>
      </c>
      <c r="D32">
        <v>1.5</v>
      </c>
      <c r="E32">
        <v>1</v>
      </c>
      <c r="F32" t="s">
        <v>6</v>
      </c>
      <c r="G32" t="e">
        <v>#N/A</v>
      </c>
    </row>
    <row r="33" spans="1:7" hidden="1" x14ac:dyDescent="0.2">
      <c r="A33" t="s">
        <v>1</v>
      </c>
      <c r="B33" t="s">
        <v>309</v>
      </c>
      <c r="C33" s="19">
        <v>0.91629530000000003</v>
      </c>
      <c r="D33">
        <v>3.4</v>
      </c>
      <c r="E33">
        <v>1</v>
      </c>
      <c r="F33" t="s">
        <v>1412</v>
      </c>
      <c r="G33" t="e">
        <v>#N/A</v>
      </c>
    </row>
    <row r="34" spans="1:7" hidden="1" x14ac:dyDescent="0.2">
      <c r="A34" t="s">
        <v>35</v>
      </c>
      <c r="B34" t="s">
        <v>321</v>
      </c>
      <c r="C34" s="19">
        <v>0.91178219999999999</v>
      </c>
      <c r="D34">
        <v>14.4</v>
      </c>
      <c r="E34">
        <v>2</v>
      </c>
      <c r="F34" t="s">
        <v>1412</v>
      </c>
      <c r="G34" t="e">
        <v>#N/A</v>
      </c>
    </row>
    <row r="35" spans="1:7" hidden="1" x14ac:dyDescent="0.2">
      <c r="A35" t="s">
        <v>198</v>
      </c>
      <c r="B35" t="s">
        <v>195</v>
      </c>
      <c r="C35" s="19">
        <v>0.91174140000000004</v>
      </c>
      <c r="D35">
        <v>10.6</v>
      </c>
      <c r="E35">
        <v>1</v>
      </c>
      <c r="F35" t="s">
        <v>1412</v>
      </c>
      <c r="G35" t="e">
        <v>#N/A</v>
      </c>
    </row>
    <row r="36" spans="1:7" hidden="1" x14ac:dyDescent="0.2">
      <c r="A36" t="s">
        <v>293</v>
      </c>
      <c r="B36" t="s">
        <v>197</v>
      </c>
      <c r="C36" s="19">
        <v>0.91593469999999999</v>
      </c>
      <c r="D36" t="e">
        <v>#N/A</v>
      </c>
      <c r="E36" t="e">
        <v>#N/A</v>
      </c>
      <c r="F36" t="e">
        <v>#N/A</v>
      </c>
      <c r="G36" t="e">
        <v>#N/A</v>
      </c>
    </row>
    <row r="37" spans="1:7" hidden="1" x14ac:dyDescent="0.2">
      <c r="A37" t="s">
        <v>9</v>
      </c>
      <c r="B37" t="s">
        <v>195</v>
      </c>
      <c r="C37" s="19">
        <v>0.86973935000000002</v>
      </c>
      <c r="D37">
        <v>7.8</v>
      </c>
      <c r="E37">
        <v>1</v>
      </c>
      <c r="F37" t="s">
        <v>1412</v>
      </c>
      <c r="G37" t="e">
        <v>#N/A</v>
      </c>
    </row>
    <row r="38" spans="1:7" hidden="1" x14ac:dyDescent="0.2">
      <c r="A38" t="s">
        <v>1414</v>
      </c>
      <c r="B38" t="s">
        <v>197</v>
      </c>
      <c r="C38" s="19">
        <v>0.89849199999999996</v>
      </c>
      <c r="D38" t="e">
        <v>#N/A</v>
      </c>
      <c r="E38" t="e">
        <v>#N/A</v>
      </c>
      <c r="F38" t="e">
        <v>#N/A</v>
      </c>
      <c r="G38" t="e">
        <v>#N/A</v>
      </c>
    </row>
    <row r="39" spans="1:7" hidden="1" x14ac:dyDescent="0.2">
      <c r="A39" t="s">
        <v>7</v>
      </c>
      <c r="B39" t="s">
        <v>309</v>
      </c>
      <c r="C39" s="19">
        <v>0.86548610000000004</v>
      </c>
      <c r="D39">
        <v>17.600000000000001</v>
      </c>
      <c r="E39">
        <v>2</v>
      </c>
      <c r="F39" t="s">
        <v>6</v>
      </c>
      <c r="G39" t="e">
        <v>#N/A</v>
      </c>
    </row>
    <row r="40" spans="1:7" hidden="1" x14ac:dyDescent="0.2">
      <c r="A40" t="s">
        <v>1144</v>
      </c>
      <c r="B40" t="s">
        <v>197</v>
      </c>
      <c r="C40" s="19">
        <v>0.89844780000000002</v>
      </c>
      <c r="D40" t="e">
        <v>#N/A</v>
      </c>
      <c r="E40" t="e">
        <v>#N/A</v>
      </c>
      <c r="F40" t="e">
        <v>#N/A</v>
      </c>
      <c r="G40" t="e">
        <v>#N/A</v>
      </c>
    </row>
    <row r="41" spans="1:7" hidden="1" x14ac:dyDescent="0.2">
      <c r="A41" t="s">
        <v>199</v>
      </c>
      <c r="B41" t="s">
        <v>193</v>
      </c>
      <c r="C41" s="19">
        <v>0.85800560000000003</v>
      </c>
      <c r="D41">
        <v>34.799999999999997</v>
      </c>
      <c r="E41">
        <v>3</v>
      </c>
      <c r="F41" t="s">
        <v>6</v>
      </c>
      <c r="G41" t="e">
        <v>#N/A</v>
      </c>
    </row>
    <row r="42" spans="1:7" hidden="1" x14ac:dyDescent="0.2">
      <c r="A42" t="s">
        <v>1207</v>
      </c>
      <c r="B42" t="s">
        <v>197</v>
      </c>
      <c r="C42" s="19">
        <v>0.89481204999999997</v>
      </c>
      <c r="D42">
        <v>240</v>
      </c>
      <c r="E42">
        <v>20</v>
      </c>
      <c r="F42" t="e">
        <v>#N/A</v>
      </c>
      <c r="G42" t="e">
        <v>#N/A</v>
      </c>
    </row>
    <row r="43" spans="1:7" hidden="1" x14ac:dyDescent="0.2">
      <c r="A43" t="s">
        <v>289</v>
      </c>
      <c r="B43" t="s">
        <v>197</v>
      </c>
      <c r="C43" s="19">
        <v>0.88249339999999998</v>
      </c>
      <c r="D43">
        <v>239</v>
      </c>
      <c r="E43">
        <v>20</v>
      </c>
      <c r="F43" t="e">
        <v>#N/A</v>
      </c>
      <c r="G43" t="e">
        <v>#N/A</v>
      </c>
    </row>
    <row r="44" spans="1:7" hidden="1" x14ac:dyDescent="0.2">
      <c r="A44" t="s">
        <v>200</v>
      </c>
      <c r="B44" t="s">
        <v>193</v>
      </c>
      <c r="C44" s="19">
        <v>0.84943590000000002</v>
      </c>
      <c r="D44">
        <v>29.5</v>
      </c>
      <c r="E44">
        <v>3</v>
      </c>
      <c r="F44" t="s">
        <v>6</v>
      </c>
      <c r="G44" t="e">
        <v>#N/A</v>
      </c>
    </row>
    <row r="45" spans="1:7" hidden="1" x14ac:dyDescent="0.2">
      <c r="A45" t="s">
        <v>1292</v>
      </c>
      <c r="B45" t="s">
        <v>197</v>
      </c>
      <c r="C45" s="19">
        <v>0.88222929999999999</v>
      </c>
      <c r="D45" t="e">
        <v>#N/A</v>
      </c>
      <c r="E45" t="e">
        <v>#N/A</v>
      </c>
      <c r="F45" t="e">
        <v>#N/A</v>
      </c>
      <c r="G45" t="e">
        <v>#N/A</v>
      </c>
    </row>
    <row r="46" spans="1:7" hidden="1" x14ac:dyDescent="0.2">
      <c r="A46" t="s">
        <v>11</v>
      </c>
      <c r="B46" t="s">
        <v>194</v>
      </c>
      <c r="C46" s="19">
        <v>0.84757923999999996</v>
      </c>
      <c r="D46">
        <v>1.6</v>
      </c>
      <c r="E46">
        <v>1</v>
      </c>
      <c r="F46" t="s">
        <v>1412</v>
      </c>
      <c r="G46" t="e">
        <v>#N/A</v>
      </c>
    </row>
    <row r="47" spans="1:7" hidden="1" x14ac:dyDescent="0.2">
      <c r="A47" t="s">
        <v>291</v>
      </c>
      <c r="B47" t="s">
        <v>359</v>
      </c>
      <c r="C47" s="19">
        <v>0.82757979999999998</v>
      </c>
      <c r="D47" t="e">
        <v>#N/A</v>
      </c>
      <c r="E47" t="e">
        <v>#N/A</v>
      </c>
      <c r="F47" t="e">
        <v>#N/A</v>
      </c>
      <c r="G47" t="e">
        <v>#N/A</v>
      </c>
    </row>
    <row r="48" spans="1:7" hidden="1" x14ac:dyDescent="0.2">
      <c r="A48" t="s">
        <v>967</v>
      </c>
      <c r="B48" t="s">
        <v>197</v>
      </c>
      <c r="C48" s="19">
        <v>0.87516254000000004</v>
      </c>
      <c r="D48">
        <v>50.7</v>
      </c>
      <c r="E48">
        <v>5</v>
      </c>
      <c r="F48" t="e">
        <v>#N/A</v>
      </c>
      <c r="G48" t="e">
        <v>#N/A</v>
      </c>
    </row>
    <row r="49" spans="1:7" x14ac:dyDescent="0.2">
      <c r="A49" t="s">
        <v>987</v>
      </c>
      <c r="B49" t="s">
        <v>196</v>
      </c>
      <c r="C49" s="19">
        <v>0.84137620000000002</v>
      </c>
      <c r="D49">
        <v>40.6</v>
      </c>
      <c r="E49">
        <v>4</v>
      </c>
      <c r="F49" t="e">
        <v>#N/A</v>
      </c>
      <c r="G49" t="e">
        <v>#N/A</v>
      </c>
    </row>
    <row r="50" spans="1:7" x14ac:dyDescent="0.2">
      <c r="A50" t="s">
        <v>952</v>
      </c>
      <c r="B50" t="s">
        <v>196</v>
      </c>
      <c r="C50" s="19">
        <v>0.83403899999999997</v>
      </c>
      <c r="D50">
        <v>11.3</v>
      </c>
      <c r="E50">
        <v>1</v>
      </c>
      <c r="F50" t="e">
        <v>#N/A</v>
      </c>
      <c r="G50" t="e">
        <v>#N/A</v>
      </c>
    </row>
    <row r="51" spans="1:7" hidden="1" x14ac:dyDescent="0.2">
      <c r="A51" t="s">
        <v>1064</v>
      </c>
      <c r="B51" t="s">
        <v>197</v>
      </c>
      <c r="C51" s="19">
        <v>0.87516254000000004</v>
      </c>
      <c r="D51">
        <v>254</v>
      </c>
      <c r="E51">
        <v>22</v>
      </c>
      <c r="F51" t="e">
        <v>#N/A</v>
      </c>
      <c r="G51" t="e">
        <v>#N/A</v>
      </c>
    </row>
    <row r="52" spans="1:7" hidden="1" x14ac:dyDescent="0.2">
      <c r="A52" t="s">
        <v>1166</v>
      </c>
      <c r="B52" t="s">
        <v>197</v>
      </c>
      <c r="C52" s="19">
        <v>0.87165486999999997</v>
      </c>
      <c r="D52" t="e">
        <v>#N/A</v>
      </c>
      <c r="E52" t="e">
        <v>#N/A</v>
      </c>
      <c r="F52" t="e">
        <v>#N/A</v>
      </c>
      <c r="G52" t="e">
        <v>#N/A</v>
      </c>
    </row>
    <row r="53" spans="1:7" hidden="1" x14ac:dyDescent="0.2">
      <c r="A53" t="s">
        <v>25</v>
      </c>
      <c r="B53" t="s">
        <v>194</v>
      </c>
      <c r="C53" s="19">
        <v>0.75745605999999999</v>
      </c>
      <c r="D53">
        <v>40</v>
      </c>
      <c r="E53">
        <v>4</v>
      </c>
      <c r="F53" t="s">
        <v>6</v>
      </c>
      <c r="G53" t="e">
        <v>#N/A</v>
      </c>
    </row>
    <row r="54" spans="1:7" x14ac:dyDescent="0.2">
      <c r="A54" t="s">
        <v>268</v>
      </c>
      <c r="B54" t="s">
        <v>196</v>
      </c>
      <c r="C54" s="19">
        <v>0.80664670000000005</v>
      </c>
      <c r="D54">
        <v>24.8</v>
      </c>
      <c r="E54">
        <v>3</v>
      </c>
      <c r="F54" t="e">
        <v>#N/A</v>
      </c>
      <c r="G54" t="e">
        <v>#N/A</v>
      </c>
    </row>
    <row r="55" spans="1:7" hidden="1" x14ac:dyDescent="0.2">
      <c r="A55" t="s">
        <v>292</v>
      </c>
      <c r="B55" t="s">
        <v>197</v>
      </c>
      <c r="C55" s="19">
        <v>0.87133247000000003</v>
      </c>
      <c r="D55" t="e">
        <v>#N/A</v>
      </c>
      <c r="E55" t="e">
        <v>#N/A</v>
      </c>
      <c r="F55" t="e">
        <v>#N/A</v>
      </c>
      <c r="G55" t="e">
        <v>#N/A</v>
      </c>
    </row>
    <row r="56" spans="1:7" hidden="1" x14ac:dyDescent="0.2">
      <c r="A56" t="s">
        <v>202</v>
      </c>
      <c r="B56" t="s">
        <v>193</v>
      </c>
      <c r="C56" s="19">
        <v>0.7129335</v>
      </c>
      <c r="D56">
        <v>130.19999999999999</v>
      </c>
      <c r="E56">
        <v>11</v>
      </c>
      <c r="F56" t="s">
        <v>6</v>
      </c>
      <c r="G56" t="e">
        <v>#N/A</v>
      </c>
    </row>
    <row r="57" spans="1:7" x14ac:dyDescent="0.2">
      <c r="A57" t="s">
        <v>1404</v>
      </c>
      <c r="B57" t="s">
        <v>196</v>
      </c>
      <c r="C57" s="19">
        <v>0.80416750000000004</v>
      </c>
      <c r="D57">
        <v>156.19999999999999</v>
      </c>
      <c r="E57">
        <v>14</v>
      </c>
      <c r="F57" t="e">
        <v>#N/A</v>
      </c>
      <c r="G57" t="e">
        <v>#N/A</v>
      </c>
    </row>
    <row r="58" spans="1:7" hidden="1" x14ac:dyDescent="0.2">
      <c r="A58" t="s">
        <v>16</v>
      </c>
      <c r="B58" t="s">
        <v>194</v>
      </c>
      <c r="C58" s="19">
        <v>0.65990393999999997</v>
      </c>
      <c r="D58">
        <v>6.1</v>
      </c>
      <c r="E58">
        <v>1</v>
      </c>
      <c r="F58" t="s">
        <v>6</v>
      </c>
      <c r="G58" t="e">
        <v>#N/A</v>
      </c>
    </row>
    <row r="59" spans="1:7" hidden="1" x14ac:dyDescent="0.2">
      <c r="A59" t="s">
        <v>203</v>
      </c>
      <c r="B59" t="s">
        <v>195</v>
      </c>
      <c r="C59" s="19">
        <v>0.65877859999999999</v>
      </c>
      <c r="D59">
        <v>124.5</v>
      </c>
      <c r="E59">
        <v>11</v>
      </c>
      <c r="F59" t="e">
        <v>#N/A</v>
      </c>
      <c r="G59" t="e">
        <v>#N/A</v>
      </c>
    </row>
    <row r="60" spans="1:7" hidden="1" x14ac:dyDescent="0.2">
      <c r="A60" t="s">
        <v>204</v>
      </c>
      <c r="B60" t="s">
        <v>306</v>
      </c>
      <c r="C60" s="19">
        <v>0.65087430000000002</v>
      </c>
      <c r="D60">
        <v>381.6</v>
      </c>
      <c r="E60">
        <v>32</v>
      </c>
      <c r="F60" t="s">
        <v>1412</v>
      </c>
      <c r="G60" t="e">
        <v>#N/A</v>
      </c>
    </row>
    <row r="61" spans="1:7" hidden="1" x14ac:dyDescent="0.2">
      <c r="A61" t="s">
        <v>1031</v>
      </c>
      <c r="B61" t="s">
        <v>197</v>
      </c>
      <c r="C61" s="19">
        <v>0.86921680000000001</v>
      </c>
      <c r="D61">
        <v>128</v>
      </c>
      <c r="E61">
        <v>12</v>
      </c>
      <c r="F61" t="e">
        <v>#N/A</v>
      </c>
      <c r="G61" t="e">
        <v>#N/A</v>
      </c>
    </row>
    <row r="62" spans="1:7" hidden="1" x14ac:dyDescent="0.2">
      <c r="A62" t="s">
        <v>263</v>
      </c>
      <c r="B62" t="s">
        <v>197</v>
      </c>
      <c r="C62" s="19">
        <v>0.86921680000000001</v>
      </c>
      <c r="D62">
        <v>228</v>
      </c>
      <c r="E62">
        <v>20</v>
      </c>
      <c r="F62" t="e">
        <v>#N/A</v>
      </c>
      <c r="G62" t="e">
        <v>#N/A</v>
      </c>
    </row>
    <row r="63" spans="1:7" hidden="1" x14ac:dyDescent="0.2">
      <c r="A63" t="s">
        <v>27</v>
      </c>
      <c r="B63" t="s">
        <v>195</v>
      </c>
      <c r="C63" s="19">
        <v>0.60806304</v>
      </c>
      <c r="D63">
        <v>25.6</v>
      </c>
      <c r="E63">
        <v>3</v>
      </c>
      <c r="F63" t="s">
        <v>6</v>
      </c>
      <c r="G63" t="e">
        <v>#N/A</v>
      </c>
    </row>
    <row r="64" spans="1:7" hidden="1" x14ac:dyDescent="0.2">
      <c r="A64" t="s">
        <v>205</v>
      </c>
      <c r="B64" t="s">
        <v>191</v>
      </c>
      <c r="C64" s="19">
        <v>0.54935025999999998</v>
      </c>
      <c r="D64">
        <v>95.3</v>
      </c>
      <c r="E64">
        <v>8</v>
      </c>
      <c r="F64" t="s">
        <v>1412</v>
      </c>
      <c r="G64" t="e">
        <v>#N/A</v>
      </c>
    </row>
    <row r="65" spans="1:7" hidden="1" x14ac:dyDescent="0.2">
      <c r="A65" t="s">
        <v>206</v>
      </c>
      <c r="B65" t="s">
        <v>352</v>
      </c>
      <c r="C65" s="19">
        <v>0.5130863</v>
      </c>
      <c r="D65">
        <v>90.5</v>
      </c>
      <c r="E65">
        <v>8</v>
      </c>
      <c r="F65" t="s">
        <v>6</v>
      </c>
      <c r="G65" t="e">
        <v>#N/A</v>
      </c>
    </row>
    <row r="66" spans="1:7" x14ac:dyDescent="0.2">
      <c r="A66" t="s">
        <v>279</v>
      </c>
      <c r="B66" t="s">
        <v>196</v>
      </c>
      <c r="C66" s="19">
        <v>0.79037802999999995</v>
      </c>
      <c r="D66">
        <v>139</v>
      </c>
      <c r="E66">
        <v>14</v>
      </c>
      <c r="F66" t="e">
        <v>#N/A</v>
      </c>
      <c r="G66" t="e">
        <v>#N/A</v>
      </c>
    </row>
    <row r="67" spans="1:7" hidden="1" x14ac:dyDescent="0.2">
      <c r="A67" t="s">
        <v>207</v>
      </c>
      <c r="B67" t="s">
        <v>191</v>
      </c>
      <c r="C67" s="19">
        <v>0.4927301</v>
      </c>
      <c r="D67">
        <v>38.700000000000003</v>
      </c>
      <c r="E67">
        <v>4</v>
      </c>
      <c r="F67" t="s">
        <v>6</v>
      </c>
      <c r="G67" t="e">
        <v>#N/A</v>
      </c>
    </row>
    <row r="68" spans="1:7" hidden="1" x14ac:dyDescent="0.2">
      <c r="A68" t="s">
        <v>1413</v>
      </c>
      <c r="B68" t="s">
        <v>197</v>
      </c>
      <c r="C68" s="19">
        <v>0.86621550000000003</v>
      </c>
      <c r="D68">
        <v>87.3</v>
      </c>
      <c r="E68">
        <v>8</v>
      </c>
      <c r="F68" t="e">
        <v>#N/A</v>
      </c>
      <c r="G68" t="e">
        <v>#N/A</v>
      </c>
    </row>
    <row r="69" spans="1:7" hidden="1" x14ac:dyDescent="0.2">
      <c r="A69" t="s">
        <v>23</v>
      </c>
      <c r="B69" t="s">
        <v>195</v>
      </c>
      <c r="C69" s="19">
        <v>0.48360713999999999</v>
      </c>
      <c r="D69">
        <v>240.7</v>
      </c>
      <c r="E69">
        <v>21</v>
      </c>
      <c r="F69" t="s">
        <v>1412</v>
      </c>
      <c r="G69" t="e">
        <v>#N/A</v>
      </c>
    </row>
    <row r="70" spans="1:7" hidden="1" x14ac:dyDescent="0.2">
      <c r="A70" t="s">
        <v>994</v>
      </c>
      <c r="B70" t="s">
        <v>197</v>
      </c>
      <c r="C70" s="19">
        <v>0.86508660000000004</v>
      </c>
      <c r="D70">
        <v>44.1</v>
      </c>
      <c r="E70">
        <v>4</v>
      </c>
      <c r="F70" t="e">
        <v>#N/A</v>
      </c>
      <c r="G70" t="e">
        <v>#N/A</v>
      </c>
    </row>
    <row r="71" spans="1:7" x14ac:dyDescent="0.2">
      <c r="A71" t="s">
        <v>269</v>
      </c>
      <c r="B71" t="s">
        <v>196</v>
      </c>
      <c r="C71" s="19">
        <v>0.73539880000000002</v>
      </c>
      <c r="D71">
        <v>45.8</v>
      </c>
      <c r="E71">
        <v>4</v>
      </c>
      <c r="F71" t="e">
        <v>#N/A</v>
      </c>
      <c r="G71" t="s">
        <v>6</v>
      </c>
    </row>
    <row r="72" spans="1:7" x14ac:dyDescent="0.2">
      <c r="A72" t="s">
        <v>999</v>
      </c>
      <c r="B72" t="s">
        <v>196</v>
      </c>
      <c r="C72" s="19">
        <v>0.73369660000000003</v>
      </c>
      <c r="D72">
        <v>172.8</v>
      </c>
      <c r="E72">
        <v>15</v>
      </c>
      <c r="F72" t="e">
        <v>#N/A</v>
      </c>
      <c r="G72" t="s">
        <v>15</v>
      </c>
    </row>
    <row r="73" spans="1:7" hidden="1" x14ac:dyDescent="0.2">
      <c r="A73" t="s">
        <v>257</v>
      </c>
      <c r="B73" t="s">
        <v>195</v>
      </c>
      <c r="C73" s="19">
        <v>0.48242711999999999</v>
      </c>
      <c r="D73">
        <v>144.6</v>
      </c>
      <c r="E73">
        <v>13</v>
      </c>
      <c r="F73" t="e">
        <v>#N/A</v>
      </c>
      <c r="G73" t="e">
        <v>#N/A</v>
      </c>
    </row>
    <row r="74" spans="1:7" x14ac:dyDescent="0.2">
      <c r="A74" t="s">
        <v>953</v>
      </c>
      <c r="B74" t="s">
        <v>196</v>
      </c>
      <c r="C74" s="19">
        <v>0.65819220000000001</v>
      </c>
      <c r="D74">
        <v>26</v>
      </c>
      <c r="E74">
        <v>3</v>
      </c>
      <c r="F74" t="e">
        <v>#N/A</v>
      </c>
      <c r="G74" t="s">
        <v>1412</v>
      </c>
    </row>
    <row r="75" spans="1:7" hidden="1" x14ac:dyDescent="0.2">
      <c r="A75" t="s">
        <v>1401</v>
      </c>
      <c r="B75" t="s">
        <v>197</v>
      </c>
      <c r="C75" s="19">
        <v>0.86323589999999994</v>
      </c>
      <c r="D75" t="e">
        <v>#N/A</v>
      </c>
      <c r="E75" t="e">
        <v>#N/A</v>
      </c>
      <c r="F75" t="e">
        <v>#N/A</v>
      </c>
      <c r="G75" t="e">
        <v>#N/A</v>
      </c>
    </row>
    <row r="76" spans="1:7" hidden="1" x14ac:dyDescent="0.2">
      <c r="A76" t="s">
        <v>1085</v>
      </c>
      <c r="B76" t="s">
        <v>1005</v>
      </c>
      <c r="C76" s="19">
        <v>0.85348889999999999</v>
      </c>
      <c r="D76">
        <v>245</v>
      </c>
      <c r="E76">
        <v>21</v>
      </c>
      <c r="F76" t="e">
        <v>#N/A</v>
      </c>
      <c r="G76" t="e">
        <v>#N/A</v>
      </c>
    </row>
    <row r="77" spans="1:7" hidden="1" x14ac:dyDescent="0.2">
      <c r="A77" t="s">
        <v>32</v>
      </c>
      <c r="B77" t="s">
        <v>332</v>
      </c>
      <c r="C77" s="19">
        <v>0.47614032000000001</v>
      </c>
      <c r="D77">
        <v>32.4</v>
      </c>
      <c r="E77">
        <v>3</v>
      </c>
      <c r="F77" t="s">
        <v>6</v>
      </c>
      <c r="G77" t="e">
        <v>#N/A</v>
      </c>
    </row>
    <row r="78" spans="1:7" hidden="1" x14ac:dyDescent="0.2">
      <c r="A78" t="s">
        <v>624</v>
      </c>
      <c r="B78" t="s">
        <v>625</v>
      </c>
      <c r="C78" s="19">
        <v>0.38101044000000001</v>
      </c>
      <c r="D78">
        <v>645.79999999999995</v>
      </c>
      <c r="E78">
        <v>54</v>
      </c>
      <c r="F78" t="e">
        <v>#N/A</v>
      </c>
      <c r="G78" t="e">
        <v>#N/A</v>
      </c>
    </row>
    <row r="79" spans="1:7" hidden="1" x14ac:dyDescent="0.2">
      <c r="A79" t="s">
        <v>208</v>
      </c>
      <c r="B79" t="s">
        <v>195</v>
      </c>
      <c r="C79" s="19">
        <v>0.37992690000000001</v>
      </c>
      <c r="D79">
        <v>37.9</v>
      </c>
      <c r="E79">
        <v>4</v>
      </c>
      <c r="F79" t="s">
        <v>15</v>
      </c>
      <c r="G79" t="e">
        <v>#N/A</v>
      </c>
    </row>
    <row r="80" spans="1:7" x14ac:dyDescent="0.2">
      <c r="A80" t="s">
        <v>949</v>
      </c>
      <c r="B80" t="s">
        <v>196</v>
      </c>
      <c r="C80" s="19">
        <v>0.65359160000000005</v>
      </c>
      <c r="D80">
        <v>13.8</v>
      </c>
      <c r="E80">
        <v>2</v>
      </c>
      <c r="F80" t="e">
        <v>#N/A</v>
      </c>
      <c r="G80" t="s">
        <v>1412</v>
      </c>
    </row>
    <row r="81" spans="1:7" x14ac:dyDescent="0.2">
      <c r="A81" t="s">
        <v>256</v>
      </c>
      <c r="B81" t="s">
        <v>196</v>
      </c>
      <c r="C81" s="19">
        <v>0.65281579999999995</v>
      </c>
      <c r="D81">
        <v>121</v>
      </c>
      <c r="E81">
        <v>11</v>
      </c>
      <c r="F81" t="e">
        <v>#N/A</v>
      </c>
      <c r="G81" t="e">
        <v>#N/A</v>
      </c>
    </row>
    <row r="82" spans="1:7" hidden="1" x14ac:dyDescent="0.2">
      <c r="A82" t="s">
        <v>18</v>
      </c>
      <c r="B82" t="s">
        <v>195</v>
      </c>
      <c r="C82" s="19">
        <v>0.37840049999999997</v>
      </c>
      <c r="D82">
        <v>8.3000000000000007</v>
      </c>
      <c r="E82">
        <v>1</v>
      </c>
      <c r="F82" t="s">
        <v>6</v>
      </c>
      <c r="G82" t="e">
        <v>#N/A</v>
      </c>
    </row>
    <row r="83" spans="1:7" hidden="1" x14ac:dyDescent="0.2">
      <c r="A83" t="s">
        <v>209</v>
      </c>
      <c r="B83" t="s">
        <v>195</v>
      </c>
      <c r="C83" s="19">
        <v>0.37210742000000002</v>
      </c>
      <c r="D83">
        <v>16.600000000000001</v>
      </c>
      <c r="E83">
        <v>2</v>
      </c>
      <c r="F83" t="s">
        <v>6</v>
      </c>
      <c r="G83" t="e">
        <v>#N/A</v>
      </c>
    </row>
    <row r="84" spans="1:7" hidden="1" x14ac:dyDescent="0.2">
      <c r="A84" t="s">
        <v>19</v>
      </c>
      <c r="B84" t="s">
        <v>195</v>
      </c>
      <c r="C84" s="19">
        <v>0.36942365999999999</v>
      </c>
      <c r="D84">
        <v>239</v>
      </c>
      <c r="E84">
        <v>20</v>
      </c>
      <c r="F84" t="s">
        <v>1412</v>
      </c>
      <c r="G84" t="e">
        <v>#N/A</v>
      </c>
    </row>
    <row r="85" spans="1:7" hidden="1" x14ac:dyDescent="0.2">
      <c r="A85" t="s">
        <v>210</v>
      </c>
      <c r="B85" t="s">
        <v>195</v>
      </c>
      <c r="C85" s="19">
        <v>0.34996724000000001</v>
      </c>
      <c r="D85">
        <v>13.7</v>
      </c>
      <c r="E85">
        <v>2</v>
      </c>
      <c r="F85" t="s">
        <v>6</v>
      </c>
      <c r="G85" t="e">
        <v>#N/A</v>
      </c>
    </row>
    <row r="86" spans="1:7" hidden="1" x14ac:dyDescent="0.2">
      <c r="A86" t="s">
        <v>211</v>
      </c>
      <c r="B86" t="s">
        <v>195</v>
      </c>
      <c r="C86" s="19">
        <v>0.34912145</v>
      </c>
      <c r="D86">
        <v>452</v>
      </c>
      <c r="E86">
        <v>38</v>
      </c>
      <c r="F86" t="e">
        <v>#N/A</v>
      </c>
      <c r="G86" t="e">
        <v>#N/A</v>
      </c>
    </row>
    <row r="87" spans="1:7" x14ac:dyDescent="0.2">
      <c r="A87" t="s">
        <v>287</v>
      </c>
      <c r="B87" t="s">
        <v>196</v>
      </c>
      <c r="C87" s="19">
        <v>0.62830322999999999</v>
      </c>
      <c r="D87">
        <v>251</v>
      </c>
      <c r="E87">
        <v>21</v>
      </c>
      <c r="F87" t="e">
        <v>#N/A</v>
      </c>
      <c r="G87" t="e">
        <v>#N/A</v>
      </c>
    </row>
    <row r="88" spans="1:7" hidden="1" x14ac:dyDescent="0.2">
      <c r="A88" t="s">
        <v>212</v>
      </c>
      <c r="B88" t="s">
        <v>332</v>
      </c>
      <c r="C88" s="19">
        <v>0.33452216000000001</v>
      </c>
      <c r="D88">
        <v>232.8</v>
      </c>
      <c r="E88">
        <v>20</v>
      </c>
      <c r="F88" t="s">
        <v>6</v>
      </c>
      <c r="G88" t="e">
        <v>#N/A</v>
      </c>
    </row>
    <row r="89" spans="1:7" hidden="1" x14ac:dyDescent="0.2">
      <c r="A89" t="s">
        <v>213</v>
      </c>
      <c r="B89" t="s">
        <v>195</v>
      </c>
      <c r="C89" s="19">
        <v>0.32095595999999998</v>
      </c>
      <c r="D89">
        <v>233.9</v>
      </c>
      <c r="E89">
        <v>20</v>
      </c>
      <c r="F89" t="e">
        <v>#N/A</v>
      </c>
      <c r="G89" t="e">
        <v>#N/A</v>
      </c>
    </row>
    <row r="90" spans="1:7" x14ac:dyDescent="0.2">
      <c r="A90" t="s">
        <v>961</v>
      </c>
      <c r="B90" t="s">
        <v>196</v>
      </c>
      <c r="C90" s="19">
        <v>0.60481995</v>
      </c>
      <c r="D90">
        <v>95.8</v>
      </c>
      <c r="E90">
        <v>8</v>
      </c>
      <c r="F90" t="e">
        <v>#N/A</v>
      </c>
      <c r="G90" t="e">
        <v>#N/A</v>
      </c>
    </row>
    <row r="91" spans="1:7" hidden="1" x14ac:dyDescent="0.2">
      <c r="A91" t="s">
        <v>214</v>
      </c>
      <c r="B91" t="s">
        <v>192</v>
      </c>
      <c r="C91" s="19">
        <v>0.31668463000000002</v>
      </c>
      <c r="D91">
        <v>101.1</v>
      </c>
      <c r="E91">
        <v>9</v>
      </c>
      <c r="F91" t="s">
        <v>15</v>
      </c>
      <c r="G91" t="e">
        <v>#N/A</v>
      </c>
    </row>
    <row r="92" spans="1:7" x14ac:dyDescent="0.2">
      <c r="A92" t="s">
        <v>959</v>
      </c>
      <c r="B92" t="s">
        <v>196</v>
      </c>
      <c r="C92" s="19">
        <v>0.57228869999999998</v>
      </c>
      <c r="D92">
        <v>46.3</v>
      </c>
      <c r="E92">
        <v>4</v>
      </c>
      <c r="F92" t="e">
        <v>#N/A</v>
      </c>
      <c r="G92" t="s">
        <v>1412</v>
      </c>
    </row>
    <row r="93" spans="1:7" hidden="1" x14ac:dyDescent="0.2">
      <c r="A93" t="s">
        <v>215</v>
      </c>
      <c r="B93" t="s">
        <v>345</v>
      </c>
      <c r="C93" s="19">
        <v>0.31409046000000002</v>
      </c>
      <c r="D93">
        <v>74.3</v>
      </c>
      <c r="E93">
        <v>7</v>
      </c>
      <c r="F93" t="e">
        <v>#N/A</v>
      </c>
      <c r="G93" t="e">
        <v>#N/A</v>
      </c>
    </row>
    <row r="94" spans="1:7" x14ac:dyDescent="0.2">
      <c r="A94" t="s">
        <v>276</v>
      </c>
      <c r="B94" t="s">
        <v>196</v>
      </c>
      <c r="C94" s="19">
        <v>0.52986069999999996</v>
      </c>
      <c r="D94">
        <v>99.4</v>
      </c>
      <c r="E94">
        <v>9</v>
      </c>
      <c r="F94" t="e">
        <v>#N/A</v>
      </c>
      <c r="G94" t="s">
        <v>6</v>
      </c>
    </row>
    <row r="95" spans="1:7" x14ac:dyDescent="0.2">
      <c r="A95" t="s">
        <v>963</v>
      </c>
      <c r="B95" t="s">
        <v>196</v>
      </c>
      <c r="C95" s="19">
        <v>0.52285117000000003</v>
      </c>
      <c r="D95">
        <v>165.5</v>
      </c>
      <c r="E95">
        <v>14</v>
      </c>
      <c r="F95" t="e">
        <v>#N/A</v>
      </c>
      <c r="G95" t="e">
        <v>#N/A</v>
      </c>
    </row>
    <row r="96" spans="1:7" x14ac:dyDescent="0.2">
      <c r="A96" t="s">
        <v>278</v>
      </c>
      <c r="B96" t="s">
        <v>196</v>
      </c>
      <c r="C96" s="19">
        <v>0.47025584999999998</v>
      </c>
      <c r="D96">
        <v>149</v>
      </c>
      <c r="E96">
        <v>13</v>
      </c>
      <c r="F96" t="e">
        <v>#N/A</v>
      </c>
      <c r="G96" t="e">
        <v>#N/A</v>
      </c>
    </row>
    <row r="97" spans="1:7" x14ac:dyDescent="0.2">
      <c r="A97" t="s">
        <v>1042</v>
      </c>
      <c r="B97" t="s">
        <v>196</v>
      </c>
      <c r="C97" s="19">
        <v>0.44297387999999999</v>
      </c>
      <c r="D97" t="e">
        <v>#N/A</v>
      </c>
      <c r="E97" t="e">
        <v>#N/A</v>
      </c>
      <c r="F97" t="e">
        <v>#N/A</v>
      </c>
      <c r="G97" t="s">
        <v>1412</v>
      </c>
    </row>
    <row r="98" spans="1:7" x14ac:dyDescent="0.2">
      <c r="A98" t="s">
        <v>964</v>
      </c>
      <c r="B98" t="s">
        <v>196</v>
      </c>
      <c r="C98" s="19">
        <v>0.42130622000000001</v>
      </c>
      <c r="D98">
        <v>49.5</v>
      </c>
      <c r="E98">
        <v>5</v>
      </c>
      <c r="F98" t="e">
        <v>#N/A</v>
      </c>
      <c r="G98" t="s">
        <v>6</v>
      </c>
    </row>
    <row r="99" spans="1:7" x14ac:dyDescent="0.2">
      <c r="A99" t="s">
        <v>264</v>
      </c>
      <c r="B99" t="s">
        <v>196</v>
      </c>
      <c r="C99" s="19">
        <v>0.40907442999999999</v>
      </c>
      <c r="D99">
        <v>246.3</v>
      </c>
      <c r="E99">
        <v>21</v>
      </c>
      <c r="F99" t="e">
        <v>#N/A</v>
      </c>
      <c r="G99" t="e">
        <v>#N/A</v>
      </c>
    </row>
    <row r="100" spans="1:7" hidden="1" x14ac:dyDescent="0.2">
      <c r="A100" t="s">
        <v>216</v>
      </c>
      <c r="B100" t="s">
        <v>312</v>
      </c>
      <c r="C100" s="19">
        <v>0.29959409999999997</v>
      </c>
      <c r="D100">
        <v>38.299999999999997</v>
      </c>
      <c r="E100">
        <v>4</v>
      </c>
      <c r="F100" t="s">
        <v>6</v>
      </c>
      <c r="G100" t="e">
        <v>#N/A</v>
      </c>
    </row>
    <row r="101" spans="1:7" hidden="1" x14ac:dyDescent="0.2">
      <c r="A101" t="s">
        <v>217</v>
      </c>
      <c r="B101" t="s">
        <v>318</v>
      </c>
      <c r="C101" s="19">
        <v>0.29848033000000002</v>
      </c>
      <c r="D101">
        <v>42.5</v>
      </c>
      <c r="E101">
        <v>4</v>
      </c>
      <c r="F101" t="s">
        <v>1412</v>
      </c>
      <c r="G101" t="e">
        <v>#N/A</v>
      </c>
    </row>
    <row r="102" spans="1:7" x14ac:dyDescent="0.2">
      <c r="A102" t="s">
        <v>254</v>
      </c>
      <c r="B102" t="s">
        <v>196</v>
      </c>
      <c r="C102" s="19">
        <v>0.38718066000000001</v>
      </c>
      <c r="D102">
        <v>109.9</v>
      </c>
      <c r="E102">
        <v>10</v>
      </c>
      <c r="F102" t="e">
        <v>#N/A</v>
      </c>
      <c r="G102" t="s">
        <v>6</v>
      </c>
    </row>
    <row r="103" spans="1:7" hidden="1" x14ac:dyDescent="0.2">
      <c r="A103" t="s">
        <v>33</v>
      </c>
      <c r="B103" t="s">
        <v>306</v>
      </c>
      <c r="C103" s="19">
        <v>0.29585363999999997</v>
      </c>
      <c r="D103">
        <v>71.5</v>
      </c>
      <c r="E103">
        <v>6</v>
      </c>
      <c r="F103" t="s">
        <v>1412</v>
      </c>
      <c r="G103" t="e">
        <v>#N/A</v>
      </c>
    </row>
    <row r="104" spans="1:7" hidden="1" x14ac:dyDescent="0.2">
      <c r="A104" t="s">
        <v>338</v>
      </c>
      <c r="B104" t="s">
        <v>195</v>
      </c>
      <c r="C104" s="19">
        <v>0.29177787999999999</v>
      </c>
      <c r="D104">
        <v>56.4</v>
      </c>
      <c r="E104">
        <v>5</v>
      </c>
      <c r="F104" t="s">
        <v>6</v>
      </c>
      <c r="G104" t="e">
        <v>#N/A</v>
      </c>
    </row>
    <row r="105" spans="1:7" x14ac:dyDescent="0.2">
      <c r="A105" t="s">
        <v>282</v>
      </c>
      <c r="B105" t="s">
        <v>196</v>
      </c>
      <c r="C105" s="19">
        <v>0.37231350000000002</v>
      </c>
      <c r="D105">
        <v>200.4</v>
      </c>
      <c r="E105">
        <v>17</v>
      </c>
      <c r="F105" t="e">
        <v>#N/A</v>
      </c>
      <c r="G105" t="s">
        <v>6</v>
      </c>
    </row>
    <row r="106" spans="1:7" hidden="1" x14ac:dyDescent="0.2">
      <c r="A106" s="20" t="s">
        <v>1415</v>
      </c>
      <c r="B106" s="20" t="s">
        <v>197</v>
      </c>
      <c r="C106" s="21">
        <v>0.85112286000000004</v>
      </c>
      <c r="D106" s="20" t="e">
        <v>#N/A</v>
      </c>
      <c r="E106" s="20" t="e">
        <v>#N/A</v>
      </c>
      <c r="F106" s="20" t="e">
        <v>#N/A</v>
      </c>
      <c r="G106" s="20" t="e">
        <v>#N/A</v>
      </c>
    </row>
    <row r="107" spans="1:7" hidden="1" x14ac:dyDescent="0.2">
      <c r="A107" t="s">
        <v>273</v>
      </c>
      <c r="B107" t="s">
        <v>193</v>
      </c>
      <c r="C107" s="19">
        <v>0.29131645</v>
      </c>
      <c r="D107" t="e">
        <v>#N/A</v>
      </c>
      <c r="E107" t="e">
        <v>#N/A</v>
      </c>
      <c r="F107" t="e">
        <v>#N/A</v>
      </c>
      <c r="G107" t="e">
        <v>#N/A</v>
      </c>
    </row>
    <row r="108" spans="1:7" hidden="1" x14ac:dyDescent="0.2">
      <c r="A108" t="s">
        <v>218</v>
      </c>
      <c r="B108" t="s">
        <v>475</v>
      </c>
      <c r="C108" s="19">
        <v>0.28288071999999997</v>
      </c>
      <c r="D108">
        <v>519.79999999999995</v>
      </c>
      <c r="E108">
        <v>44</v>
      </c>
      <c r="F108" t="e">
        <v>#N/A</v>
      </c>
      <c r="G108" t="e">
        <v>#N/A</v>
      </c>
    </row>
    <row r="109" spans="1:7" x14ac:dyDescent="0.2">
      <c r="A109" t="s">
        <v>958</v>
      </c>
      <c r="B109" t="s">
        <v>196</v>
      </c>
      <c r="C109" s="19">
        <v>0.34113149999999998</v>
      </c>
      <c r="D109">
        <v>38.9</v>
      </c>
      <c r="E109">
        <v>4</v>
      </c>
      <c r="F109" t="e">
        <v>#N/A</v>
      </c>
      <c r="G109" t="s">
        <v>15</v>
      </c>
    </row>
    <row r="110" spans="1:7" hidden="1" x14ac:dyDescent="0.2">
      <c r="A110" t="s">
        <v>26</v>
      </c>
      <c r="B110" t="s">
        <v>194</v>
      </c>
      <c r="C110" s="19">
        <v>0.28262769999999998</v>
      </c>
      <c r="D110">
        <v>15.2</v>
      </c>
      <c r="E110">
        <v>2</v>
      </c>
      <c r="F110" t="s">
        <v>6</v>
      </c>
      <c r="G110" t="e">
        <v>#N/A</v>
      </c>
    </row>
    <row r="111" spans="1:7" x14ac:dyDescent="0.2">
      <c r="A111" t="s">
        <v>997</v>
      </c>
      <c r="B111" t="s">
        <v>196</v>
      </c>
      <c r="C111" s="19">
        <v>0.33580303</v>
      </c>
      <c r="D111">
        <v>98</v>
      </c>
      <c r="E111">
        <v>9</v>
      </c>
      <c r="F111" t="e">
        <v>#N/A</v>
      </c>
      <c r="G111" t="s">
        <v>6</v>
      </c>
    </row>
    <row r="112" spans="1:7" hidden="1" x14ac:dyDescent="0.2">
      <c r="A112" t="s">
        <v>583</v>
      </c>
      <c r="B112" t="s">
        <v>309</v>
      </c>
      <c r="C112" s="19">
        <v>0.28084906999999998</v>
      </c>
      <c r="D112">
        <v>556.70000000000005</v>
      </c>
      <c r="E112">
        <v>47</v>
      </c>
      <c r="F112" t="s">
        <v>6</v>
      </c>
      <c r="G112" t="e">
        <v>#N/A</v>
      </c>
    </row>
    <row r="113" spans="1:7" x14ac:dyDescent="0.2">
      <c r="A113" t="s">
        <v>271</v>
      </c>
      <c r="B113" t="s">
        <v>196</v>
      </c>
      <c r="C113" s="19">
        <v>0.30962187000000002</v>
      </c>
      <c r="D113">
        <v>61.3</v>
      </c>
      <c r="E113">
        <v>6</v>
      </c>
      <c r="F113" t="e">
        <v>#N/A</v>
      </c>
      <c r="G113" t="s">
        <v>6</v>
      </c>
    </row>
    <row r="114" spans="1:7" hidden="1" x14ac:dyDescent="0.2">
      <c r="A114" t="s">
        <v>324</v>
      </c>
      <c r="B114" t="s">
        <v>195</v>
      </c>
      <c r="C114" s="19">
        <v>0.27815846</v>
      </c>
      <c r="D114">
        <v>21.1</v>
      </c>
      <c r="E114">
        <v>2</v>
      </c>
      <c r="F114" t="s">
        <v>6</v>
      </c>
      <c r="G114" t="e">
        <v>#N/A</v>
      </c>
    </row>
    <row r="115" spans="1:7" hidden="1" x14ac:dyDescent="0.2">
      <c r="A115" t="s">
        <v>772</v>
      </c>
      <c r="B115" t="s">
        <v>190</v>
      </c>
      <c r="C115" s="19">
        <v>0.27546074999999998</v>
      </c>
      <c r="D115" t="e">
        <v>#N/A</v>
      </c>
      <c r="E115" t="e">
        <v>#N/A</v>
      </c>
      <c r="F115" t="e">
        <v>#N/A</v>
      </c>
      <c r="G115" t="e">
        <v>#N/A</v>
      </c>
    </row>
    <row r="116" spans="1:7" x14ac:dyDescent="0.2">
      <c r="A116" t="s">
        <v>283</v>
      </c>
      <c r="B116" t="s">
        <v>196</v>
      </c>
      <c r="C116" s="19">
        <v>0.30158094000000002</v>
      </c>
      <c r="D116">
        <v>226</v>
      </c>
      <c r="E116">
        <v>19</v>
      </c>
      <c r="F116" t="e">
        <v>#N/A</v>
      </c>
      <c r="G116" t="e">
        <v>#N/A</v>
      </c>
    </row>
    <row r="117" spans="1:7" x14ac:dyDescent="0.2">
      <c r="A117" t="s">
        <v>950</v>
      </c>
      <c r="B117" t="s">
        <v>196</v>
      </c>
      <c r="C117" s="19">
        <v>0.28649574999999999</v>
      </c>
      <c r="D117">
        <v>21.1</v>
      </c>
      <c r="E117">
        <v>2</v>
      </c>
      <c r="F117" t="e">
        <v>#N/A</v>
      </c>
      <c r="G117" t="s">
        <v>1412</v>
      </c>
    </row>
    <row r="118" spans="1:7" x14ac:dyDescent="0.2">
      <c r="A118" t="s">
        <v>1061</v>
      </c>
      <c r="B118" t="s">
        <v>196</v>
      </c>
      <c r="C118" s="19">
        <v>0.28205168000000003</v>
      </c>
      <c r="D118" t="e">
        <v>#N/A</v>
      </c>
      <c r="E118" t="e">
        <v>#N/A</v>
      </c>
      <c r="F118" t="e">
        <v>#N/A</v>
      </c>
      <c r="G118" t="e">
        <v>#N/A</v>
      </c>
    </row>
    <row r="119" spans="1:7" hidden="1" x14ac:dyDescent="0.2">
      <c r="A119" t="s">
        <v>1092</v>
      </c>
      <c r="B119" t="s">
        <v>197</v>
      </c>
      <c r="C119" s="19">
        <v>0.84517883999999999</v>
      </c>
      <c r="D119" t="e">
        <v>#N/A</v>
      </c>
      <c r="E119" t="e">
        <v>#N/A</v>
      </c>
      <c r="F119" t="e">
        <v>#N/A</v>
      </c>
      <c r="G119" t="e">
        <v>#N/A</v>
      </c>
    </row>
    <row r="120" spans="1:7" hidden="1" x14ac:dyDescent="0.2">
      <c r="A120" t="s">
        <v>219</v>
      </c>
      <c r="B120" t="s">
        <v>309</v>
      </c>
      <c r="C120" s="19">
        <v>0.25792983000000003</v>
      </c>
      <c r="D120">
        <v>102.4</v>
      </c>
      <c r="E120">
        <v>9</v>
      </c>
      <c r="F120" t="s">
        <v>15</v>
      </c>
      <c r="G120" t="e">
        <v>#N/A</v>
      </c>
    </row>
    <row r="121" spans="1:7" hidden="1" x14ac:dyDescent="0.2">
      <c r="A121" t="s">
        <v>220</v>
      </c>
      <c r="B121" t="s">
        <v>195</v>
      </c>
      <c r="C121" s="19">
        <v>0.25737127999999998</v>
      </c>
      <c r="D121" t="e">
        <v>#N/A</v>
      </c>
      <c r="E121" t="e">
        <v>#N/A</v>
      </c>
      <c r="F121" t="e">
        <v>#N/A</v>
      </c>
      <c r="G121" t="e">
        <v>#N/A</v>
      </c>
    </row>
    <row r="122" spans="1:7" hidden="1" x14ac:dyDescent="0.2">
      <c r="A122" t="s">
        <v>221</v>
      </c>
      <c r="B122" t="s">
        <v>309</v>
      </c>
      <c r="C122" s="19">
        <v>0.25652166999999998</v>
      </c>
      <c r="D122">
        <v>44.2</v>
      </c>
      <c r="E122">
        <v>4</v>
      </c>
      <c r="F122" t="s">
        <v>6</v>
      </c>
      <c r="G122" t="e">
        <v>#N/A</v>
      </c>
    </row>
    <row r="123" spans="1:7" hidden="1" x14ac:dyDescent="0.2">
      <c r="A123" t="s">
        <v>222</v>
      </c>
      <c r="B123" t="s">
        <v>306</v>
      </c>
      <c r="C123" s="19">
        <v>0.2555714</v>
      </c>
      <c r="D123">
        <v>77.7</v>
      </c>
      <c r="E123">
        <v>7</v>
      </c>
      <c r="F123" t="s">
        <v>1412</v>
      </c>
      <c r="G123" t="e">
        <v>#N/A</v>
      </c>
    </row>
    <row r="124" spans="1:7" hidden="1" x14ac:dyDescent="0.2">
      <c r="A124" t="s">
        <v>223</v>
      </c>
      <c r="B124" t="s">
        <v>329</v>
      </c>
      <c r="C124" s="19">
        <v>0.23598749999999999</v>
      </c>
      <c r="D124">
        <v>24.1</v>
      </c>
      <c r="E124">
        <v>3</v>
      </c>
      <c r="F124" t="s">
        <v>6</v>
      </c>
      <c r="G124" t="e">
        <v>#N/A</v>
      </c>
    </row>
    <row r="125" spans="1:7" x14ac:dyDescent="0.2">
      <c r="A125" t="s">
        <v>1008</v>
      </c>
      <c r="B125" t="s">
        <v>196</v>
      </c>
      <c r="C125" s="19">
        <v>0.27405341999999999</v>
      </c>
      <c r="D125" t="e">
        <v>#N/A</v>
      </c>
      <c r="E125" t="e">
        <v>#N/A</v>
      </c>
      <c r="F125" t="e">
        <v>#N/A</v>
      </c>
      <c r="G125" t="e">
        <v>#N/A</v>
      </c>
    </row>
    <row r="126" spans="1:7" hidden="1" x14ac:dyDescent="0.2">
      <c r="A126" t="s">
        <v>224</v>
      </c>
      <c r="B126" t="s">
        <v>309</v>
      </c>
      <c r="C126" s="19">
        <v>0.22138526</v>
      </c>
      <c r="D126">
        <v>120.3</v>
      </c>
      <c r="E126">
        <v>11</v>
      </c>
      <c r="F126" t="s">
        <v>1412</v>
      </c>
      <c r="G126" t="e">
        <v>#N/A</v>
      </c>
    </row>
    <row r="127" spans="1:7" hidden="1" x14ac:dyDescent="0.2">
      <c r="A127" t="s">
        <v>225</v>
      </c>
      <c r="B127" t="s">
        <v>195</v>
      </c>
      <c r="C127" s="19">
        <v>0.21989455999999999</v>
      </c>
      <c r="D127">
        <v>259.5</v>
      </c>
      <c r="E127">
        <v>22</v>
      </c>
      <c r="F127" t="s">
        <v>6</v>
      </c>
      <c r="G127" t="e">
        <v>#N/A</v>
      </c>
    </row>
    <row r="128" spans="1:7" hidden="1" x14ac:dyDescent="0.2">
      <c r="A128" t="s">
        <v>226</v>
      </c>
      <c r="B128" t="s">
        <v>195</v>
      </c>
      <c r="C128" s="19">
        <v>0.21935777000000001</v>
      </c>
      <c r="D128">
        <v>604.29999999999995</v>
      </c>
      <c r="E128">
        <v>51</v>
      </c>
      <c r="F128" t="e">
        <v>#N/A</v>
      </c>
      <c r="G128" t="e">
        <v>#N/A</v>
      </c>
    </row>
    <row r="129" spans="1:7" hidden="1" x14ac:dyDescent="0.2">
      <c r="A129" t="s">
        <v>227</v>
      </c>
      <c r="B129" t="s">
        <v>195</v>
      </c>
      <c r="C129" s="19">
        <v>0.21612680000000001</v>
      </c>
      <c r="D129">
        <v>76.599999999999994</v>
      </c>
      <c r="E129">
        <v>7</v>
      </c>
      <c r="F129" t="e">
        <v>#N/A</v>
      </c>
      <c r="G129" t="e">
        <v>#N/A</v>
      </c>
    </row>
    <row r="130" spans="1:7" hidden="1" x14ac:dyDescent="0.2">
      <c r="A130" t="s">
        <v>228</v>
      </c>
      <c r="B130" t="s">
        <v>328</v>
      </c>
      <c r="C130" s="19">
        <v>0.20638184000000001</v>
      </c>
      <c r="D130" t="e">
        <v>#N/A</v>
      </c>
      <c r="E130" t="e">
        <v>#N/A</v>
      </c>
      <c r="F130" t="e">
        <v>#N/A</v>
      </c>
      <c r="G130" t="e">
        <v>#N/A</v>
      </c>
    </row>
    <row r="131" spans="1:7" x14ac:dyDescent="0.2">
      <c r="A131" t="s">
        <v>979</v>
      </c>
      <c r="B131" t="s">
        <v>196</v>
      </c>
      <c r="C131" s="19">
        <v>0.2700745</v>
      </c>
      <c r="D131">
        <v>92.2</v>
      </c>
      <c r="E131">
        <v>8</v>
      </c>
      <c r="F131" t="e">
        <v>#N/A</v>
      </c>
      <c r="G131" t="e">
        <v>#N/A</v>
      </c>
    </row>
    <row r="132" spans="1:7" hidden="1" x14ac:dyDescent="0.2">
      <c r="A132" t="s">
        <v>229</v>
      </c>
      <c r="B132" t="s">
        <v>191</v>
      </c>
      <c r="C132" s="19">
        <v>0.20087272</v>
      </c>
      <c r="D132" t="e">
        <v>#N/A</v>
      </c>
      <c r="E132" t="e">
        <v>#N/A</v>
      </c>
      <c r="F132" t="e">
        <v>#N/A</v>
      </c>
      <c r="G132" t="e">
        <v>#N/A</v>
      </c>
    </row>
    <row r="133" spans="1:7" x14ac:dyDescent="0.2">
      <c r="A133" t="s">
        <v>1351</v>
      </c>
      <c r="B133" t="s">
        <v>196</v>
      </c>
      <c r="C133" s="19">
        <v>0.25958872</v>
      </c>
      <c r="D133" t="e">
        <v>#N/A</v>
      </c>
      <c r="E133" t="e">
        <v>#N/A</v>
      </c>
      <c r="F133" t="e">
        <v>#N/A</v>
      </c>
      <c r="G133" t="e">
        <v>#N/A</v>
      </c>
    </row>
    <row r="134" spans="1:7" hidden="1" x14ac:dyDescent="0.2">
      <c r="A134" t="s">
        <v>13</v>
      </c>
      <c r="B134" t="s">
        <v>191</v>
      </c>
      <c r="C134" s="19">
        <v>0.1963839</v>
      </c>
      <c r="D134">
        <v>22.6</v>
      </c>
      <c r="E134">
        <v>2</v>
      </c>
      <c r="F134" t="s">
        <v>6</v>
      </c>
      <c r="G134" t="e">
        <v>#N/A</v>
      </c>
    </row>
    <row r="135" spans="1:7" hidden="1" x14ac:dyDescent="0.2">
      <c r="A135" t="s">
        <v>230</v>
      </c>
      <c r="B135" t="s">
        <v>195</v>
      </c>
      <c r="C135" s="19">
        <v>0.18274090000000001</v>
      </c>
      <c r="D135">
        <v>84.7</v>
      </c>
      <c r="E135">
        <v>8</v>
      </c>
      <c r="F135" t="e">
        <v>#N/A</v>
      </c>
      <c r="G135" t="e">
        <v>#N/A</v>
      </c>
    </row>
    <row r="136" spans="1:7" x14ac:dyDescent="0.2">
      <c r="A136" t="s">
        <v>954</v>
      </c>
      <c r="B136" t="s">
        <v>196</v>
      </c>
      <c r="C136" s="19">
        <v>0.25265900000000002</v>
      </c>
      <c r="D136">
        <v>77.3</v>
      </c>
      <c r="E136">
        <v>7</v>
      </c>
      <c r="F136" t="e">
        <v>#N/A</v>
      </c>
      <c r="G136" t="e">
        <v>#N/A</v>
      </c>
    </row>
    <row r="137" spans="1:7" hidden="1" x14ac:dyDescent="0.2">
      <c r="A137" t="s">
        <v>12</v>
      </c>
      <c r="B137" t="s">
        <v>306</v>
      </c>
      <c r="C137" s="19">
        <v>0.18024567999999999</v>
      </c>
      <c r="D137">
        <v>52.1</v>
      </c>
      <c r="E137">
        <v>5</v>
      </c>
      <c r="F137" t="s">
        <v>1412</v>
      </c>
      <c r="G137" t="e">
        <v>#N/A</v>
      </c>
    </row>
    <row r="138" spans="1:7" x14ac:dyDescent="0.2">
      <c r="A138" t="s">
        <v>985</v>
      </c>
      <c r="B138" t="s">
        <v>196</v>
      </c>
      <c r="C138" s="19">
        <v>0.22768252</v>
      </c>
      <c r="D138">
        <v>95.3</v>
      </c>
      <c r="E138">
        <v>8</v>
      </c>
      <c r="F138" t="e">
        <v>#N/A</v>
      </c>
      <c r="G138" t="s">
        <v>6</v>
      </c>
    </row>
    <row r="139" spans="1:7" hidden="1" x14ac:dyDescent="0.2">
      <c r="A139" t="s">
        <v>232</v>
      </c>
      <c r="B139" t="s">
        <v>194</v>
      </c>
      <c r="C139" s="19">
        <v>0.17914973000000001</v>
      </c>
      <c r="D139">
        <v>127.6</v>
      </c>
      <c r="E139">
        <v>11</v>
      </c>
      <c r="F139" t="e">
        <v>#N/A</v>
      </c>
      <c r="G139" t="e">
        <v>#N/A</v>
      </c>
    </row>
    <row r="140" spans="1:7" hidden="1" x14ac:dyDescent="0.2">
      <c r="A140" t="s">
        <v>233</v>
      </c>
      <c r="B140" t="s">
        <v>195</v>
      </c>
      <c r="C140" s="19">
        <v>0.15884777999999999</v>
      </c>
      <c r="D140">
        <v>343.6</v>
      </c>
      <c r="E140">
        <v>29</v>
      </c>
      <c r="F140" t="e">
        <v>#N/A</v>
      </c>
      <c r="G140" t="e">
        <v>#N/A</v>
      </c>
    </row>
    <row r="141" spans="1:7" hidden="1" x14ac:dyDescent="0.2">
      <c r="A141" t="s">
        <v>234</v>
      </c>
      <c r="B141" t="s">
        <v>309</v>
      </c>
      <c r="C141" s="19">
        <v>0.15871365000000001</v>
      </c>
      <c r="D141">
        <v>278.3</v>
      </c>
      <c r="E141">
        <v>24</v>
      </c>
      <c r="F141" t="s">
        <v>6</v>
      </c>
      <c r="G141" t="e">
        <v>#N/A</v>
      </c>
    </row>
    <row r="142" spans="1:7" hidden="1" x14ac:dyDescent="0.2">
      <c r="A142" t="s">
        <v>697</v>
      </c>
      <c r="B142" t="s">
        <v>195</v>
      </c>
      <c r="C142" s="19">
        <v>0.15095906000000001</v>
      </c>
      <c r="D142" t="e">
        <v>#N/A</v>
      </c>
      <c r="E142" t="e">
        <v>#N/A</v>
      </c>
      <c r="F142" t="e">
        <v>#N/A</v>
      </c>
      <c r="G142" t="e">
        <v>#N/A</v>
      </c>
    </row>
    <row r="143" spans="1:7" x14ac:dyDescent="0.2">
      <c r="A143" t="s">
        <v>259</v>
      </c>
      <c r="B143" t="s">
        <v>196</v>
      </c>
      <c r="C143" s="19">
        <v>0.22512557999999999</v>
      </c>
      <c r="D143">
        <v>166.3</v>
      </c>
      <c r="E143">
        <v>14</v>
      </c>
      <c r="F143" t="e">
        <v>#N/A</v>
      </c>
      <c r="G143" t="e">
        <v>#N/A</v>
      </c>
    </row>
    <row r="144" spans="1:7" hidden="1" x14ac:dyDescent="0.2">
      <c r="A144" t="s">
        <v>629</v>
      </c>
      <c r="B144" t="s">
        <v>193</v>
      </c>
      <c r="C144" s="19">
        <v>0.14858209</v>
      </c>
      <c r="D144" t="e">
        <v>#N/A</v>
      </c>
      <c r="E144" t="e">
        <v>#N/A</v>
      </c>
      <c r="F144" t="e">
        <v>#N/A</v>
      </c>
      <c r="G144" t="e">
        <v>#N/A</v>
      </c>
    </row>
    <row r="145" spans="1:7" hidden="1" x14ac:dyDescent="0.2">
      <c r="A145" t="s">
        <v>235</v>
      </c>
      <c r="B145" t="s">
        <v>191</v>
      </c>
      <c r="C145" s="19">
        <v>0.14758626999999999</v>
      </c>
      <c r="D145">
        <v>52.4</v>
      </c>
      <c r="E145">
        <v>5</v>
      </c>
      <c r="F145" t="s">
        <v>1412</v>
      </c>
      <c r="G145" t="e">
        <v>#N/A</v>
      </c>
    </row>
    <row r="146" spans="1:7" hidden="1" x14ac:dyDescent="0.2">
      <c r="A146" t="s">
        <v>236</v>
      </c>
      <c r="B146" t="s">
        <v>384</v>
      </c>
      <c r="C146" s="19">
        <v>0.14214477</v>
      </c>
      <c r="D146">
        <v>178.6</v>
      </c>
      <c r="E146">
        <v>15</v>
      </c>
      <c r="F146" t="e">
        <v>#N/A</v>
      </c>
      <c r="G146" t="e">
        <v>#N/A</v>
      </c>
    </row>
    <row r="147" spans="1:7" hidden="1" x14ac:dyDescent="0.2">
      <c r="A147" t="s">
        <v>237</v>
      </c>
      <c r="B147" t="s">
        <v>195</v>
      </c>
      <c r="C147" s="19">
        <v>0.14082049999999999</v>
      </c>
      <c r="D147">
        <v>178.9</v>
      </c>
      <c r="E147">
        <v>15</v>
      </c>
      <c r="F147" t="e">
        <v>#N/A</v>
      </c>
      <c r="G147" t="e">
        <v>#N/A</v>
      </c>
    </row>
    <row r="148" spans="1:7" hidden="1" x14ac:dyDescent="0.2">
      <c r="A148" t="s">
        <v>238</v>
      </c>
      <c r="B148" t="s">
        <v>312</v>
      </c>
      <c r="C148" s="19">
        <v>0.13504604000000001</v>
      </c>
      <c r="D148">
        <v>5</v>
      </c>
      <c r="E148">
        <v>1</v>
      </c>
      <c r="F148" t="s">
        <v>15</v>
      </c>
      <c r="G148" t="e">
        <v>#N/A</v>
      </c>
    </row>
    <row r="149" spans="1:7" hidden="1" x14ac:dyDescent="0.2">
      <c r="A149" t="s">
        <v>239</v>
      </c>
      <c r="B149" t="s">
        <v>194</v>
      </c>
      <c r="C149" s="19">
        <v>0.13225274000000001</v>
      </c>
      <c r="D149">
        <v>4.5</v>
      </c>
      <c r="E149">
        <v>1</v>
      </c>
      <c r="F149" t="s">
        <v>6</v>
      </c>
      <c r="G149" t="e">
        <v>#N/A</v>
      </c>
    </row>
    <row r="150" spans="1:7" x14ac:dyDescent="0.2">
      <c r="A150" t="s">
        <v>976</v>
      </c>
      <c r="B150" t="s">
        <v>196</v>
      </c>
      <c r="C150" s="19">
        <v>0.22314149</v>
      </c>
      <c r="D150">
        <v>129.19999999999999</v>
      </c>
      <c r="E150">
        <v>11</v>
      </c>
      <c r="F150" t="e">
        <v>#N/A</v>
      </c>
      <c r="G150" t="s">
        <v>6</v>
      </c>
    </row>
    <row r="151" spans="1:7" hidden="1" x14ac:dyDescent="0.2">
      <c r="A151" t="s">
        <v>240</v>
      </c>
      <c r="B151" t="s">
        <v>195</v>
      </c>
      <c r="C151" s="19">
        <v>0.13205668000000001</v>
      </c>
      <c r="D151">
        <v>282.8</v>
      </c>
      <c r="E151">
        <v>24</v>
      </c>
      <c r="F151" t="e">
        <v>#N/A</v>
      </c>
      <c r="G151" t="e">
        <v>#N/A</v>
      </c>
    </row>
    <row r="152" spans="1:7" hidden="1" x14ac:dyDescent="0.2">
      <c r="A152" t="s">
        <v>241</v>
      </c>
      <c r="B152" t="s">
        <v>309</v>
      </c>
      <c r="C152" s="19">
        <v>0.13148699999999999</v>
      </c>
      <c r="D152">
        <v>332.7</v>
      </c>
      <c r="E152">
        <v>28</v>
      </c>
      <c r="F152" t="s">
        <v>6</v>
      </c>
      <c r="G152" t="e">
        <v>#N/A</v>
      </c>
    </row>
    <row r="153" spans="1:7" hidden="1" x14ac:dyDescent="0.2">
      <c r="A153" t="s">
        <v>24</v>
      </c>
      <c r="B153" t="s">
        <v>195</v>
      </c>
      <c r="C153" s="19">
        <v>0.12744358</v>
      </c>
      <c r="D153">
        <v>9.1999999999999993</v>
      </c>
      <c r="E153">
        <v>1</v>
      </c>
      <c r="F153" t="s">
        <v>15</v>
      </c>
      <c r="G153" t="e">
        <v>#N/A</v>
      </c>
    </row>
    <row r="154" spans="1:7" hidden="1" x14ac:dyDescent="0.2">
      <c r="A154" t="s">
        <v>242</v>
      </c>
      <c r="B154" t="s">
        <v>195</v>
      </c>
      <c r="C154" s="19">
        <v>0.12542320000000001</v>
      </c>
      <c r="D154">
        <v>208.3</v>
      </c>
      <c r="E154">
        <v>18</v>
      </c>
      <c r="F154" t="s">
        <v>1412</v>
      </c>
      <c r="G154" t="e">
        <v>#N/A</v>
      </c>
    </row>
    <row r="155" spans="1:7" hidden="1" x14ac:dyDescent="0.2">
      <c r="A155" t="s">
        <v>243</v>
      </c>
      <c r="B155" t="s">
        <v>195</v>
      </c>
      <c r="C155" s="19">
        <v>0.12348534</v>
      </c>
      <c r="D155">
        <v>186.6</v>
      </c>
      <c r="E155">
        <v>16</v>
      </c>
      <c r="F155" t="s">
        <v>6</v>
      </c>
      <c r="G155" t="e">
        <v>#N/A</v>
      </c>
    </row>
    <row r="156" spans="1:7" hidden="1" x14ac:dyDescent="0.2">
      <c r="A156" t="s">
        <v>244</v>
      </c>
      <c r="B156" t="s">
        <v>374</v>
      </c>
      <c r="C156" s="19">
        <v>0.12192676</v>
      </c>
      <c r="D156">
        <v>300.89999999999998</v>
      </c>
      <c r="E156">
        <v>26</v>
      </c>
      <c r="F156" t="s">
        <v>6</v>
      </c>
      <c r="G156" t="e">
        <v>#N/A</v>
      </c>
    </row>
    <row r="157" spans="1:7" hidden="1" x14ac:dyDescent="0.2">
      <c r="A157" t="s">
        <v>245</v>
      </c>
      <c r="B157" t="s">
        <v>194</v>
      </c>
      <c r="C157" s="19">
        <v>0.11933522000000001</v>
      </c>
      <c r="D157">
        <v>147.19999999999999</v>
      </c>
      <c r="E157">
        <v>13</v>
      </c>
      <c r="F157" t="e">
        <v>#N/A</v>
      </c>
      <c r="G157" t="e">
        <v>#N/A</v>
      </c>
    </row>
    <row r="158" spans="1:7" hidden="1" x14ac:dyDescent="0.2">
      <c r="A158" t="s">
        <v>246</v>
      </c>
      <c r="B158" t="s">
        <v>321</v>
      </c>
      <c r="C158" s="19">
        <v>0.118018426</v>
      </c>
      <c r="D158">
        <v>202.8</v>
      </c>
      <c r="E158">
        <v>17</v>
      </c>
      <c r="F158" t="s">
        <v>15</v>
      </c>
      <c r="G158" t="e">
        <v>#N/A</v>
      </c>
    </row>
    <row r="159" spans="1:7" hidden="1" x14ac:dyDescent="0.2">
      <c r="A159" t="s">
        <v>981</v>
      </c>
      <c r="B159" t="s">
        <v>197</v>
      </c>
      <c r="C159" s="19">
        <v>0.83589239999999998</v>
      </c>
      <c r="D159">
        <v>121.5</v>
      </c>
      <c r="E159">
        <v>11</v>
      </c>
      <c r="F159" t="e">
        <v>#N/A</v>
      </c>
      <c r="G159" t="e">
        <v>#N/A</v>
      </c>
    </row>
    <row r="160" spans="1:7" hidden="1" x14ac:dyDescent="0.2">
      <c r="A160" t="s">
        <v>659</v>
      </c>
      <c r="B160" t="s">
        <v>195</v>
      </c>
      <c r="C160" s="19">
        <v>0.117940105</v>
      </c>
      <c r="D160" t="e">
        <v>#N/A</v>
      </c>
      <c r="E160" t="e">
        <v>#N/A</v>
      </c>
      <c r="F160" t="e">
        <v>#N/A</v>
      </c>
      <c r="G160" t="e">
        <v>#N/A</v>
      </c>
    </row>
    <row r="161" spans="1:7" hidden="1" x14ac:dyDescent="0.2">
      <c r="A161" t="s">
        <v>1082</v>
      </c>
      <c r="B161" t="s">
        <v>197</v>
      </c>
      <c r="C161" s="19">
        <v>0.83449470000000003</v>
      </c>
      <c r="D161" t="e">
        <v>#N/A</v>
      </c>
      <c r="E161" t="e">
        <v>#N/A</v>
      </c>
      <c r="F161" t="e">
        <v>#N/A</v>
      </c>
      <c r="G161" t="e">
        <v>#N/A</v>
      </c>
    </row>
    <row r="162" spans="1:7" hidden="1" x14ac:dyDescent="0.2">
      <c r="A162" t="s">
        <v>966</v>
      </c>
      <c r="B162" t="s">
        <v>197</v>
      </c>
      <c r="C162" s="19">
        <v>0.82513433999999997</v>
      </c>
      <c r="D162">
        <v>177.3</v>
      </c>
      <c r="E162">
        <v>15</v>
      </c>
      <c r="F162" t="e">
        <v>#N/A</v>
      </c>
      <c r="G162" t="e">
        <v>#N/A</v>
      </c>
    </row>
    <row r="163" spans="1:7" hidden="1" x14ac:dyDescent="0.2">
      <c r="A163" t="s">
        <v>962</v>
      </c>
      <c r="B163" t="s">
        <v>1005</v>
      </c>
      <c r="C163" s="19">
        <v>0.82147139999999996</v>
      </c>
      <c r="D163">
        <v>229</v>
      </c>
      <c r="E163">
        <v>20</v>
      </c>
      <c r="F163" t="e">
        <v>#N/A</v>
      </c>
      <c r="G163" t="e">
        <v>#N/A</v>
      </c>
    </row>
    <row r="164" spans="1:7" hidden="1" x14ac:dyDescent="0.2">
      <c r="A164" t="s">
        <v>1403</v>
      </c>
      <c r="B164" t="s">
        <v>197</v>
      </c>
      <c r="C164" s="19">
        <v>0.81833714000000002</v>
      </c>
      <c r="D164" t="e">
        <v>#N/A</v>
      </c>
      <c r="E164" t="e">
        <v>#N/A</v>
      </c>
      <c r="F164" t="e">
        <v>#N/A</v>
      </c>
      <c r="G164" t="e">
        <v>#N/A</v>
      </c>
    </row>
    <row r="165" spans="1:7" hidden="1" x14ac:dyDescent="0.2">
      <c r="A165" t="s">
        <v>968</v>
      </c>
      <c r="B165" t="s">
        <v>197</v>
      </c>
      <c r="C165" s="19">
        <v>0.81632006000000001</v>
      </c>
      <c r="D165">
        <v>50.9</v>
      </c>
      <c r="E165">
        <v>5</v>
      </c>
      <c r="F165" t="e">
        <v>#N/A</v>
      </c>
      <c r="G165" t="e">
        <v>#N/A</v>
      </c>
    </row>
    <row r="166" spans="1:7" hidden="1" x14ac:dyDescent="0.2">
      <c r="A166" t="s">
        <v>1416</v>
      </c>
      <c r="B166" t="s">
        <v>197</v>
      </c>
      <c r="C166" s="19">
        <v>0.80380063999999996</v>
      </c>
      <c r="D166">
        <v>56.9</v>
      </c>
      <c r="E166">
        <v>5</v>
      </c>
      <c r="F166" t="e">
        <v>#N/A</v>
      </c>
      <c r="G166" t="e">
        <v>#N/A</v>
      </c>
    </row>
    <row r="167" spans="1:7" hidden="1" x14ac:dyDescent="0.2">
      <c r="A167" t="s">
        <v>1176</v>
      </c>
      <c r="B167" t="s">
        <v>197</v>
      </c>
      <c r="C167" s="19">
        <v>0.80147975999999999</v>
      </c>
      <c r="D167" t="e">
        <v>#N/A</v>
      </c>
      <c r="E167" t="e">
        <v>#N/A</v>
      </c>
      <c r="F167" t="e">
        <v>#N/A</v>
      </c>
      <c r="G167" t="e">
        <v>#N/A</v>
      </c>
    </row>
    <row r="168" spans="1:7" hidden="1" x14ac:dyDescent="0.2">
      <c r="A168" t="s">
        <v>1148</v>
      </c>
      <c r="B168" t="s">
        <v>197</v>
      </c>
      <c r="C168" s="19">
        <v>0.79597790000000002</v>
      </c>
      <c r="D168" t="e">
        <v>#N/A</v>
      </c>
      <c r="E168" t="e">
        <v>#N/A</v>
      </c>
      <c r="F168" t="e">
        <v>#N/A</v>
      </c>
      <c r="G168" t="e">
        <v>#N/A</v>
      </c>
    </row>
    <row r="169" spans="1:7" hidden="1" x14ac:dyDescent="0.2">
      <c r="A169" t="s">
        <v>330</v>
      </c>
      <c r="B169" t="s">
        <v>194</v>
      </c>
      <c r="C169" s="19">
        <v>0.105907485</v>
      </c>
      <c r="D169">
        <v>25.7</v>
      </c>
      <c r="E169">
        <v>3</v>
      </c>
      <c r="F169" t="s">
        <v>6</v>
      </c>
      <c r="G169" t="e">
        <v>#N/A</v>
      </c>
    </row>
    <row r="170" spans="1:7" hidden="1" x14ac:dyDescent="0.2">
      <c r="A170" t="s">
        <v>756</v>
      </c>
      <c r="B170" t="s">
        <v>328</v>
      </c>
      <c r="C170" s="19">
        <v>0.105329245</v>
      </c>
      <c r="D170" t="e">
        <v>#N/A</v>
      </c>
      <c r="E170" t="e">
        <v>#N/A</v>
      </c>
      <c r="F170" t="e">
        <v>#N/A</v>
      </c>
      <c r="G170" t="e">
        <v>#N/A</v>
      </c>
    </row>
    <row r="171" spans="1:7" x14ac:dyDescent="0.2">
      <c r="A171" t="s">
        <v>252</v>
      </c>
      <c r="B171" t="s">
        <v>196</v>
      </c>
      <c r="C171" s="19">
        <v>0.21444150000000001</v>
      </c>
      <c r="D171">
        <v>98.4</v>
      </c>
      <c r="E171">
        <v>9</v>
      </c>
      <c r="F171" t="e">
        <v>#N/A</v>
      </c>
      <c r="G171" t="e">
        <v>#N/A</v>
      </c>
    </row>
    <row r="172" spans="1:7" hidden="1" x14ac:dyDescent="0.2">
      <c r="A172" t="s">
        <v>567</v>
      </c>
      <c r="B172" t="s">
        <v>195</v>
      </c>
      <c r="C172" s="19">
        <v>0.10316591999999999</v>
      </c>
      <c r="D172" t="e">
        <v>#N/A</v>
      </c>
      <c r="E172" t="e">
        <v>#N/A</v>
      </c>
      <c r="F172" t="e">
        <v>#N/A</v>
      </c>
      <c r="G172" t="e">
        <v>#N/A</v>
      </c>
    </row>
    <row r="173" spans="1:7" hidden="1" x14ac:dyDescent="0.2">
      <c r="A173" t="s">
        <v>1406</v>
      </c>
      <c r="B173" t="s">
        <v>1005</v>
      </c>
      <c r="C173" s="19">
        <v>0.76899329999999999</v>
      </c>
      <c r="D173">
        <v>197.2</v>
      </c>
      <c r="E173">
        <v>17</v>
      </c>
      <c r="F173" t="e">
        <v>#N/A</v>
      </c>
      <c r="G173" t="e">
        <v>#N/A</v>
      </c>
    </row>
    <row r="174" spans="1:7" x14ac:dyDescent="0.2">
      <c r="A174" t="s">
        <v>951</v>
      </c>
      <c r="B174" t="s">
        <v>196</v>
      </c>
      <c r="C174" s="19">
        <v>0.21010176999999999</v>
      </c>
      <c r="D174">
        <v>37.299999999999997</v>
      </c>
      <c r="E174">
        <v>4</v>
      </c>
      <c r="F174" t="e">
        <v>#N/A</v>
      </c>
      <c r="G174" t="e">
        <v>#N/A</v>
      </c>
    </row>
    <row r="175" spans="1:7" hidden="1" x14ac:dyDescent="0.2">
      <c r="A175" t="s">
        <v>20</v>
      </c>
      <c r="B175" t="s">
        <v>318</v>
      </c>
      <c r="C175" s="19">
        <v>0.101509444</v>
      </c>
      <c r="D175">
        <v>12.7</v>
      </c>
      <c r="E175">
        <v>2</v>
      </c>
      <c r="F175" t="s">
        <v>6</v>
      </c>
      <c r="G175" t="e">
        <v>#N/A</v>
      </c>
    </row>
    <row r="176" spans="1:7" hidden="1" x14ac:dyDescent="0.2">
      <c r="A176" t="s">
        <v>674</v>
      </c>
      <c r="B176" t="s">
        <v>191</v>
      </c>
      <c r="C176" s="19">
        <v>9.9427150000000006E-2</v>
      </c>
      <c r="D176">
        <v>729.5</v>
      </c>
      <c r="E176">
        <v>61</v>
      </c>
      <c r="F176" t="e">
        <v>#N/A</v>
      </c>
      <c r="G176" t="e">
        <v>#N/A</v>
      </c>
    </row>
    <row r="177" spans="1:7" hidden="1" x14ac:dyDescent="0.2">
      <c r="A177" t="s">
        <v>485</v>
      </c>
      <c r="B177" t="s">
        <v>191</v>
      </c>
      <c r="C177" s="19">
        <v>9.7324190000000005E-2</v>
      </c>
      <c r="D177">
        <v>347.5</v>
      </c>
      <c r="E177">
        <v>29</v>
      </c>
      <c r="F177" t="s">
        <v>1412</v>
      </c>
      <c r="G177" t="e">
        <v>#N/A</v>
      </c>
    </row>
    <row r="178" spans="1:7" hidden="1" x14ac:dyDescent="0.2">
      <c r="A178" t="s">
        <v>515</v>
      </c>
      <c r="B178" t="s">
        <v>192</v>
      </c>
      <c r="C178" s="19">
        <v>9.4205566000000004E-2</v>
      </c>
      <c r="D178">
        <v>403.7</v>
      </c>
      <c r="E178">
        <v>34</v>
      </c>
      <c r="F178" t="e">
        <v>#N/A</v>
      </c>
      <c r="G178" t="e">
        <v>#N/A</v>
      </c>
    </row>
    <row r="179" spans="1:7" hidden="1" x14ac:dyDescent="0.2">
      <c r="A179" t="s">
        <v>1153</v>
      </c>
      <c r="B179" t="s">
        <v>197</v>
      </c>
      <c r="C179" s="19">
        <v>0.75966389999999995</v>
      </c>
      <c r="D179" t="e">
        <v>#N/A</v>
      </c>
      <c r="E179" t="e">
        <v>#N/A</v>
      </c>
      <c r="F179" t="e">
        <v>#N/A</v>
      </c>
      <c r="G179" t="e">
        <v>#N/A</v>
      </c>
    </row>
    <row r="180" spans="1:7" hidden="1" x14ac:dyDescent="0.2">
      <c r="A180" t="s">
        <v>955</v>
      </c>
      <c r="B180" t="s">
        <v>197</v>
      </c>
      <c r="C180" s="19">
        <v>0.75655085</v>
      </c>
      <c r="D180">
        <v>34.9</v>
      </c>
      <c r="E180">
        <v>3</v>
      </c>
      <c r="F180" t="e">
        <v>#N/A</v>
      </c>
      <c r="G180" t="e">
        <v>#N/A</v>
      </c>
    </row>
    <row r="181" spans="1:7" hidden="1" x14ac:dyDescent="0.2">
      <c r="A181" t="s">
        <v>634</v>
      </c>
      <c r="B181" t="s">
        <v>195</v>
      </c>
      <c r="C181" s="19">
        <v>9.4142586E-2</v>
      </c>
      <c r="D181">
        <v>659.8</v>
      </c>
      <c r="E181">
        <v>55</v>
      </c>
      <c r="F181" t="e">
        <v>#N/A</v>
      </c>
      <c r="G181" t="e">
        <v>#N/A</v>
      </c>
    </row>
    <row r="182" spans="1:7" hidden="1" x14ac:dyDescent="0.2">
      <c r="A182" t="s">
        <v>1407</v>
      </c>
      <c r="B182" t="s">
        <v>197</v>
      </c>
      <c r="C182" s="19">
        <v>0.75431510000000002</v>
      </c>
      <c r="D182" t="e">
        <v>#N/A</v>
      </c>
      <c r="E182" t="e">
        <v>#N/A</v>
      </c>
      <c r="F182" t="e">
        <v>#N/A</v>
      </c>
      <c r="G182" t="e">
        <v>#N/A</v>
      </c>
    </row>
    <row r="183" spans="1:7" hidden="1" x14ac:dyDescent="0.2">
      <c r="A183" t="s">
        <v>339</v>
      </c>
      <c r="B183" t="s">
        <v>329</v>
      </c>
      <c r="C183" s="19">
        <v>9.2417719999999995E-2</v>
      </c>
      <c r="D183">
        <v>57.6</v>
      </c>
      <c r="E183">
        <v>5</v>
      </c>
      <c r="F183" t="s">
        <v>1412</v>
      </c>
      <c r="G183" t="e">
        <v>#N/A</v>
      </c>
    </row>
    <row r="184" spans="1:7" hidden="1" x14ac:dyDescent="0.2">
      <c r="A184" t="s">
        <v>1246</v>
      </c>
      <c r="B184" t="s">
        <v>197</v>
      </c>
      <c r="C184" s="19">
        <v>0.75326499999999996</v>
      </c>
      <c r="D184" t="e">
        <v>#N/A</v>
      </c>
      <c r="E184" t="e">
        <v>#N/A</v>
      </c>
      <c r="F184" t="e">
        <v>#N/A</v>
      </c>
      <c r="G184" t="e">
        <v>#N/A</v>
      </c>
    </row>
    <row r="185" spans="1:7" hidden="1" x14ac:dyDescent="0.2">
      <c r="A185" t="s">
        <v>1247</v>
      </c>
      <c r="B185" t="s">
        <v>197</v>
      </c>
      <c r="C185" s="19">
        <v>0.75111704999999995</v>
      </c>
      <c r="D185" t="e">
        <v>#N/A</v>
      </c>
      <c r="E185" t="e">
        <v>#N/A</v>
      </c>
      <c r="F185" t="e">
        <v>#N/A</v>
      </c>
      <c r="G185" t="e">
        <v>#N/A</v>
      </c>
    </row>
    <row r="186" spans="1:7" x14ac:dyDescent="0.2">
      <c r="A186" t="s">
        <v>988</v>
      </c>
      <c r="B186" t="s">
        <v>196</v>
      </c>
      <c r="C186" s="19">
        <v>0.20669362999999999</v>
      </c>
      <c r="D186">
        <v>263.3</v>
      </c>
      <c r="E186">
        <v>22</v>
      </c>
      <c r="F186" t="e">
        <v>#N/A</v>
      </c>
      <c r="G186" t="e">
        <v>#N/A</v>
      </c>
    </row>
    <row r="187" spans="1:7" x14ac:dyDescent="0.2">
      <c r="A187" t="s">
        <v>980</v>
      </c>
      <c r="B187" t="s">
        <v>196</v>
      </c>
      <c r="C187" s="19">
        <v>0.19448388</v>
      </c>
      <c r="D187">
        <v>279.7</v>
      </c>
      <c r="E187">
        <v>24</v>
      </c>
      <c r="F187" t="e">
        <v>#N/A</v>
      </c>
      <c r="G187" t="s">
        <v>15</v>
      </c>
    </row>
    <row r="188" spans="1:7" x14ac:dyDescent="0.2">
      <c r="A188" t="s">
        <v>260</v>
      </c>
      <c r="B188" t="s">
        <v>196</v>
      </c>
      <c r="C188" s="19">
        <v>0.19081157000000001</v>
      </c>
      <c r="D188" t="e">
        <v>#N/A</v>
      </c>
      <c r="E188" t="e">
        <v>#N/A</v>
      </c>
      <c r="F188" t="e">
        <v>#N/A</v>
      </c>
      <c r="G188" t="s">
        <v>6</v>
      </c>
    </row>
    <row r="189" spans="1:7" hidden="1" x14ac:dyDescent="0.2">
      <c r="A189" t="s">
        <v>409</v>
      </c>
      <c r="B189" t="s">
        <v>193</v>
      </c>
      <c r="C189" s="19">
        <v>9.2345250000000004E-2</v>
      </c>
      <c r="D189">
        <v>197.4</v>
      </c>
      <c r="E189">
        <v>17</v>
      </c>
      <c r="F189" t="s">
        <v>1412</v>
      </c>
      <c r="G189" t="e">
        <v>#N/A</v>
      </c>
    </row>
    <row r="190" spans="1:7" x14ac:dyDescent="0.2">
      <c r="A190" t="s">
        <v>970</v>
      </c>
      <c r="B190" t="s">
        <v>196</v>
      </c>
      <c r="C190" s="19">
        <v>0.17540014000000001</v>
      </c>
      <c r="D190">
        <v>88.7</v>
      </c>
      <c r="E190">
        <v>8</v>
      </c>
      <c r="F190" t="e">
        <v>#N/A</v>
      </c>
      <c r="G190" t="s">
        <v>6</v>
      </c>
    </row>
    <row r="191" spans="1:7" hidden="1" x14ac:dyDescent="0.2">
      <c r="A191" t="s">
        <v>471</v>
      </c>
      <c r="B191" t="s">
        <v>306</v>
      </c>
      <c r="C191" s="19">
        <v>9.1625929999999994E-2</v>
      </c>
      <c r="D191">
        <v>323.5</v>
      </c>
      <c r="E191">
        <v>27</v>
      </c>
      <c r="F191" t="s">
        <v>1412</v>
      </c>
      <c r="G191" t="e">
        <v>#N/A</v>
      </c>
    </row>
    <row r="192" spans="1:7" x14ac:dyDescent="0.2">
      <c r="A192" t="s">
        <v>286</v>
      </c>
      <c r="B192" t="s">
        <v>196</v>
      </c>
      <c r="C192" s="19">
        <v>0.16272049</v>
      </c>
      <c r="D192" t="e">
        <v>#N/A</v>
      </c>
      <c r="E192" t="e">
        <v>#N/A</v>
      </c>
      <c r="F192" t="e">
        <v>#N/A</v>
      </c>
      <c r="G192" t="s">
        <v>15</v>
      </c>
    </row>
    <row r="193" spans="1:7" x14ac:dyDescent="0.2">
      <c r="A193" t="s">
        <v>1065</v>
      </c>
      <c r="B193" t="s">
        <v>196</v>
      </c>
      <c r="C193" s="19">
        <v>0.15414311</v>
      </c>
      <c r="D193" t="e">
        <v>#N/A</v>
      </c>
      <c r="E193" t="e">
        <v>#N/A</v>
      </c>
      <c r="F193" t="e">
        <v>#N/A</v>
      </c>
      <c r="G193" t="s">
        <v>1412</v>
      </c>
    </row>
    <row r="194" spans="1:7" hidden="1" x14ac:dyDescent="0.2">
      <c r="A194" t="s">
        <v>376</v>
      </c>
      <c r="B194" t="s">
        <v>195</v>
      </c>
      <c r="C194" s="19">
        <v>9.1316759999999997E-2</v>
      </c>
      <c r="D194">
        <v>134.5</v>
      </c>
      <c r="E194">
        <v>12</v>
      </c>
      <c r="F194" t="s">
        <v>15</v>
      </c>
      <c r="G194" t="e">
        <v>#N/A</v>
      </c>
    </row>
    <row r="195" spans="1:7" hidden="1" x14ac:dyDescent="0.2">
      <c r="A195" t="s">
        <v>470</v>
      </c>
      <c r="B195" t="s">
        <v>328</v>
      </c>
      <c r="C195" s="19">
        <v>9.0818666000000006E-2</v>
      </c>
      <c r="D195">
        <v>319.10000000000002</v>
      </c>
      <c r="E195">
        <v>27</v>
      </c>
      <c r="F195" t="e">
        <v>#N/A</v>
      </c>
      <c r="G195" t="e">
        <v>#N/A</v>
      </c>
    </row>
    <row r="196" spans="1:7" hidden="1" x14ac:dyDescent="0.2">
      <c r="A196" t="s">
        <v>247</v>
      </c>
      <c r="B196" t="s">
        <v>195</v>
      </c>
      <c r="C196" s="19">
        <v>8.9512759999999997E-2</v>
      </c>
      <c r="D196" t="e">
        <v>#N/A</v>
      </c>
      <c r="E196" t="e">
        <v>#N/A</v>
      </c>
      <c r="F196" t="e">
        <v>#N/A</v>
      </c>
      <c r="G196" t="e">
        <v>#N/A</v>
      </c>
    </row>
    <row r="197" spans="1:7" x14ac:dyDescent="0.2">
      <c r="A197" t="s">
        <v>989</v>
      </c>
      <c r="B197" t="s">
        <v>196</v>
      </c>
      <c r="C197" s="19">
        <v>0.15399467999999999</v>
      </c>
      <c r="D197">
        <v>98.4</v>
      </c>
      <c r="E197">
        <v>9</v>
      </c>
      <c r="F197" t="e">
        <v>#N/A</v>
      </c>
      <c r="G197" t="s">
        <v>6</v>
      </c>
    </row>
    <row r="198" spans="1:7" x14ac:dyDescent="0.2">
      <c r="A198" t="s">
        <v>1120</v>
      </c>
      <c r="B198" t="s">
        <v>196</v>
      </c>
      <c r="C198" s="19">
        <v>0.14698154999999999</v>
      </c>
      <c r="D198" t="e">
        <v>#N/A</v>
      </c>
      <c r="E198" t="e">
        <v>#N/A</v>
      </c>
      <c r="F198" t="e">
        <v>#N/A</v>
      </c>
      <c r="G198" t="s">
        <v>1412</v>
      </c>
    </row>
    <row r="199" spans="1:7" x14ac:dyDescent="0.2">
      <c r="A199" t="s">
        <v>1041</v>
      </c>
      <c r="B199" t="s">
        <v>196</v>
      </c>
      <c r="C199" s="19">
        <v>0.14428885</v>
      </c>
      <c r="D199" t="e">
        <v>#N/A</v>
      </c>
      <c r="E199" t="e">
        <v>#N/A</v>
      </c>
      <c r="F199" t="e">
        <v>#N/A</v>
      </c>
      <c r="G199" t="e">
        <v>#N/A</v>
      </c>
    </row>
    <row r="200" spans="1:7" hidden="1" x14ac:dyDescent="0.2">
      <c r="A200" t="s">
        <v>537</v>
      </c>
      <c r="B200" t="s">
        <v>352</v>
      </c>
      <c r="C200" s="19">
        <v>8.6566439999999995E-2</v>
      </c>
      <c r="D200">
        <v>450.6</v>
      </c>
      <c r="E200">
        <v>38</v>
      </c>
      <c r="F200" t="e">
        <v>#N/A</v>
      </c>
      <c r="G200" t="e">
        <v>#N/A</v>
      </c>
    </row>
    <row r="201" spans="1:7" hidden="1" x14ac:dyDescent="0.2">
      <c r="A201" t="s">
        <v>483</v>
      </c>
      <c r="B201" t="s">
        <v>309</v>
      </c>
      <c r="C201" s="19">
        <v>8.6531150000000001E-2</v>
      </c>
      <c r="D201" t="e">
        <v>#N/A</v>
      </c>
      <c r="E201" t="e">
        <v>#N/A</v>
      </c>
      <c r="F201" t="e">
        <v>#N/A</v>
      </c>
      <c r="G201" t="e">
        <v>#N/A</v>
      </c>
    </row>
    <row r="202" spans="1:7" x14ac:dyDescent="0.2">
      <c r="A202" t="s">
        <v>1087</v>
      </c>
      <c r="B202" t="s">
        <v>196</v>
      </c>
      <c r="C202" s="19">
        <v>0.13740563</v>
      </c>
      <c r="D202" t="e">
        <v>#N/A</v>
      </c>
      <c r="E202" t="e">
        <v>#N/A</v>
      </c>
      <c r="F202" t="e">
        <v>#N/A</v>
      </c>
      <c r="G202" t="s">
        <v>6</v>
      </c>
    </row>
    <row r="203" spans="1:7" x14ac:dyDescent="0.2">
      <c r="A203" t="s">
        <v>983</v>
      </c>
      <c r="B203" t="s">
        <v>196</v>
      </c>
      <c r="C203" s="19">
        <v>0.12240210999999999</v>
      </c>
      <c r="D203">
        <v>66.8</v>
      </c>
      <c r="E203">
        <v>6</v>
      </c>
      <c r="F203" t="e">
        <v>#N/A</v>
      </c>
      <c r="G203" t="s">
        <v>6</v>
      </c>
    </row>
    <row r="204" spans="1:7" x14ac:dyDescent="0.2">
      <c r="A204" t="s">
        <v>960</v>
      </c>
      <c r="B204" t="s">
        <v>196</v>
      </c>
      <c r="C204" s="19">
        <v>0.10947340999999999</v>
      </c>
      <c r="D204">
        <v>136.80000000000001</v>
      </c>
      <c r="E204">
        <v>12</v>
      </c>
      <c r="F204" t="e">
        <v>#N/A</v>
      </c>
      <c r="G204" t="s">
        <v>1412</v>
      </c>
    </row>
    <row r="205" spans="1:7" hidden="1" x14ac:dyDescent="0.2">
      <c r="A205" t="s">
        <v>725</v>
      </c>
      <c r="B205" t="s">
        <v>726</v>
      </c>
      <c r="C205" s="19">
        <v>8.6162664E-2</v>
      </c>
      <c r="D205" t="e">
        <v>#N/A</v>
      </c>
      <c r="E205" t="e">
        <v>#N/A</v>
      </c>
      <c r="F205" t="e">
        <v>#N/A</v>
      </c>
      <c r="G205" t="e">
        <v>#N/A</v>
      </c>
    </row>
    <row r="206" spans="1:7" hidden="1" x14ac:dyDescent="0.2">
      <c r="A206" t="s">
        <v>363</v>
      </c>
      <c r="B206" t="s">
        <v>321</v>
      </c>
      <c r="C206" s="19">
        <v>8.1971569999999994E-2</v>
      </c>
      <c r="D206">
        <v>115.4</v>
      </c>
      <c r="E206">
        <v>10</v>
      </c>
      <c r="F206" t="s">
        <v>6</v>
      </c>
      <c r="G206" t="e">
        <v>#N/A</v>
      </c>
    </row>
    <row r="207" spans="1:7" x14ac:dyDescent="0.2">
      <c r="A207" t="s">
        <v>1024</v>
      </c>
      <c r="B207" t="s">
        <v>196</v>
      </c>
      <c r="C207" s="19">
        <v>0.10356321</v>
      </c>
      <c r="D207" t="e">
        <v>#N/A</v>
      </c>
      <c r="E207" t="e">
        <v>#N/A</v>
      </c>
      <c r="F207" t="e">
        <v>#N/A</v>
      </c>
      <c r="G207" t="s">
        <v>1412</v>
      </c>
    </row>
    <row r="208" spans="1:7" hidden="1" x14ac:dyDescent="0.2">
      <c r="A208" t="s">
        <v>614</v>
      </c>
      <c r="B208" t="s">
        <v>195</v>
      </c>
      <c r="C208" s="19">
        <v>8.0471189999999998E-2</v>
      </c>
      <c r="D208">
        <v>636.29999999999995</v>
      </c>
      <c r="E208">
        <v>54</v>
      </c>
      <c r="F208" t="e">
        <v>#N/A</v>
      </c>
      <c r="G208" t="e">
        <v>#N/A</v>
      </c>
    </row>
    <row r="209" spans="1:7" hidden="1" x14ac:dyDescent="0.2">
      <c r="A209" t="s">
        <v>400</v>
      </c>
      <c r="B209" t="s">
        <v>195</v>
      </c>
      <c r="C209" s="19">
        <v>8.0094730000000003E-2</v>
      </c>
      <c r="D209">
        <v>183.7</v>
      </c>
      <c r="E209">
        <v>16</v>
      </c>
      <c r="F209" t="s">
        <v>6</v>
      </c>
      <c r="G209" t="e">
        <v>#N/A</v>
      </c>
    </row>
    <row r="210" spans="1:7" hidden="1" x14ac:dyDescent="0.2">
      <c r="A210" t="s">
        <v>683</v>
      </c>
      <c r="B210" t="s">
        <v>193</v>
      </c>
      <c r="C210" s="19">
        <v>7.905363E-2</v>
      </c>
      <c r="D210" t="e">
        <v>#N/A</v>
      </c>
      <c r="E210" t="e">
        <v>#N/A</v>
      </c>
      <c r="F210" t="e">
        <v>#N/A</v>
      </c>
      <c r="G210" t="e">
        <v>#N/A</v>
      </c>
    </row>
    <row r="211" spans="1:7" hidden="1" x14ac:dyDescent="0.2">
      <c r="A211" t="s">
        <v>347</v>
      </c>
      <c r="B211" t="s">
        <v>329</v>
      </c>
      <c r="C211" s="19">
        <v>7.8589759999999995E-2</v>
      </c>
      <c r="D211">
        <v>75.8</v>
      </c>
      <c r="E211">
        <v>7</v>
      </c>
      <c r="F211" t="s">
        <v>1412</v>
      </c>
      <c r="G211" t="e">
        <v>#N/A</v>
      </c>
    </row>
    <row r="212" spans="1:7" hidden="1" x14ac:dyDescent="0.2">
      <c r="A212" t="s">
        <v>652</v>
      </c>
      <c r="B212" t="s">
        <v>192</v>
      </c>
      <c r="C212" s="19">
        <v>7.5922799999999999E-2</v>
      </c>
      <c r="D212" t="e">
        <v>#N/A</v>
      </c>
      <c r="E212" t="e">
        <v>#N/A</v>
      </c>
      <c r="F212" t="e">
        <v>#N/A</v>
      </c>
      <c r="G212" t="e">
        <v>#N/A</v>
      </c>
    </row>
    <row r="213" spans="1:7" hidden="1" x14ac:dyDescent="0.2">
      <c r="A213" t="s">
        <v>693</v>
      </c>
      <c r="B213" t="s">
        <v>431</v>
      </c>
      <c r="C213" s="19">
        <v>7.5139609999999996E-2</v>
      </c>
      <c r="D213">
        <v>741</v>
      </c>
      <c r="E213">
        <v>62</v>
      </c>
      <c r="F213" t="e">
        <v>#N/A</v>
      </c>
      <c r="G213" t="e">
        <v>#N/A</v>
      </c>
    </row>
  </sheetData>
  <autoFilter ref="A31:G213" xr:uid="{2B159E54-99E5-4537-A261-1352C227AF32}">
    <filterColumn colId="1">
      <filters>
        <filter val="SP"/>
      </filters>
    </filterColumn>
    <sortState xmlns:xlrd2="http://schemas.microsoft.com/office/spreadsheetml/2017/richdata2" ref="A36:G185">
      <sortCondition descending="1" ref="C31:C213"/>
    </sortState>
  </autoFilter>
  <sortState xmlns:xlrd2="http://schemas.microsoft.com/office/spreadsheetml/2017/richdata2" ref="A32:D213">
    <sortCondition ref="D32:D213"/>
    <sortCondition descending="1" ref="B32:B213"/>
  </sortState>
  <conditionalFormatting sqref="C32:C213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B05B8-945B-4C26-B745-5793FB2BB22B}">
  <dimension ref="A1:Z102"/>
  <sheetViews>
    <sheetView workbookViewId="0">
      <selection activeCell="R5" sqref="R5"/>
    </sheetView>
  </sheetViews>
  <sheetFormatPr baseColWidth="10" defaultColWidth="8.83203125" defaultRowHeight="15" x14ac:dyDescent="0.2"/>
  <cols>
    <col min="1" max="1" width="18.5" bestFit="1" customWidth="1"/>
    <col min="2" max="2" width="17.1640625" bestFit="1" customWidth="1"/>
    <col min="3" max="3" width="16.5" bestFit="1" customWidth="1"/>
    <col min="5" max="5" width="19.6640625" bestFit="1" customWidth="1"/>
    <col min="9" max="9" width="14.6640625" bestFit="1" customWidth="1"/>
    <col min="10" max="10" width="9.6640625" bestFit="1" customWidth="1"/>
    <col min="11" max="11" width="19.83203125" bestFit="1" customWidth="1"/>
    <col min="18" max="18" width="16.1640625" bestFit="1" customWidth="1"/>
    <col min="19" max="20" width="15" bestFit="1" customWidth="1"/>
    <col min="21" max="21" width="17" bestFit="1" customWidth="1"/>
    <col min="22" max="22" width="15" bestFit="1" customWidth="1"/>
    <col min="23" max="23" width="18.5" bestFit="1" customWidth="1"/>
    <col min="24" max="24" width="12.83203125" bestFit="1" customWidth="1"/>
  </cols>
  <sheetData>
    <row r="1" spans="1:26" x14ac:dyDescent="0.2">
      <c r="A1" t="s">
        <v>0</v>
      </c>
      <c r="B1" t="s">
        <v>3</v>
      </c>
      <c r="C1" t="s">
        <v>188</v>
      </c>
      <c r="E1" t="s">
        <v>39</v>
      </c>
      <c r="F1" t="s">
        <v>40</v>
      </c>
      <c r="K1" t="s">
        <v>187</v>
      </c>
      <c r="L1" t="s">
        <v>40</v>
      </c>
      <c r="M1" t="s">
        <v>297</v>
      </c>
      <c r="N1" t="s">
        <v>248</v>
      </c>
      <c r="Q1" t="s">
        <v>189</v>
      </c>
      <c r="R1" t="s">
        <v>190</v>
      </c>
      <c r="S1" t="s">
        <v>191</v>
      </c>
      <c r="T1" t="s">
        <v>192</v>
      </c>
      <c r="U1" t="s">
        <v>193</v>
      </c>
      <c r="V1" t="s">
        <v>194</v>
      </c>
      <c r="W1" t="s">
        <v>195</v>
      </c>
      <c r="X1" t="s">
        <v>201</v>
      </c>
      <c r="Y1" t="s">
        <v>196</v>
      </c>
      <c r="Z1" t="s">
        <v>197</v>
      </c>
    </row>
    <row r="2" spans="1:26" x14ac:dyDescent="0.2">
      <c r="A2" t="s">
        <v>1</v>
      </c>
      <c r="B2" t="s">
        <v>4</v>
      </c>
      <c r="C2">
        <f>VLOOKUP(A2,$K$1:$L$102,2,FALSE)</f>
        <v>0.91629530000000003</v>
      </c>
      <c r="E2" t="s">
        <v>87</v>
      </c>
      <c r="F2">
        <v>0.92943644999999997</v>
      </c>
      <c r="I2" t="str" cm="1">
        <f t="array" ref="I2:J2">_xlfn.TEXTSPLIT(E2,",")</f>
        <v>Ohtani</v>
      </c>
      <c r="J2" t="str">
        <v xml:space="preserve"> Shohei</v>
      </c>
      <c r="K2" t="str">
        <f>REPLACE(_xlfn.CONCAT(J2," ",I2), 1, 1,"")</f>
        <v>Shohei Ohtani</v>
      </c>
      <c r="L2">
        <v>0.92943644999999997</v>
      </c>
      <c r="M2">
        <f>VLOOKUP(K2,ADP!$B$1:$N$646,4,FALSE)</f>
        <v>1.5</v>
      </c>
      <c r="N2">
        <f>_xlfn.CEILING.MATH(M2/12)</f>
        <v>1</v>
      </c>
      <c r="R2" t="s">
        <v>215</v>
      </c>
      <c r="S2" t="s">
        <v>205</v>
      </c>
      <c r="T2" t="s">
        <v>206</v>
      </c>
      <c r="U2" t="s">
        <v>199</v>
      </c>
      <c r="V2" t="s">
        <v>11</v>
      </c>
      <c r="W2" t="s">
        <v>1</v>
      </c>
      <c r="X2" t="s">
        <v>5</v>
      </c>
    </row>
    <row r="3" spans="1:26" x14ac:dyDescent="0.2">
      <c r="E3" t="s">
        <v>88</v>
      </c>
      <c r="F3">
        <v>0.91629530000000003</v>
      </c>
      <c r="I3" t="str" cm="1">
        <f t="array" ref="I3:J3">_xlfn.TEXTSPLIT(E3,",")</f>
        <v>Judge</v>
      </c>
      <c r="J3" t="str">
        <v xml:space="preserve"> Aaron</v>
      </c>
      <c r="K3" t="str">
        <f t="shared" ref="K3:K66" si="0">REPLACE(_xlfn.CONCAT(J3," ",I3), 1, 1,"")</f>
        <v>Aaron Judge</v>
      </c>
      <c r="L3">
        <v>0.91629530000000003</v>
      </c>
      <c r="M3">
        <f>VLOOKUP(K3,ADP!$B$1:$N$646,4,FALSE)</f>
        <v>3.4</v>
      </c>
      <c r="N3">
        <f t="shared" ref="N3:N66" si="1">_xlfn.CEILING.MATH(M3/12)</f>
        <v>1</v>
      </c>
      <c r="R3" t="s">
        <v>223</v>
      </c>
      <c r="S3" t="s">
        <v>207</v>
      </c>
      <c r="T3" t="s">
        <v>32</v>
      </c>
      <c r="U3" t="s">
        <v>200</v>
      </c>
      <c r="V3" t="s">
        <v>25</v>
      </c>
      <c r="W3" t="s">
        <v>35</v>
      </c>
    </row>
    <row r="4" spans="1:26" x14ac:dyDescent="0.2">
      <c r="A4" t="s">
        <v>2</v>
      </c>
      <c r="E4" t="s">
        <v>89</v>
      </c>
      <c r="F4">
        <v>0.91178219999999999</v>
      </c>
      <c r="I4" t="str" cm="1">
        <f t="array" ref="I4:J4">_xlfn.TEXTSPLIT(E4,",")</f>
        <v>Guerrero Jr.</v>
      </c>
      <c r="J4" t="str">
        <v xml:space="preserve"> Vladimir</v>
      </c>
      <c r="K4" t="str">
        <f t="shared" si="0"/>
        <v>Vladimir Guerrero Jr.</v>
      </c>
      <c r="L4">
        <v>0.91178219999999999</v>
      </c>
      <c r="M4">
        <f>VLOOKUP(K4,ADP!$B$1:$N$646,4,FALSE)</f>
        <v>14.4</v>
      </c>
      <c r="N4">
        <f t="shared" si="1"/>
        <v>2</v>
      </c>
      <c r="R4" t="s">
        <v>1427</v>
      </c>
      <c r="S4" t="s">
        <v>229</v>
      </c>
      <c r="T4" t="s">
        <v>212</v>
      </c>
      <c r="U4" t="s">
        <v>202</v>
      </c>
      <c r="V4" t="s">
        <v>217</v>
      </c>
      <c r="W4" t="s">
        <v>198</v>
      </c>
    </row>
    <row r="5" spans="1:26" x14ac:dyDescent="0.2">
      <c r="A5" t="s">
        <v>5</v>
      </c>
      <c r="B5" t="s">
        <v>6</v>
      </c>
      <c r="C5">
        <f>VLOOKUP(A5,$K$1:$L$102,2,FALSE)</f>
        <v>0.92943644999999997</v>
      </c>
      <c r="E5" t="s">
        <v>90</v>
      </c>
      <c r="F5">
        <v>0.91174140000000004</v>
      </c>
      <c r="I5" t="str" cm="1">
        <f t="array" ref="I5:J5">_xlfn.TEXTSPLIT(E5,",")</f>
        <v>Tatis Jr.</v>
      </c>
      <c r="J5" t="str">
        <v xml:space="preserve"> Fernando</v>
      </c>
      <c r="K5" t="str">
        <f t="shared" si="0"/>
        <v>Fernando Tatis Jr.</v>
      </c>
      <c r="L5">
        <v>0.91174140000000004</v>
      </c>
      <c r="M5">
        <f>VLOOKUP(K5,ADP!$B$1:$N$646,4,FALSE)</f>
        <v>10.6</v>
      </c>
      <c r="N5">
        <f t="shared" si="1"/>
        <v>1</v>
      </c>
      <c r="S5" t="s">
        <v>13</v>
      </c>
      <c r="T5" t="s">
        <v>214</v>
      </c>
      <c r="U5" t="s">
        <v>16</v>
      </c>
      <c r="V5" t="s">
        <v>26</v>
      </c>
      <c r="W5" t="s">
        <v>9</v>
      </c>
    </row>
    <row r="6" spans="1:26" x14ac:dyDescent="0.2">
      <c r="E6" t="s">
        <v>91</v>
      </c>
      <c r="F6">
        <v>0.86973935000000002</v>
      </c>
      <c r="I6" t="str" cm="1">
        <f t="array" ref="I6:J6">_xlfn.TEXTSPLIT(E6,",")</f>
        <v>Soto</v>
      </c>
      <c r="J6" t="str">
        <v xml:space="preserve"> Juan</v>
      </c>
      <c r="K6" t="str">
        <f t="shared" si="0"/>
        <v>Juan Soto</v>
      </c>
      <c r="L6">
        <v>0.86973935000000002</v>
      </c>
      <c r="M6">
        <f>VLOOKUP(K6,ADP!$B$1:$N$646,4,FALSE)</f>
        <v>7.8</v>
      </c>
      <c r="N6">
        <f t="shared" si="1"/>
        <v>1</v>
      </c>
      <c r="S6" t="s">
        <v>235</v>
      </c>
      <c r="T6" t="s">
        <v>236</v>
      </c>
      <c r="U6" t="s">
        <v>216</v>
      </c>
      <c r="V6" t="s">
        <v>232</v>
      </c>
      <c r="W6" t="s">
        <v>7</v>
      </c>
    </row>
    <row r="7" spans="1:26" x14ac:dyDescent="0.2">
      <c r="A7" t="s">
        <v>8</v>
      </c>
      <c r="E7" t="s">
        <v>92</v>
      </c>
      <c r="F7">
        <v>0.86548610000000004</v>
      </c>
      <c r="I7" t="str" cm="1">
        <f t="array" ref="I7:J7">_xlfn.TEXTSPLIT(E7,",")</f>
        <v>Alvarez</v>
      </c>
      <c r="J7" t="str">
        <v xml:space="preserve"> Yordan</v>
      </c>
      <c r="K7" t="str">
        <f t="shared" si="0"/>
        <v>Yordan Alvarez</v>
      </c>
      <c r="L7">
        <v>0.86548610000000004</v>
      </c>
      <c r="M7">
        <f>VLOOKUP(K7,ADP!$B$1:$N$646,4,FALSE)</f>
        <v>17.600000000000001</v>
      </c>
      <c r="N7">
        <f t="shared" si="1"/>
        <v>2</v>
      </c>
      <c r="S7" t="s">
        <v>244</v>
      </c>
      <c r="T7" t="s">
        <v>20</v>
      </c>
      <c r="U7" t="s">
        <v>228</v>
      </c>
      <c r="V7" t="s">
        <v>239</v>
      </c>
      <c r="W7" t="s">
        <v>203</v>
      </c>
    </row>
    <row r="8" spans="1:26" x14ac:dyDescent="0.2">
      <c r="A8" t="s">
        <v>7</v>
      </c>
      <c r="B8" t="s">
        <v>6</v>
      </c>
      <c r="C8">
        <f>VLOOKUP(A8,$K$1:$L$102,2,FALSE)</f>
        <v>0.86548610000000004</v>
      </c>
      <c r="E8" t="s">
        <v>93</v>
      </c>
      <c r="F8">
        <v>0.85800560000000003</v>
      </c>
      <c r="I8" t="str" cm="1">
        <f t="array" ref="I8:J8">_xlfn.TEXTSPLIT(E8,",")</f>
        <v>Devers</v>
      </c>
      <c r="J8" t="str">
        <v xml:space="preserve"> Rafael</v>
      </c>
      <c r="K8" t="str">
        <f t="shared" si="0"/>
        <v>Rafael Devers</v>
      </c>
      <c r="L8">
        <v>0.85800560000000003</v>
      </c>
      <c r="M8">
        <f>VLOOKUP(K8,ADP!$B$1:$N$646,4,FALSE)</f>
        <v>34.799999999999997</v>
      </c>
      <c r="N8">
        <f t="shared" si="1"/>
        <v>3</v>
      </c>
      <c r="S8" t="s">
        <v>246</v>
      </c>
      <c r="U8" t="s">
        <v>238</v>
      </c>
      <c r="V8" t="s">
        <v>245</v>
      </c>
      <c r="W8" t="s">
        <v>204</v>
      </c>
    </row>
    <row r="9" spans="1:26" x14ac:dyDescent="0.2">
      <c r="A9" t="s">
        <v>9</v>
      </c>
      <c r="B9" t="s">
        <v>4</v>
      </c>
      <c r="C9">
        <f>VLOOKUP(A9,$K$1:$L$102,2,FALSE)</f>
        <v>0.86973935000000002</v>
      </c>
      <c r="E9" t="s">
        <v>94</v>
      </c>
      <c r="F9">
        <v>0.84943590000000002</v>
      </c>
      <c r="I9" t="str" cm="1">
        <f t="array" ref="I9:J9">_xlfn.TEXTSPLIT(E9,",")</f>
        <v>Riley</v>
      </c>
      <c r="J9" t="str">
        <v xml:space="preserve"> Austin</v>
      </c>
      <c r="K9" t="str">
        <f t="shared" si="0"/>
        <v>Austin Riley</v>
      </c>
      <c r="L9">
        <v>0.84943590000000002</v>
      </c>
      <c r="M9">
        <f>VLOOKUP(K9,ADP!$B$1:$N$646,4,FALSE)</f>
        <v>29.5</v>
      </c>
      <c r="N9">
        <f t="shared" si="1"/>
        <v>3</v>
      </c>
      <c r="V9" t="str">
        <f t="shared" ref="V9" si="2">REPLACE(_xlfn.CONCAT(U9," ",T9), 1, 1,"")</f>
        <v/>
      </c>
      <c r="W9" t="s">
        <v>27</v>
      </c>
    </row>
    <row r="10" spans="1:26" x14ac:dyDescent="0.2">
      <c r="E10" t="s">
        <v>95</v>
      </c>
      <c r="F10">
        <v>0.84757923999999996</v>
      </c>
      <c r="I10" t="str" cm="1">
        <f t="array" ref="I10:J10">_xlfn.TEXTSPLIT(E10,",")</f>
        <v>Witt Jr.</v>
      </c>
      <c r="J10" t="str">
        <v xml:space="preserve"> Bobby</v>
      </c>
      <c r="K10" t="str">
        <f t="shared" si="0"/>
        <v>Bobby Witt Jr.</v>
      </c>
      <c r="L10">
        <v>0.84757923999999996</v>
      </c>
      <c r="M10">
        <f>VLOOKUP(K10,ADP!$B$1:$N$646,4,FALSE)</f>
        <v>1.6</v>
      </c>
      <c r="N10">
        <f t="shared" si="1"/>
        <v>1</v>
      </c>
      <c r="W10" t="s">
        <v>207</v>
      </c>
    </row>
    <row r="11" spans="1:26" x14ac:dyDescent="0.2">
      <c r="A11" t="s">
        <v>10</v>
      </c>
      <c r="E11" t="s">
        <v>96</v>
      </c>
      <c r="F11">
        <v>0.82757979999999998</v>
      </c>
      <c r="I11" t="str" cm="1">
        <f t="array" ref="I11:J11">_xlfn.TEXTSPLIT(E11,",")</f>
        <v>Encarnacion</v>
      </c>
      <c r="J11" t="str">
        <v xml:space="preserve"> Jerar</v>
      </c>
      <c r="K11" t="str">
        <f t="shared" si="0"/>
        <v>Jerar Encarnacion</v>
      </c>
      <c r="L11">
        <v>0.82757979999999998</v>
      </c>
      <c r="M11" t="e">
        <f>VLOOKUP(K11,ADP!$B$1:$N$646,4,FALSE)</f>
        <v>#N/A</v>
      </c>
      <c r="N11" t="e">
        <f t="shared" si="1"/>
        <v>#N/A</v>
      </c>
      <c r="W11" t="s">
        <v>208</v>
      </c>
    </row>
    <row r="12" spans="1:26" x14ac:dyDescent="0.2">
      <c r="A12" t="s">
        <v>11</v>
      </c>
      <c r="B12" t="s">
        <v>4</v>
      </c>
      <c r="C12">
        <f>VLOOKUP(A12,$K$1:$L$102,2,FALSE)</f>
        <v>0.84757923999999996</v>
      </c>
      <c r="E12" t="s">
        <v>97</v>
      </c>
      <c r="F12">
        <v>0.75745605999999999</v>
      </c>
      <c r="I12" t="str" cm="1">
        <f t="array" ref="I12:J12">_xlfn.TEXTSPLIT(E12,",")</f>
        <v>Seager</v>
      </c>
      <c r="J12" t="str">
        <v xml:space="preserve"> Corey</v>
      </c>
      <c r="K12" t="str">
        <f t="shared" si="0"/>
        <v>Corey Seager</v>
      </c>
      <c r="L12">
        <v>0.75745605999999999</v>
      </c>
      <c r="M12">
        <f>VLOOKUP(K12,ADP!$B$1:$N$646,4,FALSE)</f>
        <v>49.2</v>
      </c>
      <c r="N12">
        <f t="shared" si="1"/>
        <v>5</v>
      </c>
      <c r="W12" t="s">
        <v>18</v>
      </c>
    </row>
    <row r="13" spans="1:26" x14ac:dyDescent="0.2">
      <c r="A13" t="s">
        <v>12</v>
      </c>
      <c r="B13" t="s">
        <v>4</v>
      </c>
      <c r="C13">
        <f t="shared" ref="C13:C21" si="3">VLOOKUP(A13,$K$1:$L$102,2,FALSE)</f>
        <v>0.18024567999999999</v>
      </c>
      <c r="E13" t="s">
        <v>98</v>
      </c>
      <c r="F13">
        <v>0.7129335</v>
      </c>
      <c r="I13" t="str" cm="1">
        <f t="array" ref="I13:J13">_xlfn.TEXTSPLIT(E13,",")</f>
        <v>Chapman</v>
      </c>
      <c r="J13" t="str">
        <v xml:space="preserve"> Matt</v>
      </c>
      <c r="K13" t="str">
        <f t="shared" si="0"/>
        <v>Matt Chapman</v>
      </c>
      <c r="L13">
        <v>0.7129335</v>
      </c>
      <c r="M13">
        <f>VLOOKUP(K13,ADP!$B$1:$N$646,4,FALSE)</f>
        <v>130.19999999999999</v>
      </c>
      <c r="N13">
        <f t="shared" si="1"/>
        <v>11</v>
      </c>
      <c r="W13" t="s">
        <v>209</v>
      </c>
    </row>
    <row r="14" spans="1:26" x14ac:dyDescent="0.2">
      <c r="A14" t="s">
        <v>13</v>
      </c>
      <c r="B14" t="s">
        <v>6</v>
      </c>
      <c r="C14">
        <f t="shared" si="3"/>
        <v>0.1963839</v>
      </c>
      <c r="E14" t="s">
        <v>99</v>
      </c>
      <c r="F14">
        <v>0.65990393999999997</v>
      </c>
      <c r="I14" t="str" cm="1">
        <f t="array" ref="I14:J14">_xlfn.TEXTSPLIT(E14,",")</f>
        <v>Henderson</v>
      </c>
      <c r="J14" t="str">
        <v xml:space="preserve"> Gunnar</v>
      </c>
      <c r="K14" t="str">
        <f t="shared" si="0"/>
        <v>Gunnar Henderson</v>
      </c>
      <c r="L14">
        <v>0.65990393999999997</v>
      </c>
      <c r="M14">
        <f>VLOOKUP(K14,ADP!$B$1:$N$646,4,FALSE)</f>
        <v>6.1</v>
      </c>
      <c r="N14">
        <f t="shared" si="1"/>
        <v>1</v>
      </c>
      <c r="W14" t="s">
        <v>19</v>
      </c>
    </row>
    <row r="15" spans="1:26" x14ac:dyDescent="0.2">
      <c r="A15" t="s">
        <v>14</v>
      </c>
      <c r="B15" t="s">
        <v>15</v>
      </c>
      <c r="C15" t="e">
        <f t="shared" si="3"/>
        <v>#N/A</v>
      </c>
      <c r="E15" t="s">
        <v>100</v>
      </c>
      <c r="F15">
        <v>0.65877859999999999</v>
      </c>
      <c r="I15" t="str" cm="1">
        <f t="array" ref="I15:J15">_xlfn.TEXTSPLIT(E15,",")</f>
        <v>Trout</v>
      </c>
      <c r="J15" t="str">
        <v xml:space="preserve"> Mike</v>
      </c>
      <c r="K15" t="str">
        <f t="shared" si="0"/>
        <v>Mike Trout</v>
      </c>
      <c r="L15">
        <v>0.65877859999999999</v>
      </c>
      <c r="M15" t="e">
        <f>VLOOKUP(K15,ADP!$B$1:$N$646,4,FALSE)</f>
        <v>#N/A</v>
      </c>
      <c r="N15" t="e">
        <f t="shared" si="1"/>
        <v>#N/A</v>
      </c>
      <c r="W15" t="s">
        <v>210</v>
      </c>
    </row>
    <row r="16" spans="1:26" x14ac:dyDescent="0.2">
      <c r="A16" t="s">
        <v>16</v>
      </c>
      <c r="B16" t="s">
        <v>6</v>
      </c>
      <c r="C16">
        <f t="shared" si="3"/>
        <v>0.65990393999999997</v>
      </c>
      <c r="E16" t="s">
        <v>101</v>
      </c>
      <c r="F16">
        <v>0.65087430000000002</v>
      </c>
      <c r="I16" t="str" cm="1">
        <f t="array" ref="I16:J16">_xlfn.TEXTSPLIT(E16,",")</f>
        <v>Stanton</v>
      </c>
      <c r="J16" t="str">
        <v xml:space="preserve"> Giancarlo</v>
      </c>
      <c r="K16" t="str">
        <f t="shared" si="0"/>
        <v>Giancarlo Stanton</v>
      </c>
      <c r="L16">
        <v>0.65087430000000002</v>
      </c>
      <c r="M16">
        <f>VLOOKUP(K16,ADP!$B$1:$N$646,4,FALSE)</f>
        <v>381.6</v>
      </c>
      <c r="N16">
        <f t="shared" si="1"/>
        <v>32</v>
      </c>
      <c r="W16" t="s">
        <v>211</v>
      </c>
    </row>
    <row r="17" spans="1:23" x14ac:dyDescent="0.2">
      <c r="A17" t="s">
        <v>17</v>
      </c>
      <c r="B17" t="s">
        <v>6</v>
      </c>
      <c r="C17" t="e">
        <f t="shared" si="3"/>
        <v>#N/A</v>
      </c>
      <c r="E17" t="s">
        <v>102</v>
      </c>
      <c r="F17">
        <v>0.60806304</v>
      </c>
      <c r="I17" t="str" cm="1">
        <f t="array" ref="I17:J17">_xlfn.TEXTSPLIT(E17,",")</f>
        <v>Merrill</v>
      </c>
      <c r="J17" t="str">
        <v xml:space="preserve"> Jackson</v>
      </c>
      <c r="K17" t="str">
        <f t="shared" si="0"/>
        <v>Jackson Merrill</v>
      </c>
      <c r="L17">
        <v>0.60806304</v>
      </c>
      <c r="M17">
        <f>VLOOKUP(K17,ADP!$B$1:$N$646,4,FALSE)</f>
        <v>25.6</v>
      </c>
      <c r="N17">
        <f t="shared" si="1"/>
        <v>3</v>
      </c>
      <c r="W17" t="s">
        <v>213</v>
      </c>
    </row>
    <row r="18" spans="1:23" x14ac:dyDescent="0.2">
      <c r="A18" t="s">
        <v>18</v>
      </c>
      <c r="B18" t="s">
        <v>6</v>
      </c>
      <c r="C18">
        <f t="shared" si="3"/>
        <v>0.37840049999999997</v>
      </c>
      <c r="E18" t="s">
        <v>103</v>
      </c>
      <c r="F18">
        <v>0.54935025999999998</v>
      </c>
      <c r="I18" t="str" cm="1">
        <f t="array" ref="I18:J18">_xlfn.TEXTSPLIT(E18,",")</f>
        <v>Walker</v>
      </c>
      <c r="J18" t="str">
        <v xml:space="preserve"> Christian</v>
      </c>
      <c r="K18" t="str">
        <f t="shared" si="0"/>
        <v>Christian Walker</v>
      </c>
      <c r="L18">
        <v>0.54935025999999998</v>
      </c>
      <c r="M18">
        <f>VLOOKUP(K18,ADP!$B$1:$N$646,4,FALSE)</f>
        <v>95.3</v>
      </c>
      <c r="N18">
        <f t="shared" si="1"/>
        <v>8</v>
      </c>
      <c r="W18" t="s">
        <v>217</v>
      </c>
    </row>
    <row r="19" spans="1:23" x14ac:dyDescent="0.2">
      <c r="A19" t="s">
        <v>19</v>
      </c>
      <c r="B19" t="s">
        <v>4</v>
      </c>
      <c r="C19">
        <f t="shared" si="3"/>
        <v>0.36942365999999999</v>
      </c>
      <c r="E19" t="s">
        <v>104</v>
      </c>
      <c r="F19">
        <v>0.5130863</v>
      </c>
      <c r="I19" t="str" cm="1">
        <f t="array" ref="I19:J19">_xlfn.TEXTSPLIT(E19,",")</f>
        <v>Westburg</v>
      </c>
      <c r="J19" t="str">
        <v xml:space="preserve"> Jordan</v>
      </c>
      <c r="K19" t="str">
        <f t="shared" si="0"/>
        <v>Jordan Westburg</v>
      </c>
      <c r="L19">
        <v>0.5130863</v>
      </c>
      <c r="M19">
        <f>VLOOKUP(K19,ADP!$B$1:$N$646,4,FALSE)</f>
        <v>90.5</v>
      </c>
      <c r="N19">
        <f t="shared" si="1"/>
        <v>8</v>
      </c>
      <c r="W19" t="s">
        <v>219</v>
      </c>
    </row>
    <row r="20" spans="1:23" x14ac:dyDescent="0.2">
      <c r="A20" t="s">
        <v>20</v>
      </c>
      <c r="B20" t="s">
        <v>6</v>
      </c>
      <c r="C20">
        <f t="shared" si="3"/>
        <v>0.101509444</v>
      </c>
      <c r="E20" t="s">
        <v>105</v>
      </c>
      <c r="F20">
        <v>0.4927301</v>
      </c>
      <c r="I20" t="str" cm="1">
        <f t="array" ref="I20:J20">_xlfn.TEXTSPLIT(E20,",")</f>
        <v>Olson</v>
      </c>
      <c r="J20" t="str">
        <v xml:space="preserve"> Matt</v>
      </c>
      <c r="K20" t="str">
        <f t="shared" si="0"/>
        <v>Matt Olson</v>
      </c>
      <c r="L20">
        <v>0.4927301</v>
      </c>
      <c r="M20">
        <f>VLOOKUP(K20,ADP!$B$1:$N$646,4,FALSE)</f>
        <v>38.700000000000003</v>
      </c>
      <c r="N20">
        <f t="shared" si="1"/>
        <v>4</v>
      </c>
      <c r="W20" t="s">
        <v>221</v>
      </c>
    </row>
    <row r="21" spans="1:23" x14ac:dyDescent="0.2">
      <c r="A21" t="s">
        <v>21</v>
      </c>
      <c r="B21" t="s">
        <v>6</v>
      </c>
      <c r="C21" t="e">
        <f t="shared" si="3"/>
        <v>#N/A</v>
      </c>
      <c r="E21" t="s">
        <v>106</v>
      </c>
      <c r="F21">
        <v>0.48360713999999999</v>
      </c>
      <c r="I21" t="str" cm="1">
        <f t="array" ref="I21:J21">_xlfn.TEXTSPLIT(E21,",")</f>
        <v>Buxton</v>
      </c>
      <c r="J21" t="str">
        <v xml:space="preserve"> Byron</v>
      </c>
      <c r="K21" t="str">
        <f t="shared" si="0"/>
        <v>Byron Buxton</v>
      </c>
      <c r="L21">
        <v>0.48360713999999999</v>
      </c>
      <c r="M21">
        <f>VLOOKUP(K21,ADP!$B$1:$N$646,4,FALSE)</f>
        <v>240.7</v>
      </c>
      <c r="N21">
        <f t="shared" si="1"/>
        <v>21</v>
      </c>
      <c r="W21" t="s">
        <v>222</v>
      </c>
    </row>
    <row r="22" spans="1:23" x14ac:dyDescent="0.2">
      <c r="E22" t="s">
        <v>107</v>
      </c>
      <c r="F22">
        <v>0.48242711999999999</v>
      </c>
      <c r="I22" t="str" cm="1">
        <f t="array" ref="I22:J22">_xlfn.TEXTSPLIT(E22,",")</f>
        <v>Crow-Armstrong</v>
      </c>
      <c r="J22" t="str">
        <v xml:space="preserve"> Pete</v>
      </c>
      <c r="K22" t="str">
        <f t="shared" si="0"/>
        <v>Pete Crow-Armstrong</v>
      </c>
      <c r="L22">
        <v>0.48242711999999999</v>
      </c>
      <c r="M22">
        <f>VLOOKUP(K22,ADP!$B$1:$N$646,4,FALSE)</f>
        <v>138.69999999999999</v>
      </c>
      <c r="N22">
        <f t="shared" si="1"/>
        <v>12</v>
      </c>
      <c r="W22" t="s">
        <v>224</v>
      </c>
    </row>
    <row r="23" spans="1:23" x14ac:dyDescent="0.2">
      <c r="A23" t="s">
        <v>22</v>
      </c>
      <c r="E23" t="s">
        <v>108</v>
      </c>
      <c r="F23">
        <v>0.47614032000000001</v>
      </c>
      <c r="I23" t="str" cm="1">
        <f t="array" ref="I23:J23">_xlfn.TEXTSPLIT(E23,",")</f>
        <v>Marte</v>
      </c>
      <c r="J23" t="str">
        <v xml:space="preserve"> Ketel</v>
      </c>
      <c r="K23" t="str">
        <f t="shared" si="0"/>
        <v>Ketel Marte</v>
      </c>
      <c r="L23">
        <v>0.47614032000000001</v>
      </c>
      <c r="M23">
        <f>VLOOKUP(K23,ADP!$B$1:$N$646,4,FALSE)</f>
        <v>32.4</v>
      </c>
      <c r="N23">
        <f t="shared" si="1"/>
        <v>3</v>
      </c>
      <c r="W23" t="s">
        <v>225</v>
      </c>
    </row>
    <row r="24" spans="1:23" x14ac:dyDescent="0.2">
      <c r="A24" t="s">
        <v>23</v>
      </c>
      <c r="B24" t="s">
        <v>4</v>
      </c>
      <c r="C24">
        <f>VLOOKUP(A24,$K$1:$L$102,2,FALSE)</f>
        <v>0.48360713999999999</v>
      </c>
      <c r="E24" t="s">
        <v>109</v>
      </c>
      <c r="F24">
        <v>0.38101044000000001</v>
      </c>
      <c r="I24" t="str" cm="1">
        <f t="array" ref="I24:J24">_xlfn.TEXTSPLIT(E24,",")</f>
        <v>Gonzalez</v>
      </c>
      <c r="J24" t="str">
        <v xml:space="preserve"> Romy</v>
      </c>
      <c r="K24" t="str">
        <f t="shared" si="0"/>
        <v>Romy Gonzalez</v>
      </c>
      <c r="L24">
        <v>0.38101044000000001</v>
      </c>
      <c r="M24">
        <f>VLOOKUP(K24,ADP!$B$1:$N$646,4,FALSE)</f>
        <v>645.79999999999995</v>
      </c>
      <c r="N24">
        <f t="shared" si="1"/>
        <v>54</v>
      </c>
      <c r="W24" t="s">
        <v>226</v>
      </c>
    </row>
    <row r="25" spans="1:23" x14ac:dyDescent="0.2">
      <c r="A25" t="s">
        <v>24</v>
      </c>
      <c r="B25" t="s">
        <v>15</v>
      </c>
      <c r="C25">
        <f t="shared" ref="C25:C38" si="4">VLOOKUP(A25,$K$1:$L$102,2,FALSE)</f>
        <v>0.12744358</v>
      </c>
      <c r="E25" t="s">
        <v>110</v>
      </c>
      <c r="F25">
        <v>0.37992690000000001</v>
      </c>
      <c r="I25" t="str" cm="1">
        <f t="array" ref="I25:J25">_xlfn.TEXTSPLIT(E25,",")</f>
        <v>Harris II</v>
      </c>
      <c r="J25" t="str">
        <v xml:space="preserve"> Michael</v>
      </c>
      <c r="K25" t="str">
        <f t="shared" si="0"/>
        <v>Michael Harris II</v>
      </c>
      <c r="L25">
        <v>0.37992690000000001</v>
      </c>
      <c r="M25">
        <f>VLOOKUP(K25,ADP!$B$1:$N$646,4,FALSE)</f>
        <v>37.9</v>
      </c>
      <c r="N25">
        <f t="shared" si="1"/>
        <v>4</v>
      </c>
      <c r="S25" s="1" t="s">
        <v>1361</v>
      </c>
      <c r="W25" t="s">
        <v>227</v>
      </c>
    </row>
    <row r="26" spans="1:23" x14ac:dyDescent="0.2">
      <c r="A26" t="s">
        <v>25</v>
      </c>
      <c r="B26" t="s">
        <v>6</v>
      </c>
      <c r="C26">
        <f t="shared" si="4"/>
        <v>0.75745605999999999</v>
      </c>
      <c r="E26" t="s">
        <v>111</v>
      </c>
      <c r="F26">
        <v>0.37840049999999997</v>
      </c>
      <c r="I26" t="str" cm="1">
        <f t="array" ref="I26:J26">_xlfn.TEXTSPLIT(E26,",")</f>
        <v>Tucker</v>
      </c>
      <c r="J26" t="str">
        <v xml:space="preserve"> Kyle</v>
      </c>
      <c r="K26" t="str">
        <f t="shared" si="0"/>
        <v>Kyle Tucker</v>
      </c>
      <c r="L26">
        <v>0.37840049999999997</v>
      </c>
      <c r="M26">
        <f>VLOOKUP(K26,ADP!$B$1:$N$646,4,FALSE)</f>
        <v>8.3000000000000007</v>
      </c>
      <c r="N26">
        <f t="shared" si="1"/>
        <v>1</v>
      </c>
      <c r="S26" s="1" t="s">
        <v>1362</v>
      </c>
      <c r="W26" t="s">
        <v>230</v>
      </c>
    </row>
    <row r="27" spans="1:23" x14ac:dyDescent="0.2">
      <c r="A27" t="s">
        <v>26</v>
      </c>
      <c r="B27" t="s">
        <v>6</v>
      </c>
      <c r="C27">
        <f t="shared" si="4"/>
        <v>0.28262769999999998</v>
      </c>
      <c r="E27" t="s">
        <v>112</v>
      </c>
      <c r="F27">
        <v>0.37210742000000002</v>
      </c>
      <c r="I27" t="str" cm="1">
        <f t="array" ref="I27:J27">_xlfn.TEXTSPLIT(E27,",")</f>
        <v>Chourio</v>
      </c>
      <c r="J27" t="str">
        <v xml:space="preserve"> Jackson</v>
      </c>
      <c r="K27" t="str">
        <f t="shared" si="0"/>
        <v>Jackson Chourio</v>
      </c>
      <c r="L27">
        <v>0.37210742000000002</v>
      </c>
      <c r="M27">
        <f>VLOOKUP(K27,ADP!$B$1:$N$646,4,FALSE)</f>
        <v>16.600000000000001</v>
      </c>
      <c r="N27">
        <f t="shared" si="1"/>
        <v>2</v>
      </c>
      <c r="W27" t="s">
        <v>231</v>
      </c>
    </row>
    <row r="28" spans="1:23" x14ac:dyDescent="0.2">
      <c r="A28" t="s">
        <v>27</v>
      </c>
      <c r="B28" t="s">
        <v>6</v>
      </c>
      <c r="C28">
        <f t="shared" si="4"/>
        <v>0.60806304</v>
      </c>
      <c r="E28" t="s">
        <v>113</v>
      </c>
      <c r="F28">
        <v>0.36942365999999999</v>
      </c>
      <c r="I28" t="str" cm="1">
        <f t="array" ref="I28:J28">_xlfn.TEXTSPLIT(E28,",")</f>
        <v>Wallner</v>
      </c>
      <c r="J28" t="str">
        <v xml:space="preserve"> Matt</v>
      </c>
      <c r="K28" t="str">
        <f t="shared" si="0"/>
        <v>Matt Wallner</v>
      </c>
      <c r="L28">
        <v>0.36942365999999999</v>
      </c>
      <c r="M28">
        <f>VLOOKUP(K28,ADP!$B$1:$N$646,4,FALSE)</f>
        <v>270.7</v>
      </c>
      <c r="N28">
        <f t="shared" si="1"/>
        <v>23</v>
      </c>
      <c r="W28" t="s">
        <v>233</v>
      </c>
    </row>
    <row r="29" spans="1:23" x14ac:dyDescent="0.2">
      <c r="A29" t="s">
        <v>28</v>
      </c>
      <c r="B29" t="s">
        <v>4</v>
      </c>
      <c r="C29" t="e">
        <f t="shared" si="4"/>
        <v>#N/A</v>
      </c>
      <c r="E29" t="s">
        <v>114</v>
      </c>
      <c r="F29">
        <v>0.34996724000000001</v>
      </c>
      <c r="I29" t="str" cm="1">
        <f t="array" ref="I29:J29">_xlfn.TEXTSPLIT(E29,",")</f>
        <v>Rodríguez</v>
      </c>
      <c r="J29" t="str">
        <v xml:space="preserve"> Julio</v>
      </c>
      <c r="K29" t="str">
        <f t="shared" si="0"/>
        <v>Julio Rodríguez</v>
      </c>
      <c r="L29">
        <v>0.34996724000000001</v>
      </c>
      <c r="M29">
        <f>VLOOKUP(K29,ADP!$B$1:$N$646,4,FALSE)</f>
        <v>13.7</v>
      </c>
      <c r="N29">
        <f t="shared" si="1"/>
        <v>2</v>
      </c>
      <c r="W29" t="s">
        <v>234</v>
      </c>
    </row>
    <row r="30" spans="1:23" x14ac:dyDescent="0.2">
      <c r="A30" t="s">
        <v>29</v>
      </c>
      <c r="B30" t="s">
        <v>15</v>
      </c>
      <c r="C30" t="e">
        <f t="shared" si="4"/>
        <v>#N/A</v>
      </c>
      <c r="E30" t="s">
        <v>115</v>
      </c>
      <c r="F30">
        <v>0.34912145</v>
      </c>
      <c r="I30" t="str" cm="1">
        <f t="array" ref="I30:J30">_xlfn.TEXTSPLIT(E30,",")</f>
        <v>Taveras</v>
      </c>
      <c r="J30" t="str">
        <v xml:space="preserve"> Leody</v>
      </c>
      <c r="K30" t="str">
        <f t="shared" si="0"/>
        <v>Leody Taveras</v>
      </c>
      <c r="L30">
        <v>0.34912145</v>
      </c>
      <c r="M30">
        <f>VLOOKUP(K30,ADP!$B$1:$N$646,4,FALSE)</f>
        <v>452</v>
      </c>
      <c r="N30">
        <f t="shared" si="1"/>
        <v>38</v>
      </c>
      <c r="W30" t="s">
        <v>237</v>
      </c>
    </row>
    <row r="31" spans="1:23" x14ac:dyDescent="0.2">
      <c r="A31" t="s">
        <v>30</v>
      </c>
      <c r="B31" t="s">
        <v>38</v>
      </c>
      <c r="C31" t="e">
        <f t="shared" si="4"/>
        <v>#N/A</v>
      </c>
      <c r="E31" t="s">
        <v>116</v>
      </c>
      <c r="F31">
        <v>0.33452216000000001</v>
      </c>
      <c r="I31" t="str" cm="1">
        <f t="array" ref="I31:J31">_xlfn.TEXTSPLIT(E31,",")</f>
        <v>Lowe</v>
      </c>
      <c r="J31" t="str">
        <v xml:space="preserve"> Brandon</v>
      </c>
      <c r="K31" t="str">
        <f t="shared" si="0"/>
        <v>Brandon Lowe</v>
      </c>
      <c r="L31">
        <v>0.33452216000000001</v>
      </c>
      <c r="M31">
        <f>VLOOKUP(K31,ADP!$B$1:$N$646,4,FALSE)</f>
        <v>232.8</v>
      </c>
      <c r="N31">
        <f t="shared" si="1"/>
        <v>20</v>
      </c>
      <c r="W31" t="s">
        <v>240</v>
      </c>
    </row>
    <row r="32" spans="1:23" x14ac:dyDescent="0.2">
      <c r="A32" t="s">
        <v>31</v>
      </c>
      <c r="B32" t="s">
        <v>6</v>
      </c>
      <c r="C32" t="e">
        <f t="shared" si="4"/>
        <v>#N/A</v>
      </c>
      <c r="E32" t="s">
        <v>117</v>
      </c>
      <c r="F32">
        <v>0.32095595999999998</v>
      </c>
      <c r="I32" t="str" cm="1">
        <f t="array" ref="I32:J32">_xlfn.TEXTSPLIT(E32,",")</f>
        <v>Sánchez</v>
      </c>
      <c r="J32" t="str">
        <v xml:space="preserve"> Jesús</v>
      </c>
      <c r="K32" t="str">
        <f t="shared" si="0"/>
        <v>Jesús Sánchez</v>
      </c>
      <c r="L32">
        <v>0.32095595999999998</v>
      </c>
      <c r="M32">
        <f>VLOOKUP(K32,ADP!$B$1:$N$646,4,FALSE)</f>
        <v>233.9</v>
      </c>
      <c r="N32">
        <f t="shared" si="1"/>
        <v>20</v>
      </c>
      <c r="W32" t="s">
        <v>241</v>
      </c>
    </row>
    <row r="33" spans="1:23" x14ac:dyDescent="0.2">
      <c r="A33" t="s">
        <v>32</v>
      </c>
      <c r="B33" t="s">
        <v>6</v>
      </c>
      <c r="C33">
        <f t="shared" si="4"/>
        <v>0.47614032000000001</v>
      </c>
      <c r="E33" t="s">
        <v>118</v>
      </c>
      <c r="F33">
        <v>0.31668463000000002</v>
      </c>
      <c r="I33" t="str" cm="1">
        <f t="array" ref="I33:J33">_xlfn.TEXTSPLIT(E33,",")</f>
        <v>Semien</v>
      </c>
      <c r="J33" t="str">
        <v xml:space="preserve"> Marcus</v>
      </c>
      <c r="K33" t="str">
        <f t="shared" si="0"/>
        <v>Marcus Semien</v>
      </c>
      <c r="L33">
        <v>0.31668463000000002</v>
      </c>
      <c r="M33">
        <f>VLOOKUP(K33,ADP!$B$1:$N$646,4,FALSE)</f>
        <v>101.1</v>
      </c>
      <c r="N33">
        <f t="shared" si="1"/>
        <v>9</v>
      </c>
      <c r="W33" t="s">
        <v>24</v>
      </c>
    </row>
    <row r="34" spans="1:23" x14ac:dyDescent="0.2">
      <c r="A34" t="s">
        <v>33</v>
      </c>
      <c r="B34" t="s">
        <v>4</v>
      </c>
      <c r="C34">
        <f t="shared" si="4"/>
        <v>0.29585363999999997</v>
      </c>
      <c r="E34" t="s">
        <v>119</v>
      </c>
      <c r="F34">
        <v>0.31409046000000002</v>
      </c>
      <c r="I34" t="str" cm="1">
        <f t="array" ref="I34:J34">_xlfn.TEXTSPLIT(E34,",")</f>
        <v>Perez</v>
      </c>
      <c r="J34" t="str">
        <v xml:space="preserve"> Salvador</v>
      </c>
      <c r="K34" t="str">
        <f t="shared" si="0"/>
        <v>Salvador Perez</v>
      </c>
      <c r="L34">
        <v>0.31409046000000002</v>
      </c>
      <c r="M34">
        <f>VLOOKUP(K34,ADP!$B$1:$N$646,4,FALSE)</f>
        <v>74.3</v>
      </c>
      <c r="N34">
        <f t="shared" si="1"/>
        <v>7</v>
      </c>
      <c r="W34" t="s">
        <v>242</v>
      </c>
    </row>
    <row r="35" spans="1:23" x14ac:dyDescent="0.2">
      <c r="A35" t="s">
        <v>34</v>
      </c>
      <c r="B35" t="s">
        <v>4</v>
      </c>
      <c r="C35" t="e">
        <f t="shared" si="4"/>
        <v>#N/A</v>
      </c>
      <c r="E35" t="s">
        <v>120</v>
      </c>
      <c r="F35">
        <v>0.29959409999999997</v>
      </c>
      <c r="I35" t="str" cm="1">
        <f t="array" ref="I35:J35">_xlfn.TEXTSPLIT(E35,",")</f>
        <v>Machado</v>
      </c>
      <c r="J35" t="str">
        <v xml:space="preserve"> Manny</v>
      </c>
      <c r="K35" t="str">
        <f t="shared" si="0"/>
        <v>Manny Machado</v>
      </c>
      <c r="L35">
        <v>0.29959409999999997</v>
      </c>
      <c r="M35">
        <f>VLOOKUP(K35,ADP!$B$1:$N$646,4,FALSE)</f>
        <v>38.299999999999997</v>
      </c>
      <c r="N35">
        <f t="shared" si="1"/>
        <v>4</v>
      </c>
      <c r="W35" t="s">
        <v>243</v>
      </c>
    </row>
    <row r="36" spans="1:23" x14ac:dyDescent="0.2">
      <c r="A36" t="s">
        <v>35</v>
      </c>
      <c r="B36" t="s">
        <v>4</v>
      </c>
      <c r="C36">
        <f t="shared" si="4"/>
        <v>0.91178219999999999</v>
      </c>
      <c r="E36" t="s">
        <v>121</v>
      </c>
      <c r="F36">
        <v>0.29848033000000002</v>
      </c>
      <c r="I36" t="str" cm="1">
        <f t="array" ref="I36:J36">_xlfn.TEXTSPLIT(E36,",")</f>
        <v>Cruz</v>
      </c>
      <c r="J36" t="str">
        <v xml:space="preserve"> Oneil</v>
      </c>
      <c r="K36" t="str">
        <f t="shared" si="0"/>
        <v>Oneil Cruz</v>
      </c>
      <c r="L36">
        <v>0.29848033000000002</v>
      </c>
      <c r="M36">
        <f>VLOOKUP(K36,ADP!$B$1:$N$646,4,FALSE)</f>
        <v>42.5</v>
      </c>
      <c r="N36">
        <f t="shared" si="1"/>
        <v>4</v>
      </c>
      <c r="W36" t="s">
        <v>247</v>
      </c>
    </row>
    <row r="37" spans="1:23" x14ac:dyDescent="0.2">
      <c r="A37" t="s">
        <v>36</v>
      </c>
      <c r="B37" t="s">
        <v>6</v>
      </c>
      <c r="C37" t="e">
        <f t="shared" si="4"/>
        <v>#N/A</v>
      </c>
      <c r="E37" t="s">
        <v>122</v>
      </c>
      <c r="F37">
        <v>0.29585363999999997</v>
      </c>
      <c r="I37" t="str" cm="1">
        <f t="array" ref="I37:J37">_xlfn.TEXTSPLIT(E37,",")</f>
        <v>Ozuna</v>
      </c>
      <c r="J37" t="str">
        <v xml:space="preserve"> Marcell</v>
      </c>
      <c r="K37" t="str">
        <f t="shared" si="0"/>
        <v>Marcell Ozuna</v>
      </c>
      <c r="L37">
        <v>0.29585363999999997</v>
      </c>
      <c r="M37">
        <f>VLOOKUP(K37,ADP!$B$1:$N$646,4,FALSE)</f>
        <v>71.5</v>
      </c>
      <c r="N37">
        <f t="shared" si="1"/>
        <v>6</v>
      </c>
    </row>
    <row r="38" spans="1:23" x14ac:dyDescent="0.2">
      <c r="A38" t="s">
        <v>37</v>
      </c>
      <c r="B38" t="s">
        <v>15</v>
      </c>
      <c r="C38" t="e">
        <f t="shared" si="4"/>
        <v>#N/A</v>
      </c>
      <c r="E38" t="s">
        <v>123</v>
      </c>
      <c r="F38">
        <v>0.29177787999999999</v>
      </c>
      <c r="I38" t="str" cm="1">
        <f t="array" ref="I38:J38">_xlfn.TEXTSPLIT(E38,",")</f>
        <v>Wood</v>
      </c>
      <c r="J38" t="str">
        <v xml:space="preserve"> James</v>
      </c>
      <c r="K38" t="str">
        <f t="shared" si="0"/>
        <v>James Wood</v>
      </c>
      <c r="L38">
        <v>0.29177787999999999</v>
      </c>
      <c r="M38">
        <f>VLOOKUP(K38,ADP!$B$1:$N$646,4,FALSE)</f>
        <v>56.4</v>
      </c>
      <c r="N38">
        <f t="shared" si="1"/>
        <v>5</v>
      </c>
    </row>
    <row r="39" spans="1:23" x14ac:dyDescent="0.2">
      <c r="E39" t="s">
        <v>124</v>
      </c>
      <c r="F39">
        <v>0.29131645</v>
      </c>
      <c r="I39" t="str" cm="1">
        <f t="array" ref="I39:J39">_xlfn.TEXTSPLIT(E39,",")</f>
        <v>Caminero</v>
      </c>
      <c r="J39" t="str">
        <v xml:space="preserve"> Junior</v>
      </c>
      <c r="K39" t="str">
        <f t="shared" si="0"/>
        <v>Junior Caminero</v>
      </c>
      <c r="L39">
        <v>0.29131645</v>
      </c>
      <c r="M39" t="e">
        <f>VLOOKUP(K39,ADP!$B$1:$N$646,4,FALSE)</f>
        <v>#N/A</v>
      </c>
      <c r="N39" t="e">
        <f t="shared" si="1"/>
        <v>#N/A</v>
      </c>
    </row>
    <row r="40" spans="1:23" x14ac:dyDescent="0.2">
      <c r="E40" t="s">
        <v>125</v>
      </c>
      <c r="F40">
        <v>0.28288071999999997</v>
      </c>
      <c r="I40" t="str" cm="1">
        <f t="array" ref="I40:J40">_xlfn.TEXTSPLIT(E40,",")</f>
        <v>Sosa</v>
      </c>
      <c r="J40" t="str">
        <v xml:space="preserve"> Edmundo</v>
      </c>
      <c r="K40" t="str">
        <f t="shared" si="0"/>
        <v>Edmundo Sosa</v>
      </c>
      <c r="L40">
        <v>0.28288071999999997</v>
      </c>
      <c r="M40">
        <f>VLOOKUP(K40,ADP!$B$1:$N$646,4,FALSE)</f>
        <v>519.79999999999995</v>
      </c>
      <c r="N40">
        <f t="shared" si="1"/>
        <v>44</v>
      </c>
    </row>
    <row r="41" spans="1:23" x14ac:dyDescent="0.2">
      <c r="E41" t="s">
        <v>126</v>
      </c>
      <c r="F41">
        <v>0.28262769999999998</v>
      </c>
      <c r="I41" t="str" cm="1">
        <f t="array" ref="I41:J41">_xlfn.TEXTSPLIT(E41,",")</f>
        <v>Lindor</v>
      </c>
      <c r="J41" t="str">
        <v xml:space="preserve"> Francisco</v>
      </c>
      <c r="K41" t="str">
        <f t="shared" si="0"/>
        <v>Francisco Lindor</v>
      </c>
      <c r="L41">
        <v>0.28262769999999998</v>
      </c>
      <c r="M41">
        <f>VLOOKUP(K41,ADP!$B$1:$N$646,4,FALSE)</f>
        <v>15.2</v>
      </c>
      <c r="N41">
        <f t="shared" si="1"/>
        <v>2</v>
      </c>
    </row>
    <row r="42" spans="1:23" x14ac:dyDescent="0.2">
      <c r="E42" t="s">
        <v>127</v>
      </c>
      <c r="F42">
        <v>0.28084906999999998</v>
      </c>
      <c r="I42" t="str" cm="1">
        <f t="array" ref="I42:J42">_xlfn.TEXTSPLIT(E42,",")</f>
        <v>Grichuk</v>
      </c>
      <c r="J42" t="str">
        <v xml:space="preserve"> Randal</v>
      </c>
      <c r="K42" t="str">
        <f t="shared" si="0"/>
        <v>Randal Grichuk</v>
      </c>
      <c r="L42">
        <v>0.28084906999999998</v>
      </c>
      <c r="M42">
        <f>VLOOKUP(K42,ADP!$B$1:$N$646,4,FALSE)</f>
        <v>556.70000000000005</v>
      </c>
      <c r="N42">
        <f t="shared" si="1"/>
        <v>47</v>
      </c>
    </row>
    <row r="43" spans="1:23" x14ac:dyDescent="0.2">
      <c r="E43" t="s">
        <v>128</v>
      </c>
      <c r="F43">
        <v>0.27815846</v>
      </c>
      <c r="I43" t="str" cm="1">
        <f t="array" ref="I43:J43">_xlfn.TEXTSPLIT(E43,",")</f>
        <v>Duran</v>
      </c>
      <c r="J43" t="str">
        <v xml:space="preserve"> Jarren</v>
      </c>
      <c r="K43" t="str">
        <f t="shared" si="0"/>
        <v>Jarren Duran</v>
      </c>
      <c r="L43">
        <v>0.27815846</v>
      </c>
      <c r="M43">
        <f>VLOOKUP(K43,ADP!$B$1:$N$646,4,FALSE)</f>
        <v>21.1</v>
      </c>
      <c r="N43">
        <f t="shared" si="1"/>
        <v>2</v>
      </c>
    </row>
    <row r="44" spans="1:23" x14ac:dyDescent="0.2">
      <c r="E44" t="s">
        <v>129</v>
      </c>
      <c r="F44">
        <v>0.27546074999999998</v>
      </c>
      <c r="I44" t="str" cm="1">
        <f t="array" ref="I44:J44">_xlfn.TEXTSPLIT(E44,",")</f>
        <v>Nido</v>
      </c>
      <c r="J44" t="str">
        <v xml:space="preserve"> Tomás</v>
      </c>
      <c r="K44" t="str">
        <f t="shared" si="0"/>
        <v>Tomás Nido</v>
      </c>
      <c r="L44">
        <v>0.27546074999999998</v>
      </c>
      <c r="M44" t="e">
        <f>VLOOKUP(K44,ADP!$B$1:$N$646,4,FALSE)</f>
        <v>#N/A</v>
      </c>
      <c r="N44" t="e">
        <f t="shared" si="1"/>
        <v>#N/A</v>
      </c>
    </row>
    <row r="45" spans="1:23" x14ac:dyDescent="0.2">
      <c r="E45" t="s">
        <v>130</v>
      </c>
      <c r="F45">
        <v>0.25792983000000003</v>
      </c>
      <c r="I45" t="str" cm="1">
        <f t="array" ref="I45:J45">_xlfn.TEXTSPLIT(E45,",")</f>
        <v>Santander</v>
      </c>
      <c r="J45" t="str">
        <v xml:space="preserve"> Anthony</v>
      </c>
      <c r="K45" t="str">
        <f t="shared" si="0"/>
        <v>Anthony Santander</v>
      </c>
      <c r="L45">
        <v>0.25792983000000003</v>
      </c>
      <c r="M45">
        <f>VLOOKUP(K45,ADP!$B$1:$N$646,4,FALSE)</f>
        <v>102.4</v>
      </c>
      <c r="N45">
        <f t="shared" si="1"/>
        <v>9</v>
      </c>
    </row>
    <row r="46" spans="1:23" x14ac:dyDescent="0.2">
      <c r="E46" t="s">
        <v>131</v>
      </c>
      <c r="F46">
        <v>0.25737127999999998</v>
      </c>
      <c r="I46" t="str" cm="1">
        <f t="array" ref="I46:J46">_xlfn.TEXTSPLIT(E46,",")</f>
        <v>Melendez Jr.</v>
      </c>
      <c r="J46" t="str">
        <v xml:space="preserve"> MJ</v>
      </c>
      <c r="K46" t="str">
        <f t="shared" si="0"/>
        <v>MJ Melendez Jr.</v>
      </c>
      <c r="L46">
        <v>0.25737127999999998</v>
      </c>
      <c r="M46" t="e">
        <f>VLOOKUP(K46,ADP!$B$1:$N$646,4,FALSE)</f>
        <v>#N/A</v>
      </c>
      <c r="N46" t="e">
        <f t="shared" si="1"/>
        <v>#N/A</v>
      </c>
    </row>
    <row r="47" spans="1:23" x14ac:dyDescent="0.2">
      <c r="E47" t="s">
        <v>132</v>
      </c>
      <c r="F47">
        <v>0.25652166999999998</v>
      </c>
      <c r="I47" t="str" cm="1">
        <f t="array" ref="I47:J47">_xlfn.TEXTSPLIT(E47,",")</f>
        <v>Langford</v>
      </c>
      <c r="J47" t="str">
        <v xml:space="preserve"> Wyatt</v>
      </c>
      <c r="K47" t="str">
        <f t="shared" si="0"/>
        <v>Wyatt Langford</v>
      </c>
      <c r="L47">
        <v>0.25652166999999998</v>
      </c>
      <c r="M47">
        <f>VLOOKUP(K47,ADP!$B$1:$N$646,4,FALSE)</f>
        <v>44.2</v>
      </c>
      <c r="N47">
        <f t="shared" si="1"/>
        <v>4</v>
      </c>
    </row>
    <row r="48" spans="1:23" x14ac:dyDescent="0.2">
      <c r="E48" t="s">
        <v>133</v>
      </c>
      <c r="F48">
        <v>0.2555714</v>
      </c>
      <c r="I48" t="str" cm="1">
        <f t="array" ref="I48:J48">_xlfn.TEXTSPLIT(E48,",")</f>
        <v>Schwarber</v>
      </c>
      <c r="J48" t="str">
        <v xml:space="preserve"> Kyle</v>
      </c>
      <c r="K48" t="str">
        <f t="shared" si="0"/>
        <v>Kyle Schwarber</v>
      </c>
      <c r="L48">
        <v>0.2555714</v>
      </c>
      <c r="M48">
        <f>VLOOKUP(K48,ADP!$B$1:$N$646,4,FALSE)</f>
        <v>77.7</v>
      </c>
      <c r="N48">
        <f t="shared" si="1"/>
        <v>7</v>
      </c>
    </row>
    <row r="49" spans="5:14" x14ac:dyDescent="0.2">
      <c r="E49" t="s">
        <v>134</v>
      </c>
      <c r="F49">
        <v>0.23598749999999999</v>
      </c>
      <c r="I49" t="str" cm="1">
        <f t="array" ref="I49:J49">_xlfn.TEXTSPLIT(E49,",")</f>
        <v>Contreras</v>
      </c>
      <c r="J49" t="str">
        <v xml:space="preserve"> William</v>
      </c>
      <c r="K49" t="str">
        <f t="shared" si="0"/>
        <v>William Contreras</v>
      </c>
      <c r="L49">
        <v>0.23598749999999999</v>
      </c>
      <c r="M49">
        <f>VLOOKUP(K49,ADP!$B$1:$N$646,4,FALSE)</f>
        <v>24.1</v>
      </c>
      <c r="N49">
        <f t="shared" si="1"/>
        <v>3</v>
      </c>
    </row>
    <row r="50" spans="5:14" x14ac:dyDescent="0.2">
      <c r="E50" t="s">
        <v>135</v>
      </c>
      <c r="F50">
        <v>0.22138526</v>
      </c>
      <c r="I50" t="str" cm="1">
        <f t="array" ref="I50:J50">_xlfn.TEXTSPLIT(E50,",")</f>
        <v>Yelich</v>
      </c>
      <c r="J50" t="str">
        <v xml:space="preserve"> Christian</v>
      </c>
      <c r="K50" t="str">
        <f t="shared" si="0"/>
        <v>Christian Yelich</v>
      </c>
      <c r="L50">
        <v>0.22138526</v>
      </c>
      <c r="M50">
        <f>VLOOKUP(K50,ADP!$B$1:$N$646,4,FALSE)</f>
        <v>120.3</v>
      </c>
      <c r="N50">
        <f t="shared" si="1"/>
        <v>11</v>
      </c>
    </row>
    <row r="51" spans="5:14" x14ac:dyDescent="0.2">
      <c r="E51" t="s">
        <v>136</v>
      </c>
      <c r="F51">
        <v>0.21989455999999999</v>
      </c>
      <c r="I51" t="str" cm="1">
        <f t="array" ref="I51:J51">_xlfn.TEXTSPLIT(E51,",")</f>
        <v>Nootbaar</v>
      </c>
      <c r="J51" t="str">
        <v xml:space="preserve"> Lars</v>
      </c>
      <c r="K51" t="str">
        <f t="shared" si="0"/>
        <v>Lars Nootbaar</v>
      </c>
      <c r="L51">
        <v>0.21989455999999999</v>
      </c>
      <c r="M51">
        <f>VLOOKUP(K51,ADP!$B$1:$N$646,4,FALSE)</f>
        <v>259.5</v>
      </c>
      <c r="N51">
        <f t="shared" si="1"/>
        <v>22</v>
      </c>
    </row>
    <row r="52" spans="5:14" x14ac:dyDescent="0.2">
      <c r="E52" t="s">
        <v>137</v>
      </c>
      <c r="F52">
        <v>0.21935777000000001</v>
      </c>
      <c r="I52" t="str" cm="1">
        <f t="array" ref="I52:J52">_xlfn.TEXTSPLIT(E52,",")</f>
        <v>Hilliard</v>
      </c>
      <c r="J52" t="str">
        <v xml:space="preserve"> Sam</v>
      </c>
      <c r="K52" t="str">
        <f t="shared" si="0"/>
        <v>Sam Hilliard</v>
      </c>
      <c r="L52">
        <v>0.21935777000000001</v>
      </c>
      <c r="M52">
        <f>VLOOKUP(K52,ADP!$B$1:$N$646,4,FALSE)</f>
        <v>604.29999999999995</v>
      </c>
      <c r="N52">
        <f t="shared" si="1"/>
        <v>51</v>
      </c>
    </row>
    <row r="53" spans="5:14" x14ac:dyDescent="0.2">
      <c r="E53" t="s">
        <v>138</v>
      </c>
      <c r="F53">
        <v>0.21612680000000001</v>
      </c>
      <c r="I53" t="str" cm="1">
        <f t="array" ref="I53:J53">_xlfn.TEXTSPLIT(E53,",")</f>
        <v>Doyle</v>
      </c>
      <c r="J53" t="str">
        <v xml:space="preserve"> Brenton</v>
      </c>
      <c r="K53" t="str">
        <f t="shared" si="0"/>
        <v>Brenton Doyle</v>
      </c>
      <c r="L53">
        <v>0.21612680000000001</v>
      </c>
      <c r="M53">
        <f>VLOOKUP(K53,ADP!$B$1:$N$646,4,FALSE)</f>
        <v>76.599999999999994</v>
      </c>
      <c r="N53">
        <f t="shared" si="1"/>
        <v>7</v>
      </c>
    </row>
    <row r="54" spans="5:14" x14ac:dyDescent="0.2">
      <c r="E54" t="s">
        <v>139</v>
      </c>
      <c r="F54">
        <v>0.20638184000000001</v>
      </c>
      <c r="I54" t="str" cm="1">
        <f t="array" ref="I54:J54">_xlfn.TEXTSPLIT(E54,",")</f>
        <v>Vargas</v>
      </c>
      <c r="J54" t="str">
        <v xml:space="preserve"> Miguel</v>
      </c>
      <c r="K54" t="str">
        <f t="shared" si="0"/>
        <v>Miguel Vargas</v>
      </c>
      <c r="L54">
        <v>0.20638184000000001</v>
      </c>
      <c r="M54" t="e">
        <f>VLOOKUP(K54,ADP!$B$1:$N$646,4,FALSE)</f>
        <v>#N/A</v>
      </c>
      <c r="N54" t="e">
        <f t="shared" si="1"/>
        <v>#N/A</v>
      </c>
    </row>
    <row r="55" spans="5:14" x14ac:dyDescent="0.2">
      <c r="E55" t="s">
        <v>140</v>
      </c>
      <c r="F55">
        <v>0.20087272</v>
      </c>
      <c r="I55" t="str" cm="1">
        <f t="array" ref="I55:J55">_xlfn.TEXTSPLIT(E55,",")</f>
        <v>Soderstrom</v>
      </c>
      <c r="J55" t="str">
        <v xml:space="preserve"> Tyler</v>
      </c>
      <c r="K55" t="str">
        <f t="shared" si="0"/>
        <v>Tyler Soderstrom</v>
      </c>
      <c r="L55">
        <v>0.20087272</v>
      </c>
      <c r="M55" t="e">
        <f>VLOOKUP(K55,ADP!$B$1:$N$646,4,FALSE)</f>
        <v>#N/A</v>
      </c>
      <c r="N55" t="e">
        <f t="shared" si="1"/>
        <v>#N/A</v>
      </c>
    </row>
    <row r="56" spans="5:14" x14ac:dyDescent="0.2">
      <c r="E56" t="s">
        <v>141</v>
      </c>
      <c r="F56">
        <v>0.1963839</v>
      </c>
      <c r="I56" t="str" cm="1">
        <f t="array" ref="I56:J56">_xlfn.TEXTSPLIT(E56,",")</f>
        <v>Harper</v>
      </c>
      <c r="J56" t="str">
        <v xml:space="preserve"> Bryce</v>
      </c>
      <c r="K56" t="str">
        <f t="shared" si="0"/>
        <v>Bryce Harper</v>
      </c>
      <c r="L56">
        <v>0.1963839</v>
      </c>
      <c r="M56">
        <f>VLOOKUP(K56,ADP!$B$1:$N$646,4,FALSE)</f>
        <v>22.6</v>
      </c>
      <c r="N56">
        <f t="shared" si="1"/>
        <v>2</v>
      </c>
    </row>
    <row r="57" spans="5:14" x14ac:dyDescent="0.2">
      <c r="E57" t="s">
        <v>142</v>
      </c>
      <c r="F57">
        <v>0.18274090000000001</v>
      </c>
      <c r="I57" t="str" cm="1">
        <f t="array" ref="I57:J57">_xlfn.TEXTSPLIT(E57,",")</f>
        <v>Robert Jr.</v>
      </c>
      <c r="J57" t="str">
        <v xml:space="preserve"> Luis</v>
      </c>
      <c r="K57" t="str">
        <f t="shared" si="0"/>
        <v>Luis Robert Jr.</v>
      </c>
      <c r="L57">
        <v>0.18274090000000001</v>
      </c>
      <c r="M57">
        <f>VLOOKUP(K57,ADP!$B$1:$N$646,4,FALSE)</f>
        <v>84.7</v>
      </c>
      <c r="N57">
        <f t="shared" si="1"/>
        <v>8</v>
      </c>
    </row>
    <row r="58" spans="5:14" x14ac:dyDescent="0.2">
      <c r="E58" t="s">
        <v>1408</v>
      </c>
      <c r="F58">
        <v>0.18024567999999999</v>
      </c>
      <c r="I58" t="str" cm="1">
        <f t="array" ref="I58:J58">_xlfn.TEXTSPLIT(E58,",")</f>
        <v>Rooker</v>
      </c>
      <c r="J58" t="str">
        <v xml:space="preserve"> Brent</v>
      </c>
      <c r="K58" t="str">
        <f t="shared" si="0"/>
        <v>Brent Rooker</v>
      </c>
      <c r="L58">
        <v>0.18024567999999999</v>
      </c>
      <c r="M58">
        <f>VLOOKUP(K58,ADP!$B$1:$N$646,4,FALSE)</f>
        <v>67.400000000000006</v>
      </c>
      <c r="N58">
        <f t="shared" si="1"/>
        <v>6</v>
      </c>
    </row>
    <row r="59" spans="5:14" x14ac:dyDescent="0.2">
      <c r="E59" t="s">
        <v>143</v>
      </c>
      <c r="F59">
        <v>0.17914973000000001</v>
      </c>
      <c r="I59" t="str" cm="1">
        <f t="array" ref="I59:J59">_xlfn.TEXTSPLIT(E59,",")</f>
        <v>Tovar</v>
      </c>
      <c r="J59" t="str">
        <v xml:space="preserve"> Ezequiel</v>
      </c>
      <c r="K59" t="str">
        <f t="shared" si="0"/>
        <v>Ezequiel Tovar</v>
      </c>
      <c r="L59">
        <v>0.17914973000000001</v>
      </c>
      <c r="M59">
        <f>VLOOKUP(K59,ADP!$B$1:$N$646,4,FALSE)</f>
        <v>127.6</v>
      </c>
      <c r="N59">
        <f t="shared" si="1"/>
        <v>11</v>
      </c>
    </row>
    <row r="60" spans="5:14" x14ac:dyDescent="0.2">
      <c r="E60" t="s">
        <v>144</v>
      </c>
      <c r="F60">
        <v>0.15884777999999999</v>
      </c>
      <c r="I60" t="str" cm="1">
        <f t="array" ref="I60:J60">_xlfn.TEXTSPLIT(E60,",")</f>
        <v>Varsho</v>
      </c>
      <c r="J60" t="str">
        <v xml:space="preserve"> Daulton</v>
      </c>
      <c r="K60" t="str">
        <f t="shared" si="0"/>
        <v>Daulton Varsho</v>
      </c>
      <c r="L60">
        <v>0.15884777999999999</v>
      </c>
      <c r="M60">
        <f>VLOOKUP(K60,ADP!$B$1:$N$646,4,FALSE)</f>
        <v>343.6</v>
      </c>
      <c r="N60">
        <f t="shared" si="1"/>
        <v>29</v>
      </c>
    </row>
    <row r="61" spans="5:14" x14ac:dyDescent="0.2">
      <c r="E61" t="s">
        <v>145</v>
      </c>
      <c r="F61">
        <v>0.15871365000000001</v>
      </c>
      <c r="I61" t="str" cm="1">
        <f t="array" ref="I61:J61">_xlfn.TEXTSPLIT(E61,",")</f>
        <v>Conforto</v>
      </c>
      <c r="J61" t="str">
        <v xml:space="preserve"> Michael</v>
      </c>
      <c r="K61" t="str">
        <f t="shared" si="0"/>
        <v>Michael Conforto</v>
      </c>
      <c r="L61">
        <v>0.15871365000000001</v>
      </c>
      <c r="M61">
        <f>VLOOKUP(K61,ADP!$B$1:$N$646,4,FALSE)</f>
        <v>278.3</v>
      </c>
      <c r="N61">
        <f t="shared" si="1"/>
        <v>24</v>
      </c>
    </row>
    <row r="62" spans="5:14" x14ac:dyDescent="0.2">
      <c r="E62" t="s">
        <v>146</v>
      </c>
      <c r="F62">
        <v>0.15095906000000001</v>
      </c>
      <c r="I62" t="str" cm="1">
        <f t="array" ref="I62:J62">_xlfn.TEXTSPLIT(E62,",")</f>
        <v>McCray</v>
      </c>
      <c r="J62" t="str">
        <v xml:space="preserve"> Grant</v>
      </c>
      <c r="K62" t="str">
        <f t="shared" si="0"/>
        <v>Grant McCray</v>
      </c>
      <c r="L62">
        <v>0.15095906000000001</v>
      </c>
      <c r="M62" t="e">
        <f>VLOOKUP(K62,ADP!$B$1:$N$646,4,FALSE)</f>
        <v>#N/A</v>
      </c>
      <c r="N62" t="e">
        <f t="shared" si="1"/>
        <v>#N/A</v>
      </c>
    </row>
    <row r="63" spans="5:14" x14ac:dyDescent="0.2">
      <c r="E63" t="s">
        <v>147</v>
      </c>
      <c r="F63">
        <v>0.14858209</v>
      </c>
      <c r="I63" t="str" cm="1">
        <f t="array" ref="I63:J63">_xlfn.TEXTSPLIT(E63,",")</f>
        <v>Ramos</v>
      </c>
      <c r="J63" t="str">
        <v xml:space="preserve"> Bryan</v>
      </c>
      <c r="K63" t="str">
        <f t="shared" si="0"/>
        <v>Bryan Ramos</v>
      </c>
      <c r="L63">
        <v>0.14858209</v>
      </c>
      <c r="M63" t="e">
        <f>VLOOKUP(K63,ADP!$B$1:$N$646,4,FALSE)</f>
        <v>#N/A</v>
      </c>
      <c r="N63" t="e">
        <f t="shared" si="1"/>
        <v>#N/A</v>
      </c>
    </row>
    <row r="64" spans="5:14" x14ac:dyDescent="0.2">
      <c r="E64" t="s">
        <v>148</v>
      </c>
      <c r="F64">
        <v>0.14758626999999999</v>
      </c>
      <c r="I64" t="str" cm="1">
        <f t="array" ref="I64:J64">_xlfn.TEXTSPLIT(E64,",")</f>
        <v>Alonso</v>
      </c>
      <c r="J64" t="str">
        <v xml:space="preserve"> Pete</v>
      </c>
      <c r="K64" t="str">
        <f t="shared" si="0"/>
        <v>Pete Alonso</v>
      </c>
      <c r="L64">
        <v>0.14758626999999999</v>
      </c>
      <c r="M64">
        <f>VLOOKUP(K64,ADP!$B$1:$N$646,4,FALSE)</f>
        <v>52.4</v>
      </c>
      <c r="N64">
        <f t="shared" si="1"/>
        <v>5</v>
      </c>
    </row>
    <row r="65" spans="5:14" x14ac:dyDescent="0.2">
      <c r="E65" t="s">
        <v>149</v>
      </c>
      <c r="F65">
        <v>0.14214477</v>
      </c>
      <c r="I65" t="str" cm="1">
        <f t="array" ref="I65:J65">_xlfn.TEXTSPLIT(E65,",")</f>
        <v>Stott</v>
      </c>
      <c r="J65" t="str">
        <v xml:space="preserve"> Bryson</v>
      </c>
      <c r="K65" t="str">
        <f t="shared" si="0"/>
        <v>Bryson Stott</v>
      </c>
      <c r="L65">
        <v>0.14214477</v>
      </c>
      <c r="M65">
        <f>VLOOKUP(K65,ADP!$B$1:$N$646,4,FALSE)</f>
        <v>178.6</v>
      </c>
      <c r="N65">
        <f t="shared" si="1"/>
        <v>15</v>
      </c>
    </row>
    <row r="66" spans="5:14" x14ac:dyDescent="0.2">
      <c r="E66" t="s">
        <v>150</v>
      </c>
      <c r="F66">
        <v>0.14082049999999999</v>
      </c>
      <c r="I66" t="str" cm="1">
        <f t="array" ref="I66:J66">_xlfn.TEXTSPLIT(E66,",")</f>
        <v>Thomas</v>
      </c>
      <c r="J66" t="str">
        <v xml:space="preserve"> Lane</v>
      </c>
      <c r="K66" t="str">
        <f t="shared" si="0"/>
        <v>Lane Thomas</v>
      </c>
      <c r="L66">
        <v>0.14082049999999999</v>
      </c>
      <c r="M66">
        <f>VLOOKUP(K66,ADP!$B$1:$N$646,4,FALSE)</f>
        <v>178.9</v>
      </c>
      <c r="N66">
        <f t="shared" si="1"/>
        <v>15</v>
      </c>
    </row>
    <row r="67" spans="5:14" x14ac:dyDescent="0.2">
      <c r="E67" t="s">
        <v>151</v>
      </c>
      <c r="F67">
        <v>0.13504604000000001</v>
      </c>
      <c r="I67" t="str" cm="1">
        <f t="array" ref="I67:J67">_xlfn.TEXTSPLIT(E67,",")</f>
        <v>Ramírez</v>
      </c>
      <c r="J67" t="str">
        <v xml:space="preserve"> José</v>
      </c>
      <c r="K67" t="str">
        <f t="shared" ref="K67:K102" si="5">REPLACE(_xlfn.CONCAT(J67," ",I67), 1, 1,"")</f>
        <v>José Ramírez</v>
      </c>
      <c r="L67">
        <v>0.13504604000000001</v>
      </c>
      <c r="M67">
        <f>VLOOKUP(K67,ADP!$B$1:$N$646,4,FALSE)</f>
        <v>5</v>
      </c>
      <c r="N67">
        <f t="shared" ref="N67:N102" si="6">_xlfn.CEILING.MATH(M67/12)</f>
        <v>1</v>
      </c>
    </row>
    <row r="68" spans="5:14" x14ac:dyDescent="0.2">
      <c r="E68" t="s">
        <v>152</v>
      </c>
      <c r="F68">
        <v>0.13225274000000001</v>
      </c>
      <c r="I68" t="str" cm="1">
        <f t="array" ref="I68:J68">_xlfn.TEXTSPLIT(E68,",")</f>
        <v>De La Cruz</v>
      </c>
      <c r="J68" t="str">
        <v xml:space="preserve"> Elly</v>
      </c>
      <c r="K68" t="str">
        <f t="shared" si="5"/>
        <v>Elly De La Cruz</v>
      </c>
      <c r="L68">
        <v>0.13225274000000001</v>
      </c>
      <c r="M68">
        <f>VLOOKUP(K68,ADP!$B$1:$N$646,4,FALSE)</f>
        <v>4.5</v>
      </c>
      <c r="N68">
        <f t="shared" si="6"/>
        <v>1</v>
      </c>
    </row>
    <row r="69" spans="5:14" x14ac:dyDescent="0.2">
      <c r="E69" t="s">
        <v>153</v>
      </c>
      <c r="F69">
        <v>0.13205668000000001</v>
      </c>
      <c r="I69" t="str" cm="1">
        <f t="array" ref="I69:J69">_xlfn.TEXTSPLIT(E69,",")</f>
        <v>Adell</v>
      </c>
      <c r="J69" t="str">
        <v xml:space="preserve"> Jo</v>
      </c>
      <c r="K69" t="str">
        <f t="shared" si="5"/>
        <v>Jo Adell</v>
      </c>
      <c r="L69">
        <v>0.13205668000000001</v>
      </c>
      <c r="M69">
        <f>VLOOKUP(K69,ADP!$B$1:$N$646,4,FALSE)</f>
        <v>282.8</v>
      </c>
      <c r="N69">
        <f t="shared" si="6"/>
        <v>24</v>
      </c>
    </row>
    <row r="70" spans="5:14" x14ac:dyDescent="0.2">
      <c r="E70" t="s">
        <v>154</v>
      </c>
      <c r="F70">
        <v>0.13148699999999999</v>
      </c>
      <c r="I70" t="str" cm="1">
        <f t="array" ref="I70:J70">_xlfn.TEXTSPLIT(E70,",")</f>
        <v>Larnach</v>
      </c>
      <c r="J70" t="str">
        <v xml:space="preserve"> Trevor</v>
      </c>
      <c r="K70" t="str">
        <f t="shared" si="5"/>
        <v>Trevor Larnach</v>
      </c>
      <c r="L70">
        <v>0.13148699999999999</v>
      </c>
      <c r="M70">
        <f>VLOOKUP(K70,ADP!$B$1:$N$646,4,FALSE)</f>
        <v>332.7</v>
      </c>
      <c r="N70">
        <f t="shared" si="6"/>
        <v>28</v>
      </c>
    </row>
    <row r="71" spans="5:14" x14ac:dyDescent="0.2">
      <c r="E71" t="s">
        <v>155</v>
      </c>
      <c r="F71">
        <v>0.12744358</v>
      </c>
      <c r="I71" t="str" cm="1">
        <f t="array" ref="I71:J71">_xlfn.TEXTSPLIT(E71,",")</f>
        <v>Carroll</v>
      </c>
      <c r="J71" t="str">
        <v xml:space="preserve"> Corbin</v>
      </c>
      <c r="K71" t="str">
        <f t="shared" si="5"/>
        <v>Corbin Carroll</v>
      </c>
      <c r="L71">
        <v>0.12744358</v>
      </c>
      <c r="M71">
        <f>VLOOKUP(K71,ADP!$B$1:$N$646,4,FALSE)</f>
        <v>9.1999999999999993</v>
      </c>
      <c r="N71">
        <f t="shared" si="6"/>
        <v>1</v>
      </c>
    </row>
    <row r="72" spans="5:14" x14ac:dyDescent="0.2">
      <c r="E72" t="s">
        <v>156</v>
      </c>
      <c r="F72">
        <v>0.12542320000000001</v>
      </c>
      <c r="I72" t="str" cm="1">
        <f t="array" ref="I72:J72">_xlfn.TEXTSPLIT(E72,",")</f>
        <v>Ramos</v>
      </c>
      <c r="J72" t="str">
        <v xml:space="preserve"> Heliot</v>
      </c>
      <c r="K72" t="str">
        <f t="shared" si="5"/>
        <v>Heliot Ramos</v>
      </c>
      <c r="L72">
        <v>0.12542320000000001</v>
      </c>
      <c r="M72">
        <f>VLOOKUP(K72,ADP!$B$1:$N$646,4,FALSE)</f>
        <v>208.3</v>
      </c>
      <c r="N72">
        <f t="shared" si="6"/>
        <v>18</v>
      </c>
    </row>
    <row r="73" spans="5:14" x14ac:dyDescent="0.2">
      <c r="E73" t="s">
        <v>157</v>
      </c>
      <c r="F73">
        <v>0.12348534</v>
      </c>
      <c r="I73" t="str" cm="1">
        <f t="array" ref="I73:J73">_xlfn.TEXTSPLIT(E73,",")</f>
        <v>Meadows</v>
      </c>
      <c r="J73" t="str">
        <v xml:space="preserve"> Parker</v>
      </c>
      <c r="K73" t="str">
        <f t="shared" si="5"/>
        <v>Parker Meadows</v>
      </c>
      <c r="L73">
        <v>0.12348534</v>
      </c>
      <c r="M73">
        <f>VLOOKUP(K73,ADP!$B$1:$N$646,4,FALSE)</f>
        <v>186.6</v>
      </c>
      <c r="N73">
        <f t="shared" si="6"/>
        <v>16</v>
      </c>
    </row>
    <row r="74" spans="5:14" x14ac:dyDescent="0.2">
      <c r="E74" t="s">
        <v>158</v>
      </c>
      <c r="F74">
        <v>0.12192676</v>
      </c>
      <c r="I74" t="str" cm="1">
        <f t="array" ref="I74:J74">_xlfn.TEXTSPLIT(E74,",")</f>
        <v>Raley</v>
      </c>
      <c r="J74" t="str">
        <v xml:space="preserve"> Luke</v>
      </c>
      <c r="K74" t="str">
        <f t="shared" si="5"/>
        <v>Luke Raley</v>
      </c>
      <c r="L74">
        <v>0.12192676</v>
      </c>
      <c r="M74">
        <f>VLOOKUP(K74,ADP!$B$1:$N$646,4,FALSE)</f>
        <v>300.89999999999998</v>
      </c>
      <c r="N74">
        <f t="shared" si="6"/>
        <v>26</v>
      </c>
    </row>
    <row r="75" spans="5:14" x14ac:dyDescent="0.2">
      <c r="E75" t="s">
        <v>159</v>
      </c>
      <c r="F75">
        <v>0.11933522000000001</v>
      </c>
      <c r="I75" t="str" cm="1">
        <f t="array" ref="I75:J75">_xlfn.TEXTSPLIT(E75,",")</f>
        <v>Winn</v>
      </c>
      <c r="J75" t="str">
        <v xml:space="preserve"> Masyn</v>
      </c>
      <c r="K75" t="str">
        <f t="shared" si="5"/>
        <v>Masyn Winn</v>
      </c>
      <c r="L75">
        <v>0.11933522000000001</v>
      </c>
      <c r="M75">
        <f>VLOOKUP(K75,ADP!$B$1:$N$646,4,FALSE)</f>
        <v>147.19999999999999</v>
      </c>
      <c r="N75">
        <f t="shared" si="6"/>
        <v>13</v>
      </c>
    </row>
    <row r="76" spans="5:14" x14ac:dyDescent="0.2">
      <c r="E76" t="s">
        <v>160</v>
      </c>
      <c r="F76">
        <v>0.118018426</v>
      </c>
      <c r="I76" t="str" cm="1">
        <f t="array" ref="I76:J76">_xlfn.TEXTSPLIT(E76,",")</f>
        <v>Díaz</v>
      </c>
      <c r="J76" t="str">
        <v xml:space="preserve"> Yandy</v>
      </c>
      <c r="K76" t="str">
        <f t="shared" si="5"/>
        <v>Yandy Díaz</v>
      </c>
      <c r="L76">
        <v>0.118018426</v>
      </c>
      <c r="M76">
        <f>VLOOKUP(K76,ADP!$B$1:$N$646,4,FALSE)</f>
        <v>202.8</v>
      </c>
      <c r="N76">
        <f t="shared" si="6"/>
        <v>17</v>
      </c>
    </row>
    <row r="77" spans="5:14" x14ac:dyDescent="0.2">
      <c r="E77" t="s">
        <v>161</v>
      </c>
      <c r="F77">
        <v>0.117940105</v>
      </c>
      <c r="I77" t="str" cm="1">
        <f t="array" ref="I77:J77">_xlfn.TEXTSPLIT(E77,",")</f>
        <v>Outman</v>
      </c>
      <c r="J77" t="str">
        <v xml:space="preserve"> James</v>
      </c>
      <c r="K77" t="str">
        <f t="shared" si="5"/>
        <v>James Outman</v>
      </c>
      <c r="L77">
        <v>0.117940105</v>
      </c>
      <c r="M77" t="e">
        <f>VLOOKUP(K77,ADP!$B$1:$N$646,4,FALSE)</f>
        <v>#N/A</v>
      </c>
      <c r="N77" t="e">
        <f t="shared" si="6"/>
        <v>#N/A</v>
      </c>
    </row>
    <row r="78" spans="5:14" x14ac:dyDescent="0.2">
      <c r="E78" t="s">
        <v>162</v>
      </c>
      <c r="F78">
        <v>0.105907485</v>
      </c>
      <c r="I78" t="str" cm="1">
        <f t="array" ref="I78:J78">_xlfn.TEXTSPLIT(E78,",")</f>
        <v>Turner</v>
      </c>
      <c r="J78" t="str">
        <v xml:space="preserve"> Trea</v>
      </c>
      <c r="K78" t="str">
        <f t="shared" si="5"/>
        <v>Trea Turner</v>
      </c>
      <c r="L78">
        <v>0.105907485</v>
      </c>
      <c r="M78">
        <f>VLOOKUP(K78,ADP!$B$1:$N$646,4,FALSE)</f>
        <v>25.7</v>
      </c>
      <c r="N78">
        <f t="shared" si="6"/>
        <v>3</v>
      </c>
    </row>
    <row r="79" spans="5:14" x14ac:dyDescent="0.2">
      <c r="E79" t="s">
        <v>163</v>
      </c>
      <c r="F79">
        <v>0.105329245</v>
      </c>
      <c r="I79" t="str" cm="1">
        <f t="array" ref="I79:J79">_xlfn.TEXTSPLIT(E79,",")</f>
        <v>Wade</v>
      </c>
      <c r="J79" t="str">
        <v xml:space="preserve"> Tyler</v>
      </c>
      <c r="K79" t="str">
        <f t="shared" si="5"/>
        <v>Tyler Wade</v>
      </c>
      <c r="L79">
        <v>0.105329245</v>
      </c>
      <c r="M79" t="e">
        <f>VLOOKUP(K79,ADP!$B$1:$N$646,4,FALSE)</f>
        <v>#N/A</v>
      </c>
      <c r="N79" t="e">
        <f t="shared" si="6"/>
        <v>#N/A</v>
      </c>
    </row>
    <row r="80" spans="5:14" x14ac:dyDescent="0.2">
      <c r="E80" t="s">
        <v>164</v>
      </c>
      <c r="F80">
        <v>0.10316591999999999</v>
      </c>
      <c r="I80" t="str" cm="1">
        <f t="array" ref="I80:J80">_xlfn.TEXTSPLIT(E80,",")</f>
        <v>Stowers</v>
      </c>
      <c r="J80" t="str">
        <v xml:space="preserve"> Kyle</v>
      </c>
      <c r="K80" t="str">
        <f t="shared" si="5"/>
        <v>Kyle Stowers</v>
      </c>
      <c r="L80">
        <v>0.10316591999999999</v>
      </c>
      <c r="M80" t="e">
        <f>VLOOKUP(K80,ADP!$B$1:$N$646,4,FALSE)</f>
        <v>#N/A</v>
      </c>
      <c r="N80" t="e">
        <f t="shared" si="6"/>
        <v>#N/A</v>
      </c>
    </row>
    <row r="81" spans="5:14" x14ac:dyDescent="0.2">
      <c r="E81" t="s">
        <v>165</v>
      </c>
      <c r="F81">
        <v>0.101509444</v>
      </c>
      <c r="I81" t="str" cm="1">
        <f t="array" ref="I81:J81">_xlfn.TEXTSPLIT(E81,",")</f>
        <v>Betts</v>
      </c>
      <c r="J81" t="str">
        <v xml:space="preserve"> Mookie</v>
      </c>
      <c r="K81" t="str">
        <f t="shared" si="5"/>
        <v>Mookie Betts</v>
      </c>
      <c r="L81">
        <v>0.101509444</v>
      </c>
      <c r="M81">
        <f>VLOOKUP(K81,ADP!$B$1:$N$646,4,FALSE)</f>
        <v>12.7</v>
      </c>
      <c r="N81">
        <f t="shared" si="6"/>
        <v>2</v>
      </c>
    </row>
    <row r="82" spans="5:14" x14ac:dyDescent="0.2">
      <c r="E82" t="s">
        <v>166</v>
      </c>
      <c r="F82">
        <v>9.9427150000000006E-2</v>
      </c>
      <c r="I82" t="str" cm="1">
        <f t="array" ref="I82:J82">_xlfn.TEXTSPLIT(E82,",")</f>
        <v>Tellez</v>
      </c>
      <c r="J82" t="str">
        <v xml:space="preserve"> Rowdy</v>
      </c>
      <c r="K82" t="str">
        <f t="shared" si="5"/>
        <v>Rowdy Tellez</v>
      </c>
      <c r="L82">
        <v>9.9427150000000006E-2</v>
      </c>
      <c r="M82">
        <f>VLOOKUP(K82,ADP!$B$1:$N$646,4,FALSE)</f>
        <v>729.5</v>
      </c>
      <c r="N82">
        <f t="shared" si="6"/>
        <v>61</v>
      </c>
    </row>
    <row r="83" spans="5:14" x14ac:dyDescent="0.2">
      <c r="E83" t="s">
        <v>167</v>
      </c>
      <c r="F83">
        <v>9.7324190000000005E-2</v>
      </c>
      <c r="I83" t="str" cm="1">
        <f t="array" ref="I83:J83">_xlfn.TEXTSPLIT(E83,",")</f>
        <v>Santana</v>
      </c>
      <c r="J83" t="str">
        <v xml:space="preserve"> Carlos</v>
      </c>
      <c r="K83" t="str">
        <f t="shared" si="5"/>
        <v>Carlos Santana</v>
      </c>
      <c r="L83">
        <v>9.7324190000000005E-2</v>
      </c>
      <c r="M83">
        <f>VLOOKUP(K83,ADP!$B$1:$N$646,4,FALSE)</f>
        <v>347.5</v>
      </c>
      <c r="N83">
        <f t="shared" si="6"/>
        <v>29</v>
      </c>
    </row>
    <row r="84" spans="5:14" x14ac:dyDescent="0.2">
      <c r="E84" t="s">
        <v>168</v>
      </c>
      <c r="F84">
        <v>9.6959279999999995E-2</v>
      </c>
      <c r="I84" t="str" cm="1">
        <f t="array" ref="I84:J84">_xlfn.TEXTSPLIT(E84,",")</f>
        <v>Bethancourt</v>
      </c>
      <c r="J84" t="str">
        <v xml:space="preserve"> Christian</v>
      </c>
      <c r="K84" t="str">
        <f t="shared" si="5"/>
        <v>Christian Bethancourt</v>
      </c>
      <c r="L84">
        <v>9.6959279999999995E-2</v>
      </c>
      <c r="M84">
        <f>VLOOKUP(K84,ADP!$B$1:$N$646,4,FALSE)</f>
        <v>0</v>
      </c>
      <c r="N84">
        <f t="shared" si="6"/>
        <v>0</v>
      </c>
    </row>
    <row r="85" spans="5:14" x14ac:dyDescent="0.2">
      <c r="E85" t="s">
        <v>169</v>
      </c>
      <c r="F85">
        <v>9.4205566000000004E-2</v>
      </c>
      <c r="I85" t="str" cm="1">
        <f t="array" ref="I85:J85">_xlfn.TEXTSPLIT(E85,",")</f>
        <v>Gonzales</v>
      </c>
      <c r="J85" t="str">
        <v xml:space="preserve"> Nick</v>
      </c>
      <c r="K85" t="str">
        <f t="shared" si="5"/>
        <v>Nick Gonzales</v>
      </c>
      <c r="L85">
        <v>9.4205566000000004E-2</v>
      </c>
      <c r="M85">
        <f>VLOOKUP(K85,ADP!$B$1:$N$646,4,FALSE)</f>
        <v>403.7</v>
      </c>
      <c r="N85">
        <f t="shared" si="6"/>
        <v>34</v>
      </c>
    </row>
    <row r="86" spans="5:14" x14ac:dyDescent="0.2">
      <c r="E86" t="s">
        <v>170</v>
      </c>
      <c r="F86">
        <v>9.4142586E-2</v>
      </c>
      <c r="I86" t="str" cm="1">
        <f t="array" ref="I86:J86">_xlfn.TEXTSPLIT(E86,",")</f>
        <v>Blanco</v>
      </c>
      <c r="J86" t="str">
        <v xml:space="preserve"> Dairon</v>
      </c>
      <c r="K86" t="str">
        <f t="shared" si="5"/>
        <v>Dairon Blanco</v>
      </c>
      <c r="L86">
        <v>9.4142586E-2</v>
      </c>
      <c r="M86">
        <f>VLOOKUP(K86,ADP!$B$1:$N$646,4,FALSE)</f>
        <v>659.8</v>
      </c>
      <c r="N86">
        <f t="shared" si="6"/>
        <v>55</v>
      </c>
    </row>
    <row r="87" spans="5:14" x14ac:dyDescent="0.2">
      <c r="E87" t="s">
        <v>171</v>
      </c>
      <c r="F87">
        <v>9.2417719999999995E-2</v>
      </c>
      <c r="I87" t="str" cm="1">
        <f t="array" ref="I87:J87">_xlfn.TEXTSPLIT(E87,",")</f>
        <v>Diaz</v>
      </c>
      <c r="J87" t="str">
        <v xml:space="preserve"> Yainer</v>
      </c>
      <c r="K87" t="str">
        <f t="shared" si="5"/>
        <v>Yainer Diaz</v>
      </c>
      <c r="L87">
        <v>9.2417719999999995E-2</v>
      </c>
      <c r="M87">
        <f>VLOOKUP(K87,ADP!$B$1:$N$646,4,FALSE)</f>
        <v>57.6</v>
      </c>
      <c r="N87">
        <f t="shared" si="6"/>
        <v>5</v>
      </c>
    </row>
    <row r="88" spans="5:14" x14ac:dyDescent="0.2">
      <c r="E88" t="s">
        <v>172</v>
      </c>
      <c r="F88">
        <v>9.2345250000000004E-2</v>
      </c>
      <c r="I88" t="str" cm="1">
        <f t="array" ref="I88:J88">_xlfn.TEXTSPLIT(E88,",")</f>
        <v>Paredes</v>
      </c>
      <c r="J88" t="str">
        <v xml:space="preserve"> Isaac</v>
      </c>
      <c r="K88" t="str">
        <f t="shared" si="5"/>
        <v>Isaac Paredes</v>
      </c>
      <c r="L88">
        <v>9.2345250000000004E-2</v>
      </c>
      <c r="M88">
        <f>VLOOKUP(K88,ADP!$B$1:$N$646,4,FALSE)</f>
        <v>197.4</v>
      </c>
      <c r="N88">
        <f t="shared" si="6"/>
        <v>17</v>
      </c>
    </row>
    <row r="89" spans="5:14" x14ac:dyDescent="0.2">
      <c r="E89" t="s">
        <v>173</v>
      </c>
      <c r="F89">
        <v>9.1625929999999994E-2</v>
      </c>
      <c r="I89" t="str" cm="1">
        <f t="array" ref="I89:J89">_xlfn.TEXTSPLIT(E89,",")</f>
        <v>Pederson</v>
      </c>
      <c r="J89" t="str">
        <v xml:space="preserve"> Joc</v>
      </c>
      <c r="K89" t="str">
        <f t="shared" si="5"/>
        <v>Joc Pederson</v>
      </c>
      <c r="L89">
        <v>9.1625929999999994E-2</v>
      </c>
      <c r="M89">
        <f>VLOOKUP(K89,ADP!$B$1:$N$646,4,FALSE)</f>
        <v>323.5</v>
      </c>
      <c r="N89">
        <f t="shared" si="6"/>
        <v>27</v>
      </c>
    </row>
    <row r="90" spans="5:14" x14ac:dyDescent="0.2">
      <c r="E90" t="s">
        <v>174</v>
      </c>
      <c r="F90">
        <v>9.1316759999999997E-2</v>
      </c>
      <c r="I90" t="str" cm="1">
        <f t="array" ref="I90:J90">_xlfn.TEXTSPLIT(E90,",")</f>
        <v>Happ</v>
      </c>
      <c r="J90" t="str">
        <v xml:space="preserve"> Ian</v>
      </c>
      <c r="K90" t="str">
        <f t="shared" si="5"/>
        <v>Ian Happ</v>
      </c>
      <c r="L90">
        <v>9.1316759999999997E-2</v>
      </c>
      <c r="M90">
        <f>VLOOKUP(K90,ADP!$B$1:$N$646,4,FALSE)</f>
        <v>134.5</v>
      </c>
      <c r="N90">
        <f t="shared" si="6"/>
        <v>12</v>
      </c>
    </row>
    <row r="91" spans="5:14" x14ac:dyDescent="0.2">
      <c r="E91" t="s">
        <v>175</v>
      </c>
      <c r="F91">
        <v>9.0818666000000006E-2</v>
      </c>
      <c r="I91" t="str" cm="1">
        <f t="array" ref="I91:J91">_xlfn.TEXTSPLIT(E91,",")</f>
        <v>Vierling</v>
      </c>
      <c r="J91" t="str">
        <v xml:space="preserve"> Matt</v>
      </c>
      <c r="K91" t="str">
        <f t="shared" si="5"/>
        <v>Matt Vierling</v>
      </c>
      <c r="L91">
        <v>9.0818666000000006E-2</v>
      </c>
      <c r="M91">
        <f>VLOOKUP(K91,ADP!$B$1:$N$646,4,FALSE)</f>
        <v>319.10000000000002</v>
      </c>
      <c r="N91">
        <f t="shared" si="6"/>
        <v>27</v>
      </c>
    </row>
    <row r="92" spans="5:14" x14ac:dyDescent="0.2">
      <c r="E92" t="s">
        <v>176</v>
      </c>
      <c r="F92">
        <v>8.9512759999999997E-2</v>
      </c>
      <c r="I92" t="str" cm="1">
        <f t="array" ref="I92:J92">_xlfn.TEXTSPLIT(E92,",")</f>
        <v>Crews</v>
      </c>
      <c r="J92" t="str">
        <v xml:space="preserve"> Dylan</v>
      </c>
      <c r="K92" t="str">
        <f t="shared" si="5"/>
        <v>Dylan Crews</v>
      </c>
      <c r="L92">
        <v>8.9512759999999997E-2</v>
      </c>
      <c r="M92" t="e">
        <f>VLOOKUP(K92,ADP!$B$1:$N$646,4,FALSE)</f>
        <v>#N/A</v>
      </c>
      <c r="N92" t="e">
        <f t="shared" si="6"/>
        <v>#N/A</v>
      </c>
    </row>
    <row r="93" spans="5:14" x14ac:dyDescent="0.2">
      <c r="E93" t="s">
        <v>177</v>
      </c>
      <c r="F93">
        <v>8.6566439999999995E-2</v>
      </c>
      <c r="I93" t="str" cm="1">
        <f t="array" ref="I93:J93">_xlfn.TEXTSPLIT(E93,",")</f>
        <v>Sosa</v>
      </c>
      <c r="J93" t="str">
        <v xml:space="preserve"> Lenyn</v>
      </c>
      <c r="K93" t="str">
        <f t="shared" si="5"/>
        <v>Lenyn Sosa</v>
      </c>
      <c r="L93">
        <v>8.6566439999999995E-2</v>
      </c>
      <c r="M93">
        <f>VLOOKUP(K93,ADP!$B$1:$N$646,4,FALSE)</f>
        <v>450.6</v>
      </c>
      <c r="N93">
        <f t="shared" si="6"/>
        <v>38</v>
      </c>
    </row>
    <row r="94" spans="5:14" x14ac:dyDescent="0.2">
      <c r="E94" t="s">
        <v>178</v>
      </c>
      <c r="F94">
        <v>8.6531150000000001E-2</v>
      </c>
      <c r="I94" t="str" cm="1">
        <f t="array" ref="I94:J94">_xlfn.TEXTSPLIT(E94,",")</f>
        <v>Kjerstad</v>
      </c>
      <c r="J94" t="str">
        <v xml:space="preserve"> Heston</v>
      </c>
      <c r="K94" t="str">
        <f t="shared" si="5"/>
        <v>Heston Kjerstad</v>
      </c>
      <c r="L94">
        <v>8.6531150000000001E-2</v>
      </c>
      <c r="M94" t="e">
        <f>VLOOKUP(K94,ADP!$B$1:$N$646,4,FALSE)</f>
        <v>#N/A</v>
      </c>
      <c r="N94" t="e">
        <f t="shared" si="6"/>
        <v>#N/A</v>
      </c>
    </row>
    <row r="95" spans="5:14" x14ac:dyDescent="0.2">
      <c r="E95" t="s">
        <v>179</v>
      </c>
      <c r="F95">
        <v>8.6162664E-2</v>
      </c>
      <c r="I95" t="str" cm="1">
        <f t="array" ref="I95:J95">_xlfn.TEXTSPLIT(E95,",")</f>
        <v>Schmitt</v>
      </c>
      <c r="J95" t="str">
        <v xml:space="preserve"> Casey</v>
      </c>
      <c r="K95" t="str">
        <f t="shared" si="5"/>
        <v>Casey Schmitt</v>
      </c>
      <c r="L95">
        <v>8.6162664E-2</v>
      </c>
      <c r="M95" t="e">
        <f>VLOOKUP(K95,ADP!$B$1:$N$646,4,FALSE)</f>
        <v>#N/A</v>
      </c>
      <c r="N95" t="e">
        <f t="shared" si="6"/>
        <v>#N/A</v>
      </c>
    </row>
    <row r="96" spans="5:14" x14ac:dyDescent="0.2">
      <c r="E96" t="s">
        <v>180</v>
      </c>
      <c r="F96">
        <v>8.1971569999999994E-2</v>
      </c>
      <c r="I96" t="str" cm="1">
        <f t="array" ref="I96:J96">_xlfn.TEXTSPLIT(E96,",")</f>
        <v>Pasquantino</v>
      </c>
      <c r="J96" t="str">
        <v xml:space="preserve"> Vinnie</v>
      </c>
      <c r="K96" t="str">
        <f t="shared" si="5"/>
        <v>Vinnie Pasquantino</v>
      </c>
      <c r="L96">
        <v>8.1971569999999994E-2</v>
      </c>
      <c r="M96">
        <f>VLOOKUP(K96,ADP!$B$1:$N$646,4,FALSE)</f>
        <v>115.4</v>
      </c>
      <c r="N96">
        <f t="shared" si="6"/>
        <v>10</v>
      </c>
    </row>
    <row r="97" spans="5:14" x14ac:dyDescent="0.2">
      <c r="E97" t="s">
        <v>181</v>
      </c>
      <c r="F97">
        <v>8.0471189999999998E-2</v>
      </c>
      <c r="I97" t="str" cm="1">
        <f t="array" ref="I97:J97">_xlfn.TEXTSPLIT(E97,",")</f>
        <v>Benson</v>
      </c>
      <c r="J97" t="str">
        <v xml:space="preserve"> Will</v>
      </c>
      <c r="K97" t="str">
        <f t="shared" si="5"/>
        <v>Will Benson</v>
      </c>
      <c r="L97">
        <v>8.0471189999999998E-2</v>
      </c>
      <c r="M97">
        <f>VLOOKUP(K97,ADP!$B$1:$N$646,4,FALSE)</f>
        <v>636.29999999999995</v>
      </c>
      <c r="N97">
        <f t="shared" si="6"/>
        <v>54</v>
      </c>
    </row>
    <row r="98" spans="5:14" x14ac:dyDescent="0.2">
      <c r="E98" t="s">
        <v>182</v>
      </c>
      <c r="F98">
        <v>8.0094730000000003E-2</v>
      </c>
      <c r="I98" t="str" cm="1">
        <f t="array" ref="I98:J98">_xlfn.TEXTSPLIT(E98,",")</f>
        <v>Ward</v>
      </c>
      <c r="J98" t="str">
        <v xml:space="preserve"> Taylor</v>
      </c>
      <c r="K98" t="str">
        <f t="shared" si="5"/>
        <v>Taylor Ward</v>
      </c>
      <c r="L98">
        <v>8.0094730000000003E-2</v>
      </c>
      <c r="M98">
        <f>VLOOKUP(K98,ADP!$B$1:$N$646,4,FALSE)</f>
        <v>183.7</v>
      </c>
      <c r="N98">
        <f t="shared" si="6"/>
        <v>16</v>
      </c>
    </row>
    <row r="99" spans="5:14" x14ac:dyDescent="0.2">
      <c r="E99" t="s">
        <v>183</v>
      </c>
      <c r="F99">
        <v>7.905363E-2</v>
      </c>
      <c r="I99" t="str" cm="1">
        <f t="array" ref="I99:J99">_xlfn.TEXTSPLIT(E99,",")</f>
        <v>Arias</v>
      </c>
      <c r="J99" t="str">
        <v xml:space="preserve"> Gabriel</v>
      </c>
      <c r="K99" t="str">
        <f t="shared" si="5"/>
        <v>Gabriel Arias</v>
      </c>
      <c r="L99">
        <v>7.905363E-2</v>
      </c>
      <c r="M99" t="e">
        <f>VLOOKUP(K99,ADP!$B$1:$N$646,4,FALSE)</f>
        <v>#N/A</v>
      </c>
      <c r="N99" t="e">
        <f t="shared" si="6"/>
        <v>#N/A</v>
      </c>
    </row>
    <row r="100" spans="5:14" x14ac:dyDescent="0.2">
      <c r="E100" t="s">
        <v>184</v>
      </c>
      <c r="F100">
        <v>7.8589759999999995E-2</v>
      </c>
      <c r="I100" t="str" cm="1">
        <f t="array" ref="I100:J100">_xlfn.TEXTSPLIT(E100,",")</f>
        <v>Contreras</v>
      </c>
      <c r="J100" t="str">
        <v xml:space="preserve"> Willson</v>
      </c>
      <c r="K100" t="str">
        <f t="shared" si="5"/>
        <v>Willson Contreras</v>
      </c>
      <c r="L100">
        <v>7.8589759999999995E-2</v>
      </c>
      <c r="M100">
        <f>VLOOKUP(K100,ADP!$B$1:$N$646,4,FALSE)</f>
        <v>75.8</v>
      </c>
      <c r="N100">
        <f t="shared" si="6"/>
        <v>7</v>
      </c>
    </row>
    <row r="101" spans="5:14" x14ac:dyDescent="0.2">
      <c r="E101" t="s">
        <v>185</v>
      </c>
      <c r="F101">
        <v>7.5922799999999999E-2</v>
      </c>
      <c r="I101" t="str" cm="1">
        <f t="array" ref="I101:J101">_xlfn.TEXTSPLIT(E101,",")</f>
        <v>Baldwin</v>
      </c>
      <c r="J101" t="str">
        <v xml:space="preserve"> Brooks</v>
      </c>
      <c r="K101" t="str">
        <f t="shared" si="5"/>
        <v>Brooks Baldwin</v>
      </c>
      <c r="L101">
        <v>7.5922799999999999E-2</v>
      </c>
      <c r="M101" t="e">
        <f>VLOOKUP(K101,ADP!$B$1:$N$646,4,FALSE)</f>
        <v>#N/A</v>
      </c>
      <c r="N101" t="e">
        <f t="shared" si="6"/>
        <v>#N/A</v>
      </c>
    </row>
    <row r="102" spans="5:14" x14ac:dyDescent="0.2">
      <c r="E102" t="s">
        <v>186</v>
      </c>
      <c r="F102">
        <v>7.5139609999999996E-2</v>
      </c>
      <c r="I102" t="str" cm="1">
        <f t="array" ref="I102:J102">_xlfn.TEXTSPLIT(E102,",")</f>
        <v>Merrifield</v>
      </c>
      <c r="J102" t="str">
        <v xml:space="preserve"> Whit</v>
      </c>
      <c r="K102" t="str">
        <f t="shared" si="5"/>
        <v>Whit Merrifield</v>
      </c>
      <c r="L102">
        <v>7.5139609999999996E-2</v>
      </c>
      <c r="M102">
        <f>VLOOKUP(K102,ADP!$B$1:$N$646,4,FALSE)</f>
        <v>741</v>
      </c>
      <c r="N102">
        <f t="shared" si="6"/>
        <v>62</v>
      </c>
    </row>
  </sheetData>
  <conditionalFormatting sqref="L2:L102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A2DD7-F5EC-4C01-9D28-DDFA8B925A7E}">
  <dimension ref="A1:M85"/>
  <sheetViews>
    <sheetView topLeftCell="A55" workbookViewId="0">
      <selection activeCell="J47" sqref="J47:M85"/>
    </sheetView>
  </sheetViews>
  <sheetFormatPr baseColWidth="10" defaultColWidth="8.83203125" defaultRowHeight="15" x14ac:dyDescent="0.2"/>
  <cols>
    <col min="1" max="1" width="19.6640625" bestFit="1" customWidth="1"/>
    <col min="4" max="4" width="10.33203125" bestFit="1" customWidth="1"/>
    <col min="5" max="5" width="17.6640625" bestFit="1" customWidth="1"/>
    <col min="7" max="7" width="10.6640625" customWidth="1"/>
  </cols>
  <sheetData>
    <row r="1" spans="1:13" x14ac:dyDescent="0.2">
      <c r="A1" t="s">
        <v>39</v>
      </c>
      <c r="B1" t="s">
        <v>40</v>
      </c>
      <c r="J1" t="s">
        <v>187</v>
      </c>
      <c r="K1" t="s">
        <v>40</v>
      </c>
      <c r="L1" t="s">
        <v>297</v>
      </c>
      <c r="M1" t="s">
        <v>248</v>
      </c>
    </row>
    <row r="2" spans="1:13" x14ac:dyDescent="0.2">
      <c r="A2" t="s">
        <v>41</v>
      </c>
      <c r="B2">
        <v>0.83403899999999997</v>
      </c>
      <c r="C2" t="str" cm="1">
        <f t="array" ref="C2:D2">_xlfn.TEXTSPLIT(A2,",")</f>
        <v>Skenes</v>
      </c>
      <c r="D2" t="str">
        <v xml:space="preserve"> Paul</v>
      </c>
      <c r="E2" t="str">
        <f>REPLACE(_xlfn.CONCAT(D2," ",C2), 1, 1,"")</f>
        <v>Paul Skenes</v>
      </c>
      <c r="G2">
        <f>VLOOKUP(E2,ADP!$B$1:$N$181,4,FALSE)</f>
        <v>11.3</v>
      </c>
      <c r="J2" t="s">
        <v>952</v>
      </c>
      <c r="K2">
        <v>0.83403899999999997</v>
      </c>
      <c r="L2">
        <v>11.3</v>
      </c>
      <c r="M2">
        <f>_xlfn.CEILING.MATH(L2/12)</f>
        <v>1</v>
      </c>
    </row>
    <row r="3" spans="1:13" x14ac:dyDescent="0.2">
      <c r="A3" t="s">
        <v>42</v>
      </c>
      <c r="B3">
        <v>0.80664670000000005</v>
      </c>
      <c r="C3" t="str" cm="1">
        <f t="array" ref="C3:D3">_xlfn.TEXTSPLIT(A3,",")</f>
        <v>Crochet</v>
      </c>
      <c r="D3" t="str">
        <v xml:space="preserve"> Garrett</v>
      </c>
      <c r="E3" t="str">
        <f t="shared" ref="E3:E47" si="0">REPLACE(_xlfn.CONCAT(D3," ",C3), 1, 1,"")</f>
        <v>Garrett Crochet</v>
      </c>
      <c r="G3">
        <f>VLOOKUP(E3,ADP!$B$1:$N$181,4,FALSE)</f>
        <v>24.8</v>
      </c>
      <c r="J3" t="s">
        <v>268</v>
      </c>
      <c r="K3">
        <v>0.80664670000000005</v>
      </c>
      <c r="L3">
        <v>24.8</v>
      </c>
      <c r="M3">
        <f t="shared" ref="M3:M66" si="1">_xlfn.CEILING.MATH(L3/12)</f>
        <v>3</v>
      </c>
    </row>
    <row r="4" spans="1:13" x14ac:dyDescent="0.2">
      <c r="A4" t="s">
        <v>43</v>
      </c>
      <c r="B4">
        <v>0.73539880000000002</v>
      </c>
      <c r="C4" t="str" cm="1">
        <f t="array" ref="C4:D4">_xlfn.TEXTSPLIT(A4,",")</f>
        <v>Kirby</v>
      </c>
      <c r="D4" t="str">
        <v xml:space="preserve"> George</v>
      </c>
      <c r="E4" t="str">
        <f t="shared" si="0"/>
        <v>George Kirby</v>
      </c>
      <c r="G4">
        <f>VLOOKUP(E4,ADP!$B$1:$N$181,4,FALSE)</f>
        <v>45.8</v>
      </c>
      <c r="J4" t="s">
        <v>269</v>
      </c>
      <c r="K4">
        <v>0.73539880000000002</v>
      </c>
      <c r="L4">
        <v>45.8</v>
      </c>
      <c r="M4">
        <f t="shared" si="1"/>
        <v>4</v>
      </c>
    </row>
    <row r="5" spans="1:13" x14ac:dyDescent="0.2">
      <c r="A5" t="s">
        <v>44</v>
      </c>
      <c r="B5">
        <v>0.73369660000000003</v>
      </c>
      <c r="C5" t="str" cm="1">
        <f t="array" ref="C5:D5">_xlfn.TEXTSPLIT(A5,",")</f>
        <v>Sánchez</v>
      </c>
      <c r="D5" t="str">
        <v xml:space="preserve"> Cristopher</v>
      </c>
      <c r="E5" t="str">
        <f t="shared" si="0"/>
        <v>Cristopher Sánchez</v>
      </c>
      <c r="G5">
        <f>VLOOKUP(E5,ADP!$B$1:$N$181,4,FALSE)</f>
        <v>172.8</v>
      </c>
      <c r="J5" t="s">
        <v>999</v>
      </c>
      <c r="K5">
        <v>0.73369660000000003</v>
      </c>
      <c r="L5">
        <v>172.8</v>
      </c>
      <c r="M5">
        <f t="shared" si="1"/>
        <v>15</v>
      </c>
    </row>
    <row r="6" spans="1:13" x14ac:dyDescent="0.2">
      <c r="A6" t="s">
        <v>45</v>
      </c>
      <c r="B6">
        <v>0.65819220000000001</v>
      </c>
      <c r="C6" t="str" cm="1">
        <f t="array" ref="C6:D6">_xlfn.TEXTSPLIT(A6,",")</f>
        <v>Gilbert</v>
      </c>
      <c r="D6" t="str">
        <v xml:space="preserve"> Logan</v>
      </c>
      <c r="E6" t="str">
        <f t="shared" si="0"/>
        <v>Logan Gilbert</v>
      </c>
      <c r="G6">
        <f>VLOOKUP(E6,ADP!$B$1:$N$181,4,FALSE)</f>
        <v>26</v>
      </c>
      <c r="J6" t="s">
        <v>953</v>
      </c>
      <c r="K6">
        <v>0.65819220000000001</v>
      </c>
      <c r="L6">
        <v>26</v>
      </c>
      <c r="M6">
        <f t="shared" si="1"/>
        <v>3</v>
      </c>
    </row>
    <row r="7" spans="1:13" x14ac:dyDescent="0.2">
      <c r="A7" t="s">
        <v>46</v>
      </c>
      <c r="B7">
        <v>0.65359160000000005</v>
      </c>
      <c r="C7" t="str" cm="1">
        <f t="array" ref="C7:D7">_xlfn.TEXTSPLIT(A7,",")</f>
        <v>Skubal</v>
      </c>
      <c r="D7" t="str">
        <v xml:space="preserve"> Tarik</v>
      </c>
      <c r="E7" t="str">
        <f t="shared" si="0"/>
        <v>Tarik Skubal</v>
      </c>
      <c r="G7">
        <f>VLOOKUP(E7,ADP!$B$1:$N$181,4,FALSE)</f>
        <v>13.8</v>
      </c>
      <c r="J7" t="s">
        <v>949</v>
      </c>
      <c r="K7">
        <v>0.65359160000000005</v>
      </c>
      <c r="L7">
        <v>13.8</v>
      </c>
      <c r="M7">
        <f t="shared" si="1"/>
        <v>2</v>
      </c>
    </row>
    <row r="8" spans="1:13" x14ac:dyDescent="0.2">
      <c r="A8" t="s">
        <v>47</v>
      </c>
      <c r="B8">
        <v>0.65281579999999995</v>
      </c>
      <c r="C8" t="str" cm="1">
        <f t="array" ref="C8:D8">_xlfn.TEXTSPLIT(A8,",")</f>
        <v>Steele</v>
      </c>
      <c r="D8" t="str">
        <v xml:space="preserve"> Justin</v>
      </c>
      <c r="E8" t="str">
        <f t="shared" si="0"/>
        <v>Justin Steele</v>
      </c>
      <c r="G8">
        <f>VLOOKUP(E8,ADP!$B$1:$N$181,4,FALSE)</f>
        <v>121</v>
      </c>
      <c r="J8" t="s">
        <v>256</v>
      </c>
      <c r="K8">
        <v>0.65281579999999995</v>
      </c>
      <c r="L8">
        <v>121</v>
      </c>
      <c r="M8">
        <f t="shared" si="1"/>
        <v>11</v>
      </c>
    </row>
    <row r="9" spans="1:13" x14ac:dyDescent="0.2">
      <c r="A9" t="s">
        <v>48</v>
      </c>
      <c r="B9">
        <v>0.62830322999999999</v>
      </c>
      <c r="C9" t="str" cm="1">
        <f t="array" ref="C9:D9">_xlfn.TEXTSPLIT(A9,",")</f>
        <v>Martinez</v>
      </c>
      <c r="D9" t="str">
        <v xml:space="preserve"> Nick</v>
      </c>
      <c r="E9" t="str">
        <f t="shared" si="0"/>
        <v>Nick Martinez</v>
      </c>
      <c r="G9">
        <f>VLOOKUP(E9,ADP!$B$1:$N$181,4,FALSE)</f>
        <v>337</v>
      </c>
      <c r="J9" t="s">
        <v>287</v>
      </c>
      <c r="K9">
        <v>0.62830322999999999</v>
      </c>
      <c r="L9">
        <v>337</v>
      </c>
      <c r="M9">
        <f t="shared" si="1"/>
        <v>29</v>
      </c>
    </row>
    <row r="10" spans="1:13" x14ac:dyDescent="0.2">
      <c r="A10" t="s">
        <v>49</v>
      </c>
      <c r="B10">
        <v>0.60481995</v>
      </c>
      <c r="C10" t="str" cm="1">
        <f t="array" ref="C10:D10">_xlfn.TEXTSPLIT(A10,",")</f>
        <v>Greene</v>
      </c>
      <c r="D10" t="str">
        <v xml:space="preserve"> Hunter</v>
      </c>
      <c r="E10" t="str">
        <f t="shared" si="0"/>
        <v>Hunter Greene</v>
      </c>
      <c r="G10">
        <f>VLOOKUP(E10,ADP!$B$1:$N$181,4,FALSE)</f>
        <v>95.8</v>
      </c>
      <c r="J10" t="s">
        <v>961</v>
      </c>
      <c r="K10">
        <v>0.60481995</v>
      </c>
      <c r="L10">
        <v>95.8</v>
      </c>
      <c r="M10">
        <f t="shared" si="1"/>
        <v>8</v>
      </c>
    </row>
    <row r="11" spans="1:13" x14ac:dyDescent="0.2">
      <c r="A11" t="s">
        <v>50</v>
      </c>
      <c r="B11">
        <v>0.57228869999999998</v>
      </c>
      <c r="C11" t="str" cm="1">
        <f t="array" ref="C11:D11">_xlfn.TEXTSPLIT(A11,",")</f>
        <v>Cease</v>
      </c>
      <c r="D11" t="str">
        <v xml:space="preserve"> Dylan</v>
      </c>
      <c r="E11" t="str">
        <f t="shared" si="0"/>
        <v>Dylan Cease</v>
      </c>
      <c r="G11">
        <f>VLOOKUP(E11,ADP!$B$1:$N$181,4,FALSE)</f>
        <v>46.3</v>
      </c>
      <c r="J11" t="s">
        <v>959</v>
      </c>
      <c r="K11">
        <v>0.57228869999999998</v>
      </c>
      <c r="L11">
        <v>46.3</v>
      </c>
      <c r="M11">
        <f t="shared" si="1"/>
        <v>4</v>
      </c>
    </row>
    <row r="12" spans="1:13" x14ac:dyDescent="0.2">
      <c r="A12" t="s">
        <v>51</v>
      </c>
      <c r="B12">
        <v>0.52986069999999996</v>
      </c>
      <c r="C12" t="str" cm="1">
        <f t="array" ref="C12:D12">_xlfn.TEXTSPLIT(A12,",")</f>
        <v>Fried</v>
      </c>
      <c r="D12" t="str">
        <v xml:space="preserve"> Max</v>
      </c>
      <c r="E12" t="str">
        <f t="shared" si="0"/>
        <v>Max Fried</v>
      </c>
      <c r="G12">
        <f>VLOOKUP(E12,ADP!$B$1:$N$181,4,FALSE)</f>
        <v>99.4</v>
      </c>
      <c r="J12" t="s">
        <v>276</v>
      </c>
      <c r="K12">
        <v>0.52986069999999996</v>
      </c>
      <c r="L12">
        <v>99.4</v>
      </c>
      <c r="M12">
        <f t="shared" si="1"/>
        <v>9</v>
      </c>
    </row>
    <row r="13" spans="1:13" x14ac:dyDescent="0.2">
      <c r="A13" t="s">
        <v>52</v>
      </c>
      <c r="B13">
        <v>0.52285117000000003</v>
      </c>
      <c r="C13" t="str" cm="1">
        <f t="array" ref="C13:D13">_xlfn.TEXTSPLIT(A13,",")</f>
        <v>López</v>
      </c>
      <c r="D13" t="str">
        <v xml:space="preserve"> Reynaldo</v>
      </c>
      <c r="E13" t="str">
        <f t="shared" si="0"/>
        <v>Reynaldo López</v>
      </c>
      <c r="G13">
        <f>VLOOKUP(E13,ADP!$B$1:$N$181,4,FALSE)</f>
        <v>165.5</v>
      </c>
      <c r="J13" t="s">
        <v>963</v>
      </c>
      <c r="K13">
        <v>0.52285117000000003</v>
      </c>
      <c r="L13">
        <v>165.5</v>
      </c>
      <c r="M13">
        <f t="shared" si="1"/>
        <v>14</v>
      </c>
    </row>
    <row r="14" spans="1:13" x14ac:dyDescent="0.2">
      <c r="A14" t="s">
        <v>53</v>
      </c>
      <c r="B14">
        <v>0.47025584999999998</v>
      </c>
      <c r="C14" t="str" cm="1">
        <f t="array" ref="C14:D14">_xlfn.TEXTSPLIT(A14,",")</f>
        <v>Jones</v>
      </c>
      <c r="D14" t="str">
        <v xml:space="preserve"> Jared</v>
      </c>
      <c r="E14" t="str">
        <f t="shared" si="0"/>
        <v>Jared Jones</v>
      </c>
      <c r="G14" t="e">
        <f>VLOOKUP(E14,ADP!$B$1:$N$181,4,FALSE)</f>
        <v>#N/A</v>
      </c>
      <c r="J14" t="s">
        <v>278</v>
      </c>
      <c r="K14">
        <v>0.47025584999999998</v>
      </c>
      <c r="L14" t="e">
        <v>#N/A</v>
      </c>
      <c r="M14" t="e">
        <f t="shared" si="1"/>
        <v>#N/A</v>
      </c>
    </row>
    <row r="15" spans="1:13" x14ac:dyDescent="0.2">
      <c r="A15" t="s">
        <v>54</v>
      </c>
      <c r="B15">
        <v>0.44297387999999999</v>
      </c>
      <c r="C15" t="str" cm="1">
        <f t="array" ref="C15:D15">_xlfn.TEXTSPLIT(A15,",")</f>
        <v>Anderson</v>
      </c>
      <c r="D15" t="str">
        <v xml:space="preserve"> Tyler</v>
      </c>
      <c r="E15" t="str">
        <f t="shared" si="0"/>
        <v>Tyler Anderson</v>
      </c>
      <c r="G15" t="e">
        <f>VLOOKUP(E15,ADP!$B$1:$N$181,4,FALSE)</f>
        <v>#N/A</v>
      </c>
      <c r="J15" t="s">
        <v>1042</v>
      </c>
      <c r="K15">
        <v>0.44297387999999999</v>
      </c>
      <c r="L15" t="e">
        <v>#N/A</v>
      </c>
      <c r="M15" t="e">
        <f t="shared" si="1"/>
        <v>#N/A</v>
      </c>
    </row>
    <row r="16" spans="1:13" x14ac:dyDescent="0.2">
      <c r="A16" t="s">
        <v>55</v>
      </c>
      <c r="B16">
        <v>0.42130622000000001</v>
      </c>
      <c r="C16" t="str" cm="1">
        <f t="array" ref="C16:D16">_xlfn.TEXTSPLIT(A16,",")</f>
        <v>Ragans</v>
      </c>
      <c r="D16" t="str">
        <v xml:space="preserve"> Cole</v>
      </c>
      <c r="E16" t="str">
        <f t="shared" si="0"/>
        <v>Cole Ragans</v>
      </c>
      <c r="G16">
        <f>VLOOKUP(E16,ADP!$B$1:$N$181,4,FALSE)</f>
        <v>49.5</v>
      </c>
      <c r="J16" t="s">
        <v>964</v>
      </c>
      <c r="K16">
        <v>0.42130622000000001</v>
      </c>
      <c r="L16">
        <v>49.5</v>
      </c>
      <c r="M16">
        <f t="shared" si="1"/>
        <v>5</v>
      </c>
    </row>
    <row r="17" spans="1:13" x14ac:dyDescent="0.2">
      <c r="A17" t="s">
        <v>56</v>
      </c>
      <c r="B17">
        <v>0.40907442999999999</v>
      </c>
      <c r="C17" t="str" cm="1">
        <f t="array" ref="C17:D17">_xlfn.TEXTSPLIT(A17,",")</f>
        <v>Blanco</v>
      </c>
      <c r="D17" t="str">
        <v xml:space="preserve"> Ronel</v>
      </c>
      <c r="E17" t="str">
        <f t="shared" si="0"/>
        <v>Ronel Blanco</v>
      </c>
      <c r="G17">
        <f>VLOOKUP(E17,ADP!$B$1:$N$181,4,FALSE)</f>
        <v>246.3</v>
      </c>
      <c r="J17" t="s">
        <v>264</v>
      </c>
      <c r="K17">
        <v>0.40907442999999999</v>
      </c>
      <c r="L17">
        <v>246.3</v>
      </c>
      <c r="M17">
        <f t="shared" si="1"/>
        <v>21</v>
      </c>
    </row>
    <row r="18" spans="1:13" x14ac:dyDescent="0.2">
      <c r="A18" t="s">
        <v>57</v>
      </c>
      <c r="B18">
        <v>0.38718066000000001</v>
      </c>
      <c r="C18" t="str" cm="1">
        <f t="array" ref="C18:D18">_xlfn.TEXTSPLIT(A18,",")</f>
        <v>Gray</v>
      </c>
      <c r="D18" t="str">
        <v xml:space="preserve"> Sonny</v>
      </c>
      <c r="E18" t="str">
        <f t="shared" si="0"/>
        <v>Sonny Gray</v>
      </c>
      <c r="G18">
        <f>VLOOKUP(E18,ADP!$B$1:$N$181,4,FALSE)</f>
        <v>109.9</v>
      </c>
      <c r="J18" t="s">
        <v>254</v>
      </c>
      <c r="K18">
        <v>0.38718066000000001</v>
      </c>
      <c r="L18">
        <v>109.9</v>
      </c>
      <c r="M18">
        <f t="shared" si="1"/>
        <v>10</v>
      </c>
    </row>
    <row r="19" spans="1:13" x14ac:dyDescent="0.2">
      <c r="A19" t="s">
        <v>58</v>
      </c>
      <c r="B19">
        <v>0.37231350000000002</v>
      </c>
      <c r="C19" t="str" cm="1">
        <f t="array" ref="C19:D19">_xlfn.TEXTSPLIT(A19,",")</f>
        <v>Eovaldi</v>
      </c>
      <c r="D19" t="str">
        <v xml:space="preserve"> Nathan</v>
      </c>
      <c r="E19" t="str">
        <f t="shared" si="0"/>
        <v>Nathan Eovaldi</v>
      </c>
      <c r="G19">
        <f>VLOOKUP(E19,ADP!$B$1:$N$181,4,FALSE)</f>
        <v>200.4</v>
      </c>
      <c r="J19" t="s">
        <v>282</v>
      </c>
      <c r="K19">
        <v>0.37231350000000002</v>
      </c>
      <c r="L19">
        <v>200.4</v>
      </c>
      <c r="M19">
        <f t="shared" si="1"/>
        <v>17</v>
      </c>
    </row>
    <row r="20" spans="1:13" x14ac:dyDescent="0.2">
      <c r="A20" t="s">
        <v>59</v>
      </c>
      <c r="B20">
        <v>0.34113149999999998</v>
      </c>
      <c r="C20" t="str" cm="1">
        <f t="array" ref="C20:D20">_xlfn.TEXTSPLIT(A20,",")</f>
        <v>Burnes</v>
      </c>
      <c r="D20" t="str">
        <v xml:space="preserve"> Corbin</v>
      </c>
      <c r="E20" t="str">
        <f t="shared" si="0"/>
        <v>Corbin Burnes</v>
      </c>
      <c r="G20">
        <f>VLOOKUP(E20,ADP!$B$1:$N$181,4,FALSE)</f>
        <v>38.9</v>
      </c>
      <c r="J20" t="s">
        <v>958</v>
      </c>
      <c r="K20">
        <v>0.34113149999999998</v>
      </c>
      <c r="L20">
        <v>38.9</v>
      </c>
      <c r="M20">
        <f t="shared" si="1"/>
        <v>4</v>
      </c>
    </row>
    <row r="21" spans="1:13" x14ac:dyDescent="0.2">
      <c r="A21" t="s">
        <v>60</v>
      </c>
      <c r="B21">
        <v>0.33580303</v>
      </c>
      <c r="C21" t="str" cm="1">
        <f t="array" ref="C21:D21">_xlfn.TEXTSPLIT(A21,",")</f>
        <v>Brown</v>
      </c>
      <c r="D21" t="str">
        <v xml:space="preserve"> Hunter</v>
      </c>
      <c r="E21" t="str">
        <f t="shared" si="0"/>
        <v>Hunter Brown</v>
      </c>
      <c r="G21">
        <f>VLOOKUP(E21,ADP!$B$1:$N$181,4,FALSE)</f>
        <v>98</v>
      </c>
      <c r="J21" t="s">
        <v>997</v>
      </c>
      <c r="K21">
        <v>0.33580303</v>
      </c>
      <c r="L21">
        <v>98</v>
      </c>
      <c r="M21">
        <f t="shared" si="1"/>
        <v>9</v>
      </c>
    </row>
    <row r="22" spans="1:13" x14ac:dyDescent="0.2">
      <c r="A22" t="s">
        <v>61</v>
      </c>
      <c r="B22">
        <v>0.30962187000000002</v>
      </c>
      <c r="C22" t="str" cm="1">
        <f t="array" ref="C22:D22">_xlfn.TEXTSPLIT(A22,",")</f>
        <v>Valdez</v>
      </c>
      <c r="D22" t="str">
        <v xml:space="preserve"> Framber</v>
      </c>
      <c r="E22" t="str">
        <f t="shared" si="0"/>
        <v>Framber Valdez</v>
      </c>
      <c r="G22">
        <f>VLOOKUP(E22,ADP!$B$1:$N$181,4,FALSE)</f>
        <v>61.3</v>
      </c>
      <c r="J22" t="s">
        <v>271</v>
      </c>
      <c r="K22">
        <v>0.30962187000000002</v>
      </c>
      <c r="L22">
        <v>61.3</v>
      </c>
      <c r="M22">
        <f t="shared" si="1"/>
        <v>6</v>
      </c>
    </row>
    <row r="23" spans="1:13" x14ac:dyDescent="0.2">
      <c r="A23" t="s">
        <v>62</v>
      </c>
      <c r="B23">
        <v>0.30158094000000002</v>
      </c>
      <c r="C23" t="str" cm="1">
        <f t="array" ref="C23:D23">_xlfn.TEXTSPLIT(A23,",")</f>
        <v>Bradley</v>
      </c>
      <c r="D23" t="str">
        <v xml:space="preserve"> Taj</v>
      </c>
      <c r="E23" t="str">
        <f t="shared" si="0"/>
        <v>Taj Bradley</v>
      </c>
      <c r="G23" t="e">
        <f>VLOOKUP(E23,ADP!$B$1:$N$181,4,FALSE)</f>
        <v>#N/A</v>
      </c>
      <c r="J23" t="s">
        <v>283</v>
      </c>
      <c r="K23">
        <v>0.30158094000000002</v>
      </c>
      <c r="L23" t="e">
        <v>#N/A</v>
      </c>
      <c r="M23" t="e">
        <f t="shared" si="1"/>
        <v>#N/A</v>
      </c>
    </row>
    <row r="24" spans="1:13" x14ac:dyDescent="0.2">
      <c r="A24" t="s">
        <v>63</v>
      </c>
      <c r="B24">
        <v>0.28649574999999999</v>
      </c>
      <c r="C24" t="str" cm="1">
        <f t="array" ref="C24:D24">_xlfn.TEXTSPLIT(A24,",")</f>
        <v>Wheeler</v>
      </c>
      <c r="D24" t="str">
        <v xml:space="preserve"> Zack</v>
      </c>
      <c r="E24" t="str">
        <f t="shared" si="0"/>
        <v>Zack Wheeler</v>
      </c>
      <c r="G24">
        <f>VLOOKUP(E24,ADP!$B$1:$N$181,4,FALSE)</f>
        <v>21.1</v>
      </c>
      <c r="J24" t="s">
        <v>950</v>
      </c>
      <c r="K24">
        <v>0.28649574999999999</v>
      </c>
      <c r="L24">
        <v>21.1</v>
      </c>
      <c r="M24">
        <f t="shared" si="1"/>
        <v>2</v>
      </c>
    </row>
    <row r="25" spans="1:13" x14ac:dyDescent="0.2">
      <c r="A25" t="s">
        <v>64</v>
      </c>
      <c r="B25">
        <v>0.28205168000000003</v>
      </c>
      <c r="C25" t="str" cm="1">
        <f t="array" ref="C25:D25">_xlfn.TEXTSPLIT(A25,",")</f>
        <v>Pfaadt</v>
      </c>
      <c r="D25" t="str">
        <v xml:space="preserve"> Brandon</v>
      </c>
      <c r="E25" t="str">
        <f t="shared" si="0"/>
        <v>Brandon Pfaadt</v>
      </c>
      <c r="G25" t="e">
        <f>VLOOKUP(E25,ADP!$B$1:$N$181,4,FALSE)</f>
        <v>#N/A</v>
      </c>
      <c r="J25" t="s">
        <v>1061</v>
      </c>
      <c r="K25">
        <v>0.28205168000000003</v>
      </c>
      <c r="L25" t="e">
        <v>#N/A</v>
      </c>
      <c r="M25" t="e">
        <f t="shared" si="1"/>
        <v>#N/A</v>
      </c>
    </row>
    <row r="26" spans="1:13" x14ac:dyDescent="0.2">
      <c r="A26" t="s">
        <v>65</v>
      </c>
      <c r="B26">
        <v>0.27405341999999999</v>
      </c>
      <c r="C26" t="str" cm="1">
        <f t="array" ref="C26:D26">_xlfn.TEXTSPLIT(A26,",")</f>
        <v>Stone</v>
      </c>
      <c r="D26" t="str">
        <v xml:space="preserve"> Gavin</v>
      </c>
      <c r="E26" t="str">
        <f t="shared" si="0"/>
        <v>Gavin Stone</v>
      </c>
      <c r="G26" t="e">
        <f>VLOOKUP(E26,ADP!$B$1:$N$181,4,FALSE)</f>
        <v>#N/A</v>
      </c>
      <c r="J26" t="s">
        <v>1008</v>
      </c>
      <c r="K26">
        <v>0.27405341999999999</v>
      </c>
      <c r="L26" t="e">
        <v>#N/A</v>
      </c>
      <c r="M26" t="e">
        <f t="shared" si="1"/>
        <v>#N/A</v>
      </c>
    </row>
    <row r="27" spans="1:13" x14ac:dyDescent="0.2">
      <c r="A27" t="s">
        <v>66</v>
      </c>
      <c r="B27">
        <v>0.2700745</v>
      </c>
      <c r="C27" t="str" cm="1">
        <f t="array" ref="C27:D27">_xlfn.TEXTSPLIT(A27,",")</f>
        <v>Ryan</v>
      </c>
      <c r="D27" t="str">
        <v xml:space="preserve"> Joe</v>
      </c>
      <c r="E27" t="str">
        <f t="shared" si="0"/>
        <v>Joe Ryan</v>
      </c>
      <c r="G27">
        <f>VLOOKUP(E27,ADP!$B$1:$N$181,4,FALSE)</f>
        <v>92.2</v>
      </c>
      <c r="J27" t="s">
        <v>979</v>
      </c>
      <c r="K27">
        <v>0.2700745</v>
      </c>
      <c r="L27">
        <v>92.2</v>
      </c>
      <c r="M27">
        <f t="shared" si="1"/>
        <v>8</v>
      </c>
    </row>
    <row r="28" spans="1:13" x14ac:dyDescent="0.2">
      <c r="A28" t="s">
        <v>67</v>
      </c>
      <c r="B28">
        <v>0.25958872</v>
      </c>
      <c r="C28" t="str" cm="1">
        <f t="array" ref="C28:D28">_xlfn.TEXTSPLIT(A28,",")</f>
        <v>Montgomery</v>
      </c>
      <c r="D28" t="str">
        <v xml:space="preserve"> Jordan</v>
      </c>
      <c r="E28" t="str">
        <f t="shared" si="0"/>
        <v>Jordan Montgomery</v>
      </c>
      <c r="G28" t="e">
        <f>VLOOKUP(E28,ADP!$B$1:$N$181,4,FALSE)</f>
        <v>#N/A</v>
      </c>
      <c r="J28" t="s">
        <v>1351</v>
      </c>
      <c r="K28">
        <v>0.25958872</v>
      </c>
      <c r="L28" t="e">
        <v>#N/A</v>
      </c>
      <c r="M28" t="e">
        <f t="shared" si="1"/>
        <v>#N/A</v>
      </c>
    </row>
    <row r="29" spans="1:13" x14ac:dyDescent="0.2">
      <c r="A29" t="s">
        <v>68</v>
      </c>
      <c r="B29">
        <v>0.25265900000000002</v>
      </c>
      <c r="C29" t="str" cm="1">
        <f t="array" ref="C29:D29">_xlfn.TEXTSPLIT(A29,",")</f>
        <v>Imanaga</v>
      </c>
      <c r="D29" t="str">
        <v xml:space="preserve"> Shota</v>
      </c>
      <c r="E29" t="str">
        <f t="shared" si="0"/>
        <v>Shota Imanaga</v>
      </c>
      <c r="G29">
        <f>VLOOKUP(E29,ADP!$B$1:$N$181,4,FALSE)</f>
        <v>77.3</v>
      </c>
      <c r="J29" t="s">
        <v>954</v>
      </c>
      <c r="K29">
        <v>0.25265900000000002</v>
      </c>
      <c r="L29">
        <v>77.3</v>
      </c>
      <c r="M29">
        <f t="shared" si="1"/>
        <v>7</v>
      </c>
    </row>
    <row r="30" spans="1:13" x14ac:dyDescent="0.2">
      <c r="A30" t="s">
        <v>69</v>
      </c>
      <c r="B30">
        <v>0.22768252</v>
      </c>
      <c r="C30" t="str" cm="1">
        <f t="array" ref="C30:D30">_xlfn.TEXTSPLIT(A30,",")</f>
        <v>Castillo</v>
      </c>
      <c r="D30" t="str">
        <v xml:space="preserve"> Luis</v>
      </c>
      <c r="E30" t="str">
        <f t="shared" si="0"/>
        <v>Luis Castillo</v>
      </c>
      <c r="G30">
        <f>VLOOKUP(E30,ADP!$B$1:$N$181,4,FALSE)</f>
        <v>95.3</v>
      </c>
      <c r="J30" t="s">
        <v>985</v>
      </c>
      <c r="K30">
        <v>0.22768252</v>
      </c>
      <c r="L30">
        <v>95.3</v>
      </c>
      <c r="M30">
        <f t="shared" si="1"/>
        <v>8</v>
      </c>
    </row>
    <row r="31" spans="1:13" x14ac:dyDescent="0.2">
      <c r="A31" t="s">
        <v>70</v>
      </c>
      <c r="B31">
        <v>0.22512557999999999</v>
      </c>
      <c r="C31" t="str" cm="1">
        <f t="array" ref="C31:D31">_xlfn.TEXTSPLIT(A31,",")</f>
        <v>Pepiot</v>
      </c>
      <c r="D31" t="str">
        <v xml:space="preserve"> Ryan</v>
      </c>
      <c r="E31" t="str">
        <f t="shared" si="0"/>
        <v>Ryan Pepiot</v>
      </c>
      <c r="G31">
        <f>VLOOKUP(E31,ADP!$B$1:$N$181,4,FALSE)</f>
        <v>166.3</v>
      </c>
      <c r="J31" t="s">
        <v>259</v>
      </c>
      <c r="K31">
        <v>0.22512557999999999</v>
      </c>
      <c r="L31">
        <v>166.3</v>
      </c>
      <c r="M31">
        <f t="shared" si="1"/>
        <v>14</v>
      </c>
    </row>
    <row r="32" spans="1:13" x14ac:dyDescent="0.2">
      <c r="A32" t="s">
        <v>71</v>
      </c>
      <c r="B32">
        <v>0.22314149</v>
      </c>
      <c r="C32" t="str" cm="1">
        <f t="array" ref="C32:D32">_xlfn.TEXTSPLIT(A32,",")</f>
        <v>Rodón</v>
      </c>
      <c r="D32" t="str">
        <v xml:space="preserve"> Carlos</v>
      </c>
      <c r="E32" t="str">
        <f t="shared" si="0"/>
        <v>Carlos Rodón</v>
      </c>
      <c r="G32">
        <f>VLOOKUP(E32,ADP!$B$1:$N$181,4,FALSE)</f>
        <v>129.19999999999999</v>
      </c>
      <c r="J32" t="s">
        <v>976</v>
      </c>
      <c r="K32">
        <v>0.22314149</v>
      </c>
      <c r="L32">
        <v>129.19999999999999</v>
      </c>
      <c r="M32">
        <f t="shared" si="1"/>
        <v>11</v>
      </c>
    </row>
    <row r="33" spans="1:13" x14ac:dyDescent="0.2">
      <c r="A33" t="s">
        <v>72</v>
      </c>
      <c r="B33">
        <v>0.21444150000000001</v>
      </c>
      <c r="C33" t="str" cm="1">
        <f t="array" ref="C33:D33">_xlfn.TEXTSPLIT(A33,",")</f>
        <v>Glasnow</v>
      </c>
      <c r="D33" t="str">
        <v xml:space="preserve"> Tyler</v>
      </c>
      <c r="E33" t="str">
        <f t="shared" si="0"/>
        <v>Tyler Glasnow</v>
      </c>
      <c r="G33">
        <f>VLOOKUP(E33,ADP!$B$1:$N$181,4,FALSE)</f>
        <v>98.4</v>
      </c>
      <c r="J33" t="s">
        <v>252</v>
      </c>
      <c r="K33">
        <v>0.21444150000000001</v>
      </c>
      <c r="L33">
        <v>98.4</v>
      </c>
      <c r="M33">
        <f t="shared" si="1"/>
        <v>9</v>
      </c>
    </row>
    <row r="34" spans="1:13" x14ac:dyDescent="0.2">
      <c r="A34" t="s">
        <v>73</v>
      </c>
      <c r="B34">
        <v>0.21010176999999999</v>
      </c>
      <c r="C34" t="str" cm="1">
        <f t="array" ref="C34:D34">_xlfn.TEXTSPLIT(A34,",")</f>
        <v>Sale</v>
      </c>
      <c r="D34" t="str">
        <v xml:space="preserve"> Chris</v>
      </c>
      <c r="E34" t="str">
        <f t="shared" si="0"/>
        <v>Chris Sale</v>
      </c>
      <c r="G34">
        <f>VLOOKUP(E34,ADP!$B$1:$N$181,4,FALSE)</f>
        <v>37.299999999999997</v>
      </c>
      <c r="J34" t="s">
        <v>951</v>
      </c>
      <c r="K34">
        <v>0.21010176999999999</v>
      </c>
      <c r="L34">
        <v>37.299999999999997</v>
      </c>
      <c r="M34">
        <f t="shared" si="1"/>
        <v>4</v>
      </c>
    </row>
    <row r="35" spans="1:13" x14ac:dyDescent="0.2">
      <c r="A35" t="s">
        <v>74</v>
      </c>
      <c r="B35">
        <v>0.20669362999999999</v>
      </c>
      <c r="C35" t="str" cm="1">
        <f t="array" ref="C35:D35">_xlfn.TEXTSPLIT(A35,",")</f>
        <v>Suárez</v>
      </c>
      <c r="D35" t="str">
        <v xml:space="preserve"> Ranger</v>
      </c>
      <c r="E35" t="str">
        <f t="shared" si="0"/>
        <v>Ranger Suárez</v>
      </c>
      <c r="G35">
        <f>VLOOKUP(E35,ADP!$B$1:$N$181,4,FALSE)</f>
        <v>263.3</v>
      </c>
      <c r="J35" t="s">
        <v>988</v>
      </c>
      <c r="K35">
        <v>0.20669362999999999</v>
      </c>
      <c r="L35">
        <v>263.3</v>
      </c>
      <c r="M35">
        <f t="shared" si="1"/>
        <v>22</v>
      </c>
    </row>
    <row r="36" spans="1:13" x14ac:dyDescent="0.2">
      <c r="A36" t="s">
        <v>75</v>
      </c>
      <c r="B36">
        <v>0.19448388</v>
      </c>
      <c r="C36" t="str" cm="1">
        <f t="array" ref="C36:D36">_xlfn.TEXTSPLIT(A36,",")</f>
        <v>Wacha</v>
      </c>
      <c r="D36" t="str">
        <v xml:space="preserve"> Michael</v>
      </c>
      <c r="E36" t="str">
        <f t="shared" si="0"/>
        <v>Michael Wacha</v>
      </c>
      <c r="G36">
        <f>VLOOKUP(E36,ADP!$B$1:$N$181,4,FALSE)</f>
        <v>279.7</v>
      </c>
      <c r="J36" t="s">
        <v>980</v>
      </c>
      <c r="K36">
        <v>0.19448388</v>
      </c>
      <c r="L36">
        <v>279.7</v>
      </c>
      <c r="M36">
        <f t="shared" si="1"/>
        <v>24</v>
      </c>
    </row>
    <row r="37" spans="1:13" x14ac:dyDescent="0.2">
      <c r="A37" t="s">
        <v>76</v>
      </c>
      <c r="B37">
        <v>0.19081157000000001</v>
      </c>
      <c r="C37" t="str" cm="1">
        <f t="array" ref="C37:D37">_xlfn.TEXTSPLIT(A37,",")</f>
        <v>Kikuchi</v>
      </c>
      <c r="D37" t="str">
        <v xml:space="preserve"> Yusei</v>
      </c>
      <c r="E37" t="str">
        <f t="shared" si="0"/>
        <v>Yusei Kikuchi</v>
      </c>
      <c r="G37" t="e">
        <f>VLOOKUP(E37,ADP!$B$1:$N$181,4,FALSE)</f>
        <v>#N/A</v>
      </c>
      <c r="J37" t="s">
        <v>260</v>
      </c>
      <c r="K37">
        <v>0.19081157000000001</v>
      </c>
      <c r="L37" t="e">
        <v>#N/A</v>
      </c>
      <c r="M37" t="e">
        <f t="shared" si="1"/>
        <v>#N/A</v>
      </c>
    </row>
    <row r="38" spans="1:13" x14ac:dyDescent="0.2">
      <c r="A38" t="s">
        <v>77</v>
      </c>
      <c r="B38">
        <v>0.17540014000000001</v>
      </c>
      <c r="C38" t="str" cm="1">
        <f t="array" ref="C38:D38">_xlfn.TEXTSPLIT(A38,",")</f>
        <v>Bibee</v>
      </c>
      <c r="D38" t="str">
        <v xml:space="preserve"> Tanner</v>
      </c>
      <c r="E38" t="str">
        <f t="shared" si="0"/>
        <v>Tanner Bibee</v>
      </c>
      <c r="G38">
        <f>VLOOKUP(E38,ADP!$B$1:$N$181,4,FALSE)</f>
        <v>88.7</v>
      </c>
      <c r="J38" t="s">
        <v>970</v>
      </c>
      <c r="K38">
        <v>0.17540014000000001</v>
      </c>
      <c r="L38">
        <v>88.7</v>
      </c>
      <c r="M38">
        <f t="shared" si="1"/>
        <v>8</v>
      </c>
    </row>
    <row r="39" spans="1:13" x14ac:dyDescent="0.2">
      <c r="A39" t="s">
        <v>78</v>
      </c>
      <c r="B39">
        <v>0.16272049</v>
      </c>
      <c r="C39" t="str" cm="1">
        <f t="array" ref="C39:D39">_xlfn.TEXTSPLIT(A39,",")</f>
        <v>Gore</v>
      </c>
      <c r="D39" t="str">
        <v xml:space="preserve"> MacKenzie</v>
      </c>
      <c r="E39" t="str">
        <f t="shared" si="0"/>
        <v>MacKenzie Gore</v>
      </c>
      <c r="G39" t="e">
        <f>VLOOKUP(E39,ADP!$B$1:$N$181,4,FALSE)</f>
        <v>#N/A</v>
      </c>
      <c r="J39" t="s">
        <v>286</v>
      </c>
      <c r="K39">
        <v>0.16272049</v>
      </c>
      <c r="L39" t="e">
        <v>#N/A</v>
      </c>
      <c r="M39" t="e">
        <f t="shared" si="1"/>
        <v>#N/A</v>
      </c>
    </row>
    <row r="40" spans="1:13" x14ac:dyDescent="0.2">
      <c r="A40" t="s">
        <v>79</v>
      </c>
      <c r="B40">
        <v>0.15414311</v>
      </c>
      <c r="C40" t="str" cm="1">
        <f t="array" ref="C40:D40">_xlfn.TEXTSPLIT(A40,",")</f>
        <v>Bello</v>
      </c>
      <c r="D40" t="str">
        <v xml:space="preserve"> Brayan</v>
      </c>
      <c r="E40" t="str">
        <f t="shared" si="0"/>
        <v>Brayan Bello</v>
      </c>
      <c r="G40" t="e">
        <f>VLOOKUP(E40,ADP!$B$1:$N$181,4,FALSE)</f>
        <v>#N/A</v>
      </c>
      <c r="J40" t="s">
        <v>1065</v>
      </c>
      <c r="K40">
        <v>0.15414311</v>
      </c>
      <c r="L40" t="e">
        <v>#N/A</v>
      </c>
      <c r="M40" t="e">
        <f t="shared" si="1"/>
        <v>#N/A</v>
      </c>
    </row>
    <row r="41" spans="1:13" x14ac:dyDescent="0.2">
      <c r="A41" t="s">
        <v>80</v>
      </c>
      <c r="B41">
        <v>0.15399467999999999</v>
      </c>
      <c r="C41" t="str" cm="1">
        <f t="array" ref="C41:D41">_xlfn.TEXTSPLIT(A41,",")</f>
        <v>Peralta</v>
      </c>
      <c r="D41" t="str">
        <v xml:space="preserve"> Freddy</v>
      </c>
      <c r="E41" t="str">
        <f t="shared" si="0"/>
        <v>Freddy Peralta</v>
      </c>
      <c r="G41">
        <f>VLOOKUP(E41,ADP!$B$1:$N$181,4,FALSE)</f>
        <v>98.4</v>
      </c>
      <c r="J41" t="s">
        <v>989</v>
      </c>
      <c r="K41">
        <v>0.15399467999999999</v>
      </c>
      <c r="L41">
        <v>98.4</v>
      </c>
      <c r="M41">
        <f t="shared" si="1"/>
        <v>9</v>
      </c>
    </row>
    <row r="42" spans="1:13" x14ac:dyDescent="0.2">
      <c r="A42" t="s">
        <v>81</v>
      </c>
      <c r="B42">
        <v>0.14698154999999999</v>
      </c>
      <c r="C42" t="str" cm="1">
        <f t="array" ref="C42:D42">_xlfn.TEXTSPLIT(A42,",")</f>
        <v>Gibson</v>
      </c>
      <c r="D42" t="str">
        <v xml:space="preserve"> Kyle</v>
      </c>
      <c r="E42" t="str">
        <f t="shared" si="0"/>
        <v>Kyle Gibson</v>
      </c>
      <c r="G42" t="e">
        <f>VLOOKUP(E42,ADP!$B$1:$N$181,4,FALSE)</f>
        <v>#N/A</v>
      </c>
      <c r="J42" t="s">
        <v>1120</v>
      </c>
      <c r="K42">
        <v>0.14698154999999999</v>
      </c>
      <c r="L42" t="e">
        <v>#N/A</v>
      </c>
      <c r="M42" t="e">
        <f t="shared" si="1"/>
        <v>#N/A</v>
      </c>
    </row>
    <row r="43" spans="1:13" x14ac:dyDescent="0.2">
      <c r="A43" t="s">
        <v>82</v>
      </c>
      <c r="B43">
        <v>0.14428885</v>
      </c>
      <c r="C43" t="str" cm="1">
        <f t="array" ref="C43:D43">_xlfn.TEXTSPLIT(A43,",")</f>
        <v>Suárez</v>
      </c>
      <c r="D43" t="str">
        <v xml:space="preserve"> Albert</v>
      </c>
      <c r="E43" t="str">
        <f t="shared" si="0"/>
        <v>Albert Suárez</v>
      </c>
      <c r="G43" t="e">
        <f>VLOOKUP(E43,ADP!$B$1:$N$181,4,FALSE)</f>
        <v>#N/A</v>
      </c>
      <c r="J43" t="s">
        <v>1041</v>
      </c>
      <c r="K43">
        <v>0.14428885</v>
      </c>
      <c r="L43" t="e">
        <v>#N/A</v>
      </c>
      <c r="M43" t="e">
        <f t="shared" si="1"/>
        <v>#N/A</v>
      </c>
    </row>
    <row r="44" spans="1:13" x14ac:dyDescent="0.2">
      <c r="A44" t="s">
        <v>83</v>
      </c>
      <c r="B44">
        <v>0.13740563</v>
      </c>
      <c r="C44" t="str" cm="1">
        <f t="array" ref="C44:D44">_xlfn.TEXTSPLIT(A44,",")</f>
        <v>Morton</v>
      </c>
      <c r="D44" t="str">
        <v xml:space="preserve"> Charlie</v>
      </c>
      <c r="E44" t="str">
        <f t="shared" si="0"/>
        <v>Charlie Morton</v>
      </c>
      <c r="G44" t="e">
        <f>VLOOKUP(E44,ADP!$B$1:$N$181,4,FALSE)</f>
        <v>#N/A</v>
      </c>
      <c r="J44" t="s">
        <v>1087</v>
      </c>
      <c r="K44">
        <v>0.13740563</v>
      </c>
      <c r="L44" t="e">
        <v>#N/A</v>
      </c>
      <c r="M44" t="e">
        <f t="shared" si="1"/>
        <v>#N/A</v>
      </c>
    </row>
    <row r="45" spans="1:13" x14ac:dyDescent="0.2">
      <c r="A45" t="s">
        <v>84</v>
      </c>
      <c r="B45">
        <v>0.12240210999999999</v>
      </c>
      <c r="C45" t="str" cm="1">
        <f t="array" ref="C45:D45">_xlfn.TEXTSPLIT(A45,",")</f>
        <v>López</v>
      </c>
      <c r="D45" t="str">
        <v xml:space="preserve"> Pablo</v>
      </c>
      <c r="E45" t="str">
        <f t="shared" si="0"/>
        <v>Pablo López</v>
      </c>
      <c r="G45">
        <f>VLOOKUP(E45,ADP!$B$1:$N$181,4,FALSE)</f>
        <v>66.8</v>
      </c>
      <c r="J45" t="s">
        <v>983</v>
      </c>
      <c r="K45">
        <v>0.12240210999999999</v>
      </c>
      <c r="L45">
        <v>66.8</v>
      </c>
      <c r="M45">
        <f t="shared" si="1"/>
        <v>6</v>
      </c>
    </row>
    <row r="46" spans="1:13" x14ac:dyDescent="0.2">
      <c r="A46" t="s">
        <v>85</v>
      </c>
      <c r="B46">
        <v>0.10947340999999999</v>
      </c>
      <c r="C46" t="str" cm="1">
        <f t="array" ref="C46:D46">_xlfn.TEXTSPLIT(A46,",")</f>
        <v>Flaherty</v>
      </c>
      <c r="D46" t="str">
        <v xml:space="preserve"> Jack</v>
      </c>
      <c r="E46" t="str">
        <f t="shared" si="0"/>
        <v>Jack Flaherty</v>
      </c>
      <c r="G46">
        <f>VLOOKUP(E46,ADP!$B$1:$N$181,4,FALSE)</f>
        <v>136.80000000000001</v>
      </c>
      <c r="J46" t="s">
        <v>960</v>
      </c>
      <c r="K46">
        <v>0.10947340999999999</v>
      </c>
      <c r="L46">
        <v>136.80000000000001</v>
      </c>
      <c r="M46">
        <f t="shared" si="1"/>
        <v>12</v>
      </c>
    </row>
    <row r="47" spans="1:13" x14ac:dyDescent="0.2">
      <c r="A47" t="s">
        <v>86</v>
      </c>
      <c r="B47">
        <v>0.10356321</v>
      </c>
      <c r="C47" t="str" cm="1">
        <f t="array" ref="C47:D47">_xlfn.TEXTSPLIT(A47,",")</f>
        <v>Crawford</v>
      </c>
      <c r="D47" t="str">
        <v xml:space="preserve"> Kutter</v>
      </c>
      <c r="E47" t="str">
        <f t="shared" si="0"/>
        <v>Kutter Crawford</v>
      </c>
      <c r="G47" t="e">
        <f>VLOOKUP(E47,ADP!$B$1:$N$181,4,FALSE)</f>
        <v>#N/A</v>
      </c>
      <c r="J47" t="s">
        <v>1024</v>
      </c>
      <c r="K47">
        <v>0.10356321</v>
      </c>
      <c r="L47" t="e">
        <v>#N/A</v>
      </c>
      <c r="M47" t="e">
        <f t="shared" si="1"/>
        <v>#N/A</v>
      </c>
    </row>
    <row r="48" spans="1:13" x14ac:dyDescent="0.2">
      <c r="A48" t="s">
        <v>1363</v>
      </c>
      <c r="B48">
        <v>0.91593469999999999</v>
      </c>
      <c r="C48" t="str" cm="1">
        <f t="array" ref="C48:D48">_xlfn.TEXTSPLIT(A48,",")</f>
        <v>Garrett</v>
      </c>
      <c r="D48" t="str">
        <v xml:space="preserve"> Reed</v>
      </c>
      <c r="E48" t="str">
        <f t="shared" ref="E48:E85" si="2">REPLACE(_xlfn.CONCAT(D48," ",C48), 1, 1,"")</f>
        <v>Reed Garrett</v>
      </c>
      <c r="G48" t="e">
        <f>VLOOKUP(E48,ADP!$B$1:$N$181,4,FALSE)</f>
        <v>#N/A</v>
      </c>
      <c r="J48" t="s">
        <v>293</v>
      </c>
      <c r="K48">
        <v>0.91593469999999999</v>
      </c>
      <c r="L48" t="e">
        <v>#N/A</v>
      </c>
      <c r="M48" t="e">
        <f t="shared" si="1"/>
        <v>#N/A</v>
      </c>
    </row>
    <row r="49" spans="1:13" x14ac:dyDescent="0.2">
      <c r="A49" t="s">
        <v>1364</v>
      </c>
      <c r="B49">
        <v>0.89849199999999996</v>
      </c>
      <c r="C49" t="str" cm="1">
        <f t="array" ref="C49:D49">_xlfn.TEXTSPLIT(A49,",")</f>
        <v>NÃºÃ±ez</v>
      </c>
      <c r="D49" t="str">
        <v xml:space="preserve"> Dedniel</v>
      </c>
      <c r="E49" t="str">
        <f t="shared" si="2"/>
        <v>Dedniel NÃºÃ±ez</v>
      </c>
      <c r="G49" t="e">
        <f>VLOOKUP(E49,ADP!$B$1:$N$181,4,FALSE)</f>
        <v>#N/A</v>
      </c>
      <c r="J49" t="s">
        <v>1399</v>
      </c>
      <c r="K49">
        <v>0.89849199999999996</v>
      </c>
      <c r="L49" t="e">
        <v>#N/A</v>
      </c>
      <c r="M49" t="e">
        <f t="shared" si="1"/>
        <v>#N/A</v>
      </c>
    </row>
    <row r="50" spans="1:13" x14ac:dyDescent="0.2">
      <c r="A50" t="s">
        <v>1365</v>
      </c>
      <c r="B50">
        <v>0.89844780000000002</v>
      </c>
      <c r="C50" t="str" cm="1">
        <f t="array" ref="C50:D50">_xlfn.TEXTSPLIT(A50,",")</f>
        <v>Cousins</v>
      </c>
      <c r="D50" t="str">
        <v xml:space="preserve"> Jake</v>
      </c>
      <c r="E50" t="str">
        <f t="shared" si="2"/>
        <v>Jake Cousins</v>
      </c>
      <c r="G50" t="e">
        <f>VLOOKUP(E50,ADP!$B$1:$N$181,4,FALSE)</f>
        <v>#N/A</v>
      </c>
      <c r="J50" t="s">
        <v>1144</v>
      </c>
      <c r="K50">
        <v>0.89844780000000002</v>
      </c>
      <c r="L50" t="e">
        <v>#N/A</v>
      </c>
      <c r="M50" t="e">
        <f t="shared" si="1"/>
        <v>#N/A</v>
      </c>
    </row>
    <row r="51" spans="1:13" x14ac:dyDescent="0.2">
      <c r="A51" t="s">
        <v>1366</v>
      </c>
      <c r="B51">
        <v>0.89481204999999997</v>
      </c>
      <c r="C51" t="str" cm="1">
        <f t="array" ref="C51:D51">_xlfn.TEXTSPLIT(A51,",")</f>
        <v>Kahnle</v>
      </c>
      <c r="D51" t="str">
        <v xml:space="preserve"> Tommy</v>
      </c>
      <c r="E51" t="str">
        <f t="shared" si="2"/>
        <v>Tommy Kahnle</v>
      </c>
      <c r="G51" t="e">
        <f>VLOOKUP(E51,ADP!$B$1:$N$181,4,FALSE)</f>
        <v>#N/A</v>
      </c>
      <c r="J51" t="s">
        <v>1207</v>
      </c>
      <c r="K51">
        <v>0.89481204999999997</v>
      </c>
      <c r="L51" t="e">
        <v>#N/A</v>
      </c>
      <c r="M51" t="e">
        <f t="shared" si="1"/>
        <v>#N/A</v>
      </c>
    </row>
    <row r="52" spans="1:13" x14ac:dyDescent="0.2">
      <c r="A52" t="s">
        <v>1367</v>
      </c>
      <c r="B52">
        <v>0.88249339999999998</v>
      </c>
      <c r="C52" t="str" cm="1">
        <f t="array" ref="C52:D52">_xlfn.TEXTSPLIT(A52,",")</f>
        <v>Jax</v>
      </c>
      <c r="D52" t="str">
        <v xml:space="preserve"> Griffin</v>
      </c>
      <c r="E52" t="str">
        <f t="shared" si="2"/>
        <v>Griffin Jax</v>
      </c>
      <c r="G52">
        <f>VLOOKUP(E52,ADP!$B$1:$N$181,4,FALSE)</f>
        <v>295.60000000000002</v>
      </c>
      <c r="J52" t="s">
        <v>289</v>
      </c>
      <c r="K52">
        <v>0.88249339999999998</v>
      </c>
      <c r="L52">
        <v>295.60000000000002</v>
      </c>
      <c r="M52">
        <f t="shared" si="1"/>
        <v>25</v>
      </c>
    </row>
    <row r="53" spans="1:13" x14ac:dyDescent="0.2">
      <c r="A53" t="s">
        <v>1368</v>
      </c>
      <c r="B53">
        <v>0.88222929999999999</v>
      </c>
      <c r="C53" t="str" cm="1">
        <f t="array" ref="C53:D53">_xlfn.TEXTSPLIT(A53,",")</f>
        <v>Hamilton</v>
      </c>
      <c r="D53" t="str">
        <v xml:space="preserve"> Ian</v>
      </c>
      <c r="E53" t="str">
        <f t="shared" si="2"/>
        <v>Ian Hamilton</v>
      </c>
      <c r="G53" t="e">
        <f>VLOOKUP(E53,ADP!$B$1:$N$181,4,FALSE)</f>
        <v>#N/A</v>
      </c>
      <c r="J53" t="s">
        <v>1292</v>
      </c>
      <c r="K53">
        <v>0.88222929999999999</v>
      </c>
      <c r="L53" t="e">
        <v>#N/A</v>
      </c>
      <c r="M53" t="e">
        <f t="shared" si="1"/>
        <v>#N/A</v>
      </c>
    </row>
    <row r="54" spans="1:13" x14ac:dyDescent="0.2">
      <c r="A54" t="s">
        <v>1369</v>
      </c>
      <c r="B54">
        <v>0.87516254000000004</v>
      </c>
      <c r="C54" t="str" cm="1">
        <f t="array" ref="C54:D54">_xlfn.TEXTSPLIT(A54,",")</f>
        <v>Helsley</v>
      </c>
      <c r="D54" t="str">
        <v xml:space="preserve"> Ryan</v>
      </c>
      <c r="E54" t="str">
        <f t="shared" si="2"/>
        <v>Ryan Helsley</v>
      </c>
      <c r="G54">
        <f>VLOOKUP(E54,ADP!$B$1:$N$181,4,FALSE)</f>
        <v>50.7</v>
      </c>
      <c r="J54" t="s">
        <v>967</v>
      </c>
      <c r="K54">
        <v>0.87516254000000004</v>
      </c>
      <c r="L54">
        <v>50.7</v>
      </c>
      <c r="M54">
        <f t="shared" si="1"/>
        <v>5</v>
      </c>
    </row>
    <row r="55" spans="1:13" x14ac:dyDescent="0.2">
      <c r="A55" t="s">
        <v>1370</v>
      </c>
      <c r="B55">
        <v>0.87516254000000004</v>
      </c>
      <c r="C55" t="str" cm="1">
        <f t="array" ref="C55:D55">_xlfn.TEXTSPLIT(A55,",")</f>
        <v>Estrada</v>
      </c>
      <c r="D55" t="str">
        <v xml:space="preserve"> Jeremiah</v>
      </c>
      <c r="E55" t="str">
        <f t="shared" si="2"/>
        <v>Jeremiah Estrada</v>
      </c>
      <c r="G55" t="e">
        <f>VLOOKUP(E55,ADP!$B$1:$N$181,4,FALSE)</f>
        <v>#N/A</v>
      </c>
      <c r="J55" t="s">
        <v>1064</v>
      </c>
      <c r="K55">
        <v>0.87516254000000004</v>
      </c>
      <c r="L55" t="e">
        <v>#N/A</v>
      </c>
      <c r="M55" t="e">
        <f t="shared" si="1"/>
        <v>#N/A</v>
      </c>
    </row>
    <row r="56" spans="1:13" x14ac:dyDescent="0.2">
      <c r="A56" t="s">
        <v>1371</v>
      </c>
      <c r="B56">
        <v>0.87165486999999997</v>
      </c>
      <c r="C56" t="str" cm="1">
        <f t="array" ref="C56:D56">_xlfn.TEXTSPLIT(A56,",")</f>
        <v>Santana</v>
      </c>
      <c r="D56" t="str">
        <v xml:space="preserve"> Dennis</v>
      </c>
      <c r="E56" t="str">
        <f t="shared" si="2"/>
        <v>Dennis Santana</v>
      </c>
      <c r="G56" t="e">
        <f>VLOOKUP(E56,ADP!$B$1:$N$181,4,FALSE)</f>
        <v>#N/A</v>
      </c>
      <c r="J56" t="s">
        <v>1166</v>
      </c>
      <c r="K56">
        <v>0.87165486999999997</v>
      </c>
      <c r="L56" t="e">
        <v>#N/A</v>
      </c>
      <c r="M56" t="e">
        <f t="shared" si="1"/>
        <v>#N/A</v>
      </c>
    </row>
    <row r="57" spans="1:13" x14ac:dyDescent="0.2">
      <c r="A57" t="s">
        <v>1372</v>
      </c>
      <c r="B57">
        <v>0.87133247000000003</v>
      </c>
      <c r="C57" t="str" cm="1">
        <f t="array" ref="C57:D57">_xlfn.TEXTSPLIT(A57,",")</f>
        <v>Leiter Jr.</v>
      </c>
      <c r="D57" t="str">
        <v xml:space="preserve"> Mark</v>
      </c>
      <c r="E57" t="str">
        <f t="shared" si="2"/>
        <v>Mark Leiter Jr.</v>
      </c>
      <c r="G57" t="e">
        <f>VLOOKUP(E57,ADP!$B$1:$N$181,4,FALSE)</f>
        <v>#N/A</v>
      </c>
      <c r="J57" t="s">
        <v>292</v>
      </c>
      <c r="K57">
        <v>0.87133247000000003</v>
      </c>
      <c r="L57" t="e">
        <v>#N/A</v>
      </c>
      <c r="M57" t="e">
        <f t="shared" si="1"/>
        <v>#N/A</v>
      </c>
    </row>
    <row r="58" spans="1:13" x14ac:dyDescent="0.2">
      <c r="A58" t="s">
        <v>1373</v>
      </c>
      <c r="B58">
        <v>0.86921680000000001</v>
      </c>
      <c r="C58" t="str" cm="1">
        <f t="array" ref="C58:D58">_xlfn.TEXTSPLIT(A58,",")</f>
        <v>Hoffman</v>
      </c>
      <c r="D58" t="str">
        <v xml:space="preserve"> Jeff</v>
      </c>
      <c r="E58" t="str">
        <f t="shared" si="2"/>
        <v>Jeff Hoffman</v>
      </c>
      <c r="G58" t="e">
        <f>VLOOKUP(E58,ADP!$B$1:$N$181,4,FALSE)</f>
        <v>#N/A</v>
      </c>
      <c r="J58" t="s">
        <v>1031</v>
      </c>
      <c r="K58">
        <v>0.86921680000000001</v>
      </c>
      <c r="L58" t="e">
        <v>#N/A</v>
      </c>
      <c r="M58" t="e">
        <f t="shared" si="1"/>
        <v>#N/A</v>
      </c>
    </row>
    <row r="59" spans="1:13" x14ac:dyDescent="0.2">
      <c r="A59" t="s">
        <v>1374</v>
      </c>
      <c r="B59">
        <v>0.86921680000000001</v>
      </c>
      <c r="C59" t="str" cm="1">
        <f t="array" ref="C59:D59">_xlfn.TEXTSPLIT(A59,",")</f>
        <v>Adam</v>
      </c>
      <c r="D59" t="str">
        <v xml:space="preserve"> Jason</v>
      </c>
      <c r="E59" t="str">
        <f t="shared" si="2"/>
        <v>Jason Adam</v>
      </c>
      <c r="G59" t="e">
        <f>VLOOKUP(E59,ADP!$B$1:$N$181,4,FALSE)</f>
        <v>#N/A</v>
      </c>
      <c r="J59" t="s">
        <v>263</v>
      </c>
      <c r="K59">
        <v>0.86921680000000001</v>
      </c>
      <c r="L59" t="e">
        <v>#N/A</v>
      </c>
      <c r="M59" t="e">
        <f t="shared" si="1"/>
        <v>#N/A</v>
      </c>
    </row>
    <row r="60" spans="1:13" x14ac:dyDescent="0.2">
      <c r="A60" t="s">
        <v>1375</v>
      </c>
      <c r="B60">
        <v>0.86621550000000003</v>
      </c>
      <c r="C60" t="str" cm="1">
        <f t="array" ref="C60:D60">_xlfn.TEXTSPLIT(A60,",")</f>
        <v>MuÃ±oz</v>
      </c>
      <c r="D60" t="str">
        <v xml:space="preserve"> AndrÃ©s</v>
      </c>
      <c r="E60" t="str">
        <f t="shared" si="2"/>
        <v>AndrÃ©s MuÃ±oz</v>
      </c>
      <c r="G60" t="e">
        <f>VLOOKUP(E60,ADP!$B$1:$N$181,4,FALSE)</f>
        <v>#N/A</v>
      </c>
      <c r="J60" t="s">
        <v>1400</v>
      </c>
      <c r="K60">
        <v>0.86621550000000003</v>
      </c>
      <c r="L60" t="e">
        <v>#N/A</v>
      </c>
      <c r="M60" t="e">
        <f t="shared" si="1"/>
        <v>#N/A</v>
      </c>
    </row>
    <row r="61" spans="1:13" x14ac:dyDescent="0.2">
      <c r="A61" t="s">
        <v>1376</v>
      </c>
      <c r="B61">
        <v>0.86508660000000004</v>
      </c>
      <c r="C61" t="str" cm="1">
        <f t="array" ref="C61:D61">_xlfn.TEXTSPLIT(A61,",")</f>
        <v>Miller</v>
      </c>
      <c r="D61" t="str">
        <v xml:space="preserve"> Mason</v>
      </c>
      <c r="E61" t="str">
        <f t="shared" si="2"/>
        <v>Mason Miller</v>
      </c>
      <c r="G61">
        <f>VLOOKUP(E61,ADP!$B$1:$N$181,4,FALSE)</f>
        <v>44.1</v>
      </c>
      <c r="J61" t="s">
        <v>994</v>
      </c>
      <c r="K61">
        <v>0.86508660000000004</v>
      </c>
      <c r="L61">
        <v>44.1</v>
      </c>
      <c r="M61">
        <f t="shared" si="1"/>
        <v>4</v>
      </c>
    </row>
    <row r="62" spans="1:13" x14ac:dyDescent="0.2">
      <c r="A62" t="s">
        <v>1377</v>
      </c>
      <c r="B62">
        <v>0.86323589999999994</v>
      </c>
      <c r="C62" t="str" cm="1">
        <f t="array" ref="C62:D62">_xlfn.TEXTSPLIT(A62,",")</f>
        <v>Chivilli</v>
      </c>
      <c r="D62" t="str">
        <v xml:space="preserve"> Angel</v>
      </c>
      <c r="E62" t="str">
        <f t="shared" si="2"/>
        <v>Angel Chivilli</v>
      </c>
      <c r="G62" t="e">
        <f>VLOOKUP(E62,ADP!$B$1:$N$181,4,FALSE)</f>
        <v>#N/A</v>
      </c>
      <c r="J62" t="s">
        <v>1401</v>
      </c>
      <c r="K62">
        <v>0.86323589999999994</v>
      </c>
      <c r="L62" t="e">
        <v>#N/A</v>
      </c>
      <c r="M62" t="e">
        <f t="shared" si="1"/>
        <v>#N/A</v>
      </c>
    </row>
    <row r="63" spans="1:13" x14ac:dyDescent="0.2">
      <c r="A63" t="s">
        <v>1378</v>
      </c>
      <c r="B63">
        <v>0.85348889999999999</v>
      </c>
      <c r="C63" t="str" cm="1">
        <f t="array" ref="C63:D63">_xlfn.TEXTSPLIT(A63,",")</f>
        <v>Holmes</v>
      </c>
      <c r="D63" t="str">
        <v xml:space="preserve"> Grant</v>
      </c>
      <c r="E63" t="str">
        <f t="shared" si="2"/>
        <v>Grant Holmes</v>
      </c>
      <c r="G63" t="e">
        <f>VLOOKUP(E63,ADP!$B$1:$N$181,4,FALSE)</f>
        <v>#N/A</v>
      </c>
      <c r="J63" t="s">
        <v>1085</v>
      </c>
      <c r="K63">
        <v>0.85348889999999999</v>
      </c>
      <c r="L63" t="e">
        <v>#N/A</v>
      </c>
      <c r="M63" t="e">
        <f t="shared" si="1"/>
        <v>#N/A</v>
      </c>
    </row>
    <row r="64" spans="1:13" x14ac:dyDescent="0.2">
      <c r="A64" t="s">
        <v>1379</v>
      </c>
      <c r="B64">
        <v>0.85112286000000004</v>
      </c>
      <c r="C64" t="str" cm="1">
        <f t="array" ref="C64:D64">_xlfn.TEXTSPLIT(A64,",")</f>
        <v>JimÃ©nez</v>
      </c>
      <c r="D64" t="str">
        <v xml:space="preserve"> Joe</v>
      </c>
      <c r="E64" t="str">
        <f t="shared" si="2"/>
        <v>Joe JimÃ©nez</v>
      </c>
      <c r="G64" t="e">
        <f>VLOOKUP(E64,ADP!$B$1:$N$181,4,FALSE)</f>
        <v>#N/A</v>
      </c>
      <c r="J64" t="s">
        <v>1402</v>
      </c>
      <c r="K64">
        <v>0.85112286000000004</v>
      </c>
      <c r="L64" t="e">
        <v>#N/A</v>
      </c>
      <c r="M64" t="e">
        <f t="shared" si="1"/>
        <v>#N/A</v>
      </c>
    </row>
    <row r="65" spans="1:13" x14ac:dyDescent="0.2">
      <c r="A65" t="s">
        <v>1380</v>
      </c>
      <c r="B65">
        <v>0.84517883999999999</v>
      </c>
      <c r="C65" t="str" cm="1">
        <f t="array" ref="C65:D65">_xlfn.TEXTSPLIT(A65,",")</f>
        <v>Lee</v>
      </c>
      <c r="D65" t="str">
        <v xml:space="preserve"> Dylan</v>
      </c>
      <c r="E65" t="str">
        <f t="shared" si="2"/>
        <v>Dylan Lee</v>
      </c>
      <c r="G65" t="e">
        <f>VLOOKUP(E65,ADP!$B$1:$N$181,4,FALSE)</f>
        <v>#N/A</v>
      </c>
      <c r="J65" t="s">
        <v>1092</v>
      </c>
      <c r="K65">
        <v>0.84517883999999999</v>
      </c>
      <c r="L65" t="e">
        <v>#N/A</v>
      </c>
      <c r="M65" t="e">
        <f t="shared" si="1"/>
        <v>#N/A</v>
      </c>
    </row>
    <row r="66" spans="1:13" x14ac:dyDescent="0.2">
      <c r="A66" t="s">
        <v>1381</v>
      </c>
      <c r="B66">
        <v>0.84137620000000002</v>
      </c>
      <c r="C66" t="str" cm="1">
        <f t="array" ref="C66:D66">_xlfn.TEXTSPLIT(A66,",")</f>
        <v>Snell</v>
      </c>
      <c r="D66" t="str">
        <v xml:space="preserve"> Blake</v>
      </c>
      <c r="E66" t="str">
        <f t="shared" si="2"/>
        <v>Blake Snell</v>
      </c>
      <c r="G66">
        <f>VLOOKUP(E66,ADP!$B$1:$N$181,4,FALSE)</f>
        <v>44.6</v>
      </c>
      <c r="J66" t="s">
        <v>987</v>
      </c>
      <c r="K66">
        <v>0.84137620000000002</v>
      </c>
      <c r="L66">
        <v>44.6</v>
      </c>
      <c r="M66">
        <f t="shared" si="1"/>
        <v>4</v>
      </c>
    </row>
    <row r="67" spans="1:13" x14ac:dyDescent="0.2">
      <c r="A67" t="s">
        <v>1382</v>
      </c>
      <c r="B67">
        <v>0.83589239999999998</v>
      </c>
      <c r="C67" t="str" cm="1">
        <f t="array" ref="C67:D67">_xlfn.TEXTSPLIT(A67,",")</f>
        <v>Scott</v>
      </c>
      <c r="D67" t="str">
        <v xml:space="preserve"> Tanner</v>
      </c>
      <c r="E67" t="str">
        <f t="shared" si="2"/>
        <v>Tanner Scott</v>
      </c>
      <c r="G67">
        <f>VLOOKUP(E67,ADP!$B$1:$N$181,4,FALSE)</f>
        <v>121.5</v>
      </c>
      <c r="J67" t="s">
        <v>981</v>
      </c>
      <c r="K67">
        <v>0.83589239999999998</v>
      </c>
      <c r="L67">
        <v>121.5</v>
      </c>
      <c r="M67">
        <f t="shared" ref="M67:M85" si="3">_xlfn.CEILING.MATH(L67/12)</f>
        <v>11</v>
      </c>
    </row>
    <row r="68" spans="1:13" x14ac:dyDescent="0.2">
      <c r="A68" t="s">
        <v>1383</v>
      </c>
      <c r="B68">
        <v>0.83449470000000003</v>
      </c>
      <c r="C68" t="str" cm="1">
        <f t="array" ref="C68:D68">_xlfn.TEXTSPLIT(A68,",")</f>
        <v>Martinez</v>
      </c>
      <c r="D68" t="str">
        <v xml:space="preserve"> Justin</v>
      </c>
      <c r="E68" t="str">
        <f t="shared" si="2"/>
        <v>Justin Martinez</v>
      </c>
      <c r="G68" t="e">
        <f>VLOOKUP(E68,ADP!$B$1:$N$181,4,FALSE)</f>
        <v>#N/A</v>
      </c>
      <c r="J68" t="s">
        <v>1082</v>
      </c>
      <c r="K68">
        <v>0.83449470000000003</v>
      </c>
      <c r="L68" t="e">
        <v>#N/A</v>
      </c>
      <c r="M68" t="e">
        <f t="shared" si="3"/>
        <v>#N/A</v>
      </c>
    </row>
    <row r="69" spans="1:13" x14ac:dyDescent="0.2">
      <c r="A69" t="s">
        <v>41</v>
      </c>
      <c r="B69">
        <v>0.83403899999999997</v>
      </c>
      <c r="C69" t="str" cm="1">
        <f t="array" ref="C69:D69">_xlfn.TEXTSPLIT(A69,",")</f>
        <v>Skenes</v>
      </c>
      <c r="D69" t="str">
        <v xml:space="preserve"> Paul</v>
      </c>
      <c r="E69" t="str">
        <f t="shared" si="2"/>
        <v>Paul Skenes</v>
      </c>
      <c r="G69">
        <f>VLOOKUP(E69,ADP!$B$1:$N$181,4,FALSE)</f>
        <v>11.3</v>
      </c>
      <c r="J69" t="s">
        <v>952</v>
      </c>
      <c r="K69">
        <v>0.83403899999999997</v>
      </c>
      <c r="L69">
        <v>11.3</v>
      </c>
      <c r="M69">
        <f t="shared" si="3"/>
        <v>1</v>
      </c>
    </row>
    <row r="70" spans="1:13" x14ac:dyDescent="0.2">
      <c r="A70" t="s">
        <v>1384</v>
      </c>
      <c r="B70">
        <v>0.82513433999999997</v>
      </c>
      <c r="C70" t="str" cm="1">
        <f t="array" ref="C70:D70">_xlfn.TEXTSPLIT(A70,",")</f>
        <v>Yates</v>
      </c>
      <c r="D70" t="str">
        <v xml:space="preserve"> Kirby</v>
      </c>
      <c r="E70" t="str">
        <f t="shared" si="2"/>
        <v>Kirby Yates</v>
      </c>
      <c r="G70">
        <f>VLOOKUP(E70,ADP!$B$1:$N$181,4,FALSE)</f>
        <v>177.3</v>
      </c>
      <c r="J70" t="s">
        <v>966</v>
      </c>
      <c r="K70">
        <v>0.82513433999999997</v>
      </c>
      <c r="L70">
        <v>177.3</v>
      </c>
      <c r="M70">
        <f t="shared" si="3"/>
        <v>15</v>
      </c>
    </row>
    <row r="71" spans="1:13" x14ac:dyDescent="0.2">
      <c r="A71" t="s">
        <v>1385</v>
      </c>
      <c r="B71">
        <v>0.82147139999999996</v>
      </c>
      <c r="C71" t="str" cm="1">
        <f t="array" ref="C71:D71">_xlfn.TEXTSPLIT(A71,",")</f>
        <v>Holton</v>
      </c>
      <c r="D71" t="str">
        <v xml:space="preserve"> Tyler</v>
      </c>
      <c r="E71" t="str">
        <f t="shared" si="2"/>
        <v>Tyler Holton</v>
      </c>
      <c r="G71">
        <f>VLOOKUP(E71,ADP!$B$1:$N$181,4,FALSE)</f>
        <v>460.3</v>
      </c>
      <c r="J71" t="s">
        <v>962</v>
      </c>
      <c r="K71">
        <v>0.82147139999999996</v>
      </c>
      <c r="L71">
        <v>460.3</v>
      </c>
      <c r="M71">
        <f t="shared" si="3"/>
        <v>39</v>
      </c>
    </row>
    <row r="72" spans="1:13" x14ac:dyDescent="0.2">
      <c r="A72" t="s">
        <v>1386</v>
      </c>
      <c r="B72">
        <v>0.81833714000000002</v>
      </c>
      <c r="C72" t="str" cm="1">
        <f t="array" ref="C72:D72">_xlfn.TEXTSPLIT(A72,",")</f>
        <v>Minter</v>
      </c>
      <c r="D72" t="str">
        <v xml:space="preserve"> A.J.</v>
      </c>
      <c r="E72" t="str">
        <f t="shared" si="2"/>
        <v>A.J. Minter</v>
      </c>
      <c r="G72" t="e">
        <f>VLOOKUP(E72,ADP!$B$1:$N$181,4,FALSE)</f>
        <v>#N/A</v>
      </c>
      <c r="J72" t="s">
        <v>1403</v>
      </c>
      <c r="K72">
        <v>0.81833714000000002</v>
      </c>
      <c r="L72" t="e">
        <v>#N/A</v>
      </c>
      <c r="M72" t="e">
        <f t="shared" si="3"/>
        <v>#N/A</v>
      </c>
    </row>
    <row r="73" spans="1:13" x14ac:dyDescent="0.2">
      <c r="A73" t="s">
        <v>1387</v>
      </c>
      <c r="B73">
        <v>0.81632006000000001</v>
      </c>
      <c r="C73" t="str" cm="1">
        <f t="array" ref="C73:D73">_xlfn.TEXTSPLIT(A73,",")</f>
        <v>Iglesias</v>
      </c>
      <c r="D73" t="str">
        <v xml:space="preserve"> Raisel</v>
      </c>
      <c r="E73" t="str">
        <f t="shared" si="2"/>
        <v>Raisel Iglesias</v>
      </c>
      <c r="G73">
        <f>VLOOKUP(E73,ADP!$B$1:$N$181,4,FALSE)</f>
        <v>50.9</v>
      </c>
      <c r="J73" t="s">
        <v>968</v>
      </c>
      <c r="K73">
        <v>0.81632006000000001</v>
      </c>
      <c r="L73">
        <v>50.9</v>
      </c>
      <c r="M73">
        <f t="shared" si="3"/>
        <v>5</v>
      </c>
    </row>
    <row r="74" spans="1:13" x14ac:dyDescent="0.2">
      <c r="A74" t="s">
        <v>42</v>
      </c>
      <c r="B74">
        <v>0.80664670000000005</v>
      </c>
      <c r="C74" t="str" cm="1">
        <f t="array" ref="C74:D74">_xlfn.TEXTSPLIT(A74,",")</f>
        <v>Crochet</v>
      </c>
      <c r="D74" t="str">
        <v xml:space="preserve"> Garrett</v>
      </c>
      <c r="E74" t="str">
        <f t="shared" si="2"/>
        <v>Garrett Crochet</v>
      </c>
      <c r="G74">
        <f>VLOOKUP(E74,ADP!$B$1:$N$181,4,FALSE)</f>
        <v>24.8</v>
      </c>
      <c r="J74" t="s">
        <v>268</v>
      </c>
      <c r="K74">
        <v>0.80664670000000005</v>
      </c>
      <c r="L74">
        <v>24.8</v>
      </c>
      <c r="M74">
        <f t="shared" si="3"/>
        <v>3</v>
      </c>
    </row>
    <row r="75" spans="1:13" x14ac:dyDescent="0.2">
      <c r="A75" t="s">
        <v>1388</v>
      </c>
      <c r="B75">
        <v>0.80416750000000004</v>
      </c>
      <c r="C75" t="str" cm="1">
        <f t="array" ref="C75:D75">_xlfn.TEXTSPLIT(A75,",")</f>
        <v>Ray</v>
      </c>
      <c r="D75" t="str">
        <v xml:space="preserve"> Robbie</v>
      </c>
      <c r="E75" t="str">
        <f t="shared" si="2"/>
        <v>Robbie Ray</v>
      </c>
      <c r="G75" t="e">
        <f>VLOOKUP(E75,ADP!$B$1:$N$181,4,FALSE)</f>
        <v>#N/A</v>
      </c>
      <c r="J75" t="s">
        <v>1404</v>
      </c>
      <c r="K75">
        <v>0.80416750000000004</v>
      </c>
      <c r="L75" t="e">
        <v>#N/A</v>
      </c>
      <c r="M75" t="e">
        <f t="shared" si="3"/>
        <v>#N/A</v>
      </c>
    </row>
    <row r="76" spans="1:13" x14ac:dyDescent="0.2">
      <c r="A76" t="s">
        <v>1389</v>
      </c>
      <c r="B76">
        <v>0.80380063999999996</v>
      </c>
      <c r="C76" t="str" cm="1">
        <f t="array" ref="C76:D76">_xlfn.TEXTSPLIT(A76,",")</f>
        <v>DÃ­az</v>
      </c>
      <c r="D76" t="str">
        <v xml:space="preserve"> Edwin</v>
      </c>
      <c r="E76" t="str">
        <f t="shared" si="2"/>
        <v>Edwin DÃ­az</v>
      </c>
      <c r="G76" t="e">
        <f>VLOOKUP(E76,ADP!$B$1:$N$181,4,FALSE)</f>
        <v>#N/A</v>
      </c>
      <c r="J76" t="s">
        <v>1405</v>
      </c>
      <c r="K76">
        <v>0.80380063999999996</v>
      </c>
      <c r="L76" t="e">
        <v>#N/A</v>
      </c>
      <c r="M76" t="e">
        <f t="shared" si="3"/>
        <v>#N/A</v>
      </c>
    </row>
    <row r="77" spans="1:13" x14ac:dyDescent="0.2">
      <c r="A77" t="s">
        <v>1390</v>
      </c>
      <c r="B77">
        <v>0.80147975999999999</v>
      </c>
      <c r="C77" t="str" cm="1">
        <f t="array" ref="C77:D77">_xlfn.TEXTSPLIT(A77,",")</f>
        <v>Matsui</v>
      </c>
      <c r="D77" t="str">
        <v xml:space="preserve"> Yuki</v>
      </c>
      <c r="E77" t="str">
        <f t="shared" si="2"/>
        <v>Yuki Matsui</v>
      </c>
      <c r="G77" t="e">
        <f>VLOOKUP(E77,ADP!$B$1:$N$181,4,FALSE)</f>
        <v>#N/A</v>
      </c>
      <c r="J77" t="s">
        <v>1176</v>
      </c>
      <c r="K77">
        <v>0.80147975999999999</v>
      </c>
      <c r="L77" t="e">
        <v>#N/A</v>
      </c>
      <c r="M77" t="e">
        <f t="shared" si="3"/>
        <v>#N/A</v>
      </c>
    </row>
    <row r="78" spans="1:13" x14ac:dyDescent="0.2">
      <c r="A78" t="s">
        <v>1391</v>
      </c>
      <c r="B78">
        <v>0.79597790000000002</v>
      </c>
      <c r="C78" t="str" cm="1">
        <f t="array" ref="C78:D78">_xlfn.TEXTSPLIT(A78,",")</f>
        <v>Cano</v>
      </c>
      <c r="D78" t="str">
        <v xml:space="preserve"> Yennier</v>
      </c>
      <c r="E78" t="str">
        <f t="shared" si="2"/>
        <v>Yennier Cano</v>
      </c>
      <c r="G78" t="e">
        <f>VLOOKUP(E78,ADP!$B$1:$N$181,4,FALSE)</f>
        <v>#N/A</v>
      </c>
      <c r="J78" t="s">
        <v>1148</v>
      </c>
      <c r="K78">
        <v>0.79597790000000002</v>
      </c>
      <c r="L78" t="e">
        <v>#N/A</v>
      </c>
      <c r="M78" t="e">
        <f t="shared" si="3"/>
        <v>#N/A</v>
      </c>
    </row>
    <row r="79" spans="1:13" x14ac:dyDescent="0.2">
      <c r="A79" t="s">
        <v>1392</v>
      </c>
      <c r="B79">
        <v>0.79037802999999995</v>
      </c>
      <c r="C79" t="str" cm="1">
        <f t="array" ref="C79:D79">_xlfn.TEXTSPLIT(A79,",")</f>
        <v>Woo</v>
      </c>
      <c r="D79" t="str">
        <v xml:space="preserve"> Bryan</v>
      </c>
      <c r="E79" t="str">
        <f t="shared" si="2"/>
        <v>Bryan Woo</v>
      </c>
      <c r="G79">
        <f>VLOOKUP(E79,ADP!$B$1:$N$181,4,FALSE)</f>
        <v>133.30000000000001</v>
      </c>
      <c r="J79" t="s">
        <v>279</v>
      </c>
      <c r="K79">
        <v>0.79037802999999995</v>
      </c>
      <c r="L79">
        <v>133.30000000000001</v>
      </c>
      <c r="M79">
        <f t="shared" si="3"/>
        <v>12</v>
      </c>
    </row>
    <row r="80" spans="1:13" x14ac:dyDescent="0.2">
      <c r="A80" t="s">
        <v>1393</v>
      </c>
      <c r="B80">
        <v>0.76899329999999999</v>
      </c>
      <c r="C80" t="str" cm="1">
        <f t="array" ref="C80:D80">_xlfn.TEXTSPLIT(A80,",")</f>
        <v>Rasmussen</v>
      </c>
      <c r="D80" t="str">
        <v xml:space="preserve"> Drew</v>
      </c>
      <c r="E80" t="str">
        <f t="shared" si="2"/>
        <v>Drew Rasmussen</v>
      </c>
      <c r="G80" t="e">
        <f>VLOOKUP(E80,ADP!$B$1:$N$181,4,FALSE)</f>
        <v>#N/A</v>
      </c>
      <c r="J80" t="s">
        <v>1406</v>
      </c>
      <c r="K80">
        <v>0.76899329999999999</v>
      </c>
      <c r="L80" t="e">
        <v>#N/A</v>
      </c>
      <c r="M80" t="e">
        <f t="shared" si="3"/>
        <v>#N/A</v>
      </c>
    </row>
    <row r="81" spans="1:13" x14ac:dyDescent="0.2">
      <c r="A81" t="s">
        <v>1394</v>
      </c>
      <c r="B81">
        <v>0.75966389999999995</v>
      </c>
      <c r="C81" t="str" cm="1">
        <f t="array" ref="C81:D81">_xlfn.TEXTSPLIT(A81,",")</f>
        <v>Doval</v>
      </c>
      <c r="D81" t="str">
        <v xml:space="preserve"> Camilo</v>
      </c>
      <c r="E81" t="str">
        <f t="shared" si="2"/>
        <v>Camilo Doval</v>
      </c>
      <c r="G81" t="e">
        <f>VLOOKUP(E81,ADP!$B$1:$N$181,4,FALSE)</f>
        <v>#N/A</v>
      </c>
      <c r="J81" t="s">
        <v>1153</v>
      </c>
      <c r="K81">
        <v>0.75966389999999995</v>
      </c>
      <c r="L81" t="e">
        <v>#N/A</v>
      </c>
      <c r="M81" t="e">
        <f t="shared" si="3"/>
        <v>#N/A</v>
      </c>
    </row>
    <row r="82" spans="1:13" x14ac:dyDescent="0.2">
      <c r="A82" t="s">
        <v>1395</v>
      </c>
      <c r="B82">
        <v>0.75655085</v>
      </c>
      <c r="C82" t="str" cm="1">
        <f t="array" ref="C82:D82">_xlfn.TEXTSPLIT(A82,",")</f>
        <v>Clase</v>
      </c>
      <c r="D82" t="str">
        <v xml:space="preserve"> Emmanuel</v>
      </c>
      <c r="E82" t="str">
        <f t="shared" si="2"/>
        <v>Emmanuel Clase</v>
      </c>
      <c r="G82">
        <f>VLOOKUP(E82,ADP!$B$1:$N$181,4,FALSE)</f>
        <v>34.9</v>
      </c>
      <c r="J82" t="s">
        <v>955</v>
      </c>
      <c r="K82">
        <v>0.75655085</v>
      </c>
      <c r="L82">
        <v>34.9</v>
      </c>
      <c r="M82">
        <f t="shared" si="3"/>
        <v>3</v>
      </c>
    </row>
    <row r="83" spans="1:13" x14ac:dyDescent="0.2">
      <c r="A83" t="s">
        <v>1396</v>
      </c>
      <c r="B83">
        <v>0.75431510000000002</v>
      </c>
      <c r="C83" t="str" cm="1">
        <f t="array" ref="C83:D83">_xlfn.TEXTSPLIT(A83,",")</f>
        <v>Bazardo</v>
      </c>
      <c r="D83" t="str">
        <v xml:space="preserve"> Eduard</v>
      </c>
      <c r="E83" t="str">
        <f t="shared" si="2"/>
        <v>Eduard Bazardo</v>
      </c>
      <c r="G83" t="e">
        <f>VLOOKUP(E83,ADP!$B$1:$N$181,4,FALSE)</f>
        <v>#N/A</v>
      </c>
      <c r="J83" t="s">
        <v>1407</v>
      </c>
      <c r="K83">
        <v>0.75431510000000002</v>
      </c>
      <c r="L83" t="e">
        <v>#N/A</v>
      </c>
      <c r="M83" t="e">
        <f t="shared" si="3"/>
        <v>#N/A</v>
      </c>
    </row>
    <row r="84" spans="1:13" x14ac:dyDescent="0.2">
      <c r="A84" t="s">
        <v>1397</v>
      </c>
      <c r="B84">
        <v>0.75326499999999996</v>
      </c>
      <c r="C84" t="str" cm="1">
        <f t="array" ref="C84:D84">_xlfn.TEXTSPLIT(A84,",")</f>
        <v>Saucedo</v>
      </c>
      <c r="D84" t="str">
        <v xml:space="preserve"> Tayler</v>
      </c>
      <c r="E84" t="str">
        <f t="shared" si="2"/>
        <v>Tayler Saucedo</v>
      </c>
      <c r="G84" t="e">
        <f>VLOOKUP(E84,ADP!$B$1:$N$181,4,FALSE)</f>
        <v>#N/A</v>
      </c>
      <c r="J84" t="s">
        <v>1246</v>
      </c>
      <c r="K84">
        <v>0.75326499999999996</v>
      </c>
      <c r="L84" t="e">
        <v>#N/A</v>
      </c>
      <c r="M84" t="e">
        <f t="shared" si="3"/>
        <v>#N/A</v>
      </c>
    </row>
    <row r="85" spans="1:13" x14ac:dyDescent="0.2">
      <c r="A85" t="s">
        <v>1398</v>
      </c>
      <c r="B85">
        <v>0.75111704999999995</v>
      </c>
      <c r="C85" t="str" cm="1">
        <f t="array" ref="C85:D85">_xlfn.TEXTSPLIT(A85,",")</f>
        <v>Barlow</v>
      </c>
      <c r="D85" t="str">
        <v xml:space="preserve"> Scott</v>
      </c>
      <c r="E85" t="str">
        <f t="shared" si="2"/>
        <v>Scott Barlow</v>
      </c>
      <c r="G85" t="e">
        <f>VLOOKUP(E85,ADP!$B$1:$N$181,4,FALSE)</f>
        <v>#N/A</v>
      </c>
      <c r="J85" t="s">
        <v>1247</v>
      </c>
      <c r="K85">
        <v>0.75111704999999995</v>
      </c>
      <c r="L85" t="e">
        <v>#N/A</v>
      </c>
      <c r="M85" t="e">
        <f t="shared" si="3"/>
        <v>#N/A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0BA02-9A07-48D6-B901-9613C291931B}">
  <dimension ref="A1:O1082"/>
  <sheetViews>
    <sheetView topLeftCell="A1051" workbookViewId="0">
      <selection sqref="A1:K1082"/>
    </sheetView>
  </sheetViews>
  <sheetFormatPr baseColWidth="10" defaultColWidth="8.83203125" defaultRowHeight="15" x14ac:dyDescent="0.2"/>
  <cols>
    <col min="2" max="2" width="26.1640625" bestFit="1" customWidth="1"/>
  </cols>
  <sheetData>
    <row r="1" spans="1:15" ht="17" x14ac:dyDescent="0.2">
      <c r="A1" s="2" t="s">
        <v>294</v>
      </c>
      <c r="B1" s="3" t="s">
        <v>187</v>
      </c>
      <c r="C1" s="3" t="s">
        <v>295</v>
      </c>
      <c r="D1" s="3" t="s">
        <v>296</v>
      </c>
      <c r="E1" s="4" t="s">
        <v>297</v>
      </c>
      <c r="F1" s="4" t="s">
        <v>298</v>
      </c>
      <c r="G1" s="5" t="s">
        <v>299</v>
      </c>
      <c r="H1" s="4" t="s">
        <v>300</v>
      </c>
      <c r="I1" s="4" t="s">
        <v>948</v>
      </c>
      <c r="J1" s="6" t="s">
        <v>303</v>
      </c>
      <c r="K1" s="2" t="s">
        <v>304</v>
      </c>
      <c r="L1" s="4" t="s">
        <v>301</v>
      </c>
      <c r="M1" s="4" t="s">
        <v>302</v>
      </c>
      <c r="N1" s="6" t="s">
        <v>303</v>
      </c>
      <c r="O1" s="2" t="s">
        <v>304</v>
      </c>
    </row>
    <row r="2" spans="1:15" ht="16" x14ac:dyDescent="0.2">
      <c r="A2" s="7">
        <v>1</v>
      </c>
      <c r="B2" s="8" t="s">
        <v>5</v>
      </c>
      <c r="C2" s="8" t="s">
        <v>305</v>
      </c>
      <c r="D2" s="9" t="s">
        <v>306</v>
      </c>
      <c r="E2" s="13">
        <v>1.5</v>
      </c>
      <c r="F2" s="11">
        <v>1</v>
      </c>
      <c r="G2" s="12">
        <v>1</v>
      </c>
      <c r="H2" s="13">
        <v>731</v>
      </c>
      <c r="I2" s="13"/>
      <c r="J2" s="14">
        <v>62.4</v>
      </c>
      <c r="K2" s="15"/>
      <c r="L2" s="13">
        <v>59</v>
      </c>
      <c r="M2" s="13">
        <v>54</v>
      </c>
      <c r="N2" s="14">
        <v>62.4</v>
      </c>
      <c r="O2" s="15"/>
    </row>
    <row r="3" spans="1:15" ht="16" x14ac:dyDescent="0.2">
      <c r="A3" s="7">
        <v>2</v>
      </c>
      <c r="B3" s="8" t="s">
        <v>1</v>
      </c>
      <c r="C3" s="8" t="s">
        <v>308</v>
      </c>
      <c r="D3" s="9" t="s">
        <v>309</v>
      </c>
      <c r="E3" s="13">
        <v>3.4</v>
      </c>
      <c r="F3" s="11">
        <v>1</v>
      </c>
      <c r="G3" s="12">
        <v>1</v>
      </c>
      <c r="H3" s="13">
        <v>704</v>
      </c>
      <c r="I3" s="13"/>
      <c r="J3" s="14">
        <v>53.6</v>
      </c>
      <c r="K3" s="15"/>
      <c r="L3" s="13">
        <v>31</v>
      </c>
      <c r="M3" s="13">
        <v>32</v>
      </c>
      <c r="N3" s="14">
        <v>46.3</v>
      </c>
      <c r="O3" s="15"/>
    </row>
    <row r="4" spans="1:15" ht="16" x14ac:dyDescent="0.2">
      <c r="A4" s="7">
        <v>3</v>
      </c>
      <c r="B4" s="8" t="s">
        <v>11</v>
      </c>
      <c r="C4" s="8" t="s">
        <v>307</v>
      </c>
      <c r="D4" s="9" t="s">
        <v>194</v>
      </c>
      <c r="E4" s="13">
        <v>1.6</v>
      </c>
      <c r="F4" s="11">
        <v>1</v>
      </c>
      <c r="G4" s="12">
        <v>1</v>
      </c>
      <c r="H4" s="13">
        <v>709</v>
      </c>
      <c r="I4" s="13"/>
      <c r="J4" s="14">
        <v>46.3</v>
      </c>
      <c r="K4" s="15"/>
      <c r="L4" s="13">
        <v>10</v>
      </c>
      <c r="M4" s="13">
        <v>58</v>
      </c>
      <c r="N4" s="14">
        <v>53.6</v>
      </c>
      <c r="O4" s="15"/>
    </row>
    <row r="5" spans="1:15" ht="16" x14ac:dyDescent="0.2">
      <c r="A5" s="7">
        <v>4</v>
      </c>
      <c r="B5" s="8" t="s">
        <v>238</v>
      </c>
      <c r="C5" s="8" t="s">
        <v>311</v>
      </c>
      <c r="D5" s="9" t="s">
        <v>312</v>
      </c>
      <c r="E5" s="13">
        <v>5</v>
      </c>
      <c r="F5" s="11">
        <v>1</v>
      </c>
      <c r="G5" s="12">
        <v>1</v>
      </c>
      <c r="H5" s="13">
        <v>682</v>
      </c>
      <c r="I5" s="13"/>
      <c r="J5" s="14">
        <v>43.3</v>
      </c>
      <c r="K5" s="15"/>
      <c r="L5" s="13">
        <v>67</v>
      </c>
      <c r="M5" s="13">
        <v>25</v>
      </c>
      <c r="N5" s="14">
        <v>32.700000000000003</v>
      </c>
      <c r="O5" s="15"/>
    </row>
    <row r="6" spans="1:15" ht="16" x14ac:dyDescent="0.2">
      <c r="A6" s="7">
        <v>5</v>
      </c>
      <c r="B6" s="8" t="s">
        <v>9</v>
      </c>
      <c r="C6" s="8" t="s">
        <v>314</v>
      </c>
      <c r="D6" s="9" t="s">
        <v>195</v>
      </c>
      <c r="E6" s="13">
        <v>7.8</v>
      </c>
      <c r="F6" s="11">
        <v>1</v>
      </c>
      <c r="G6" s="12">
        <v>1</v>
      </c>
      <c r="H6" s="13">
        <v>713</v>
      </c>
      <c r="I6" s="13"/>
      <c r="J6" s="14">
        <v>37.299999999999997</v>
      </c>
      <c r="K6" s="15"/>
      <c r="L6" s="13">
        <v>41</v>
      </c>
      <c r="M6" s="13">
        <v>39</v>
      </c>
      <c r="N6" s="14">
        <v>43.3</v>
      </c>
      <c r="O6" s="15"/>
    </row>
    <row r="7" spans="1:15" ht="16" x14ac:dyDescent="0.2">
      <c r="A7" s="7">
        <v>6</v>
      </c>
      <c r="B7" s="8" t="s">
        <v>949</v>
      </c>
      <c r="C7" s="8" t="s">
        <v>362</v>
      </c>
      <c r="D7" s="9" t="s">
        <v>196</v>
      </c>
      <c r="E7" s="13">
        <v>13.8</v>
      </c>
      <c r="F7" s="11">
        <v>1</v>
      </c>
      <c r="G7" s="12">
        <v>1</v>
      </c>
      <c r="H7" s="13"/>
      <c r="I7" s="13">
        <v>192</v>
      </c>
      <c r="J7" s="14">
        <v>37.200000000000003</v>
      </c>
      <c r="K7" s="15"/>
      <c r="L7" s="13">
        <v>21</v>
      </c>
      <c r="M7" s="13">
        <v>37</v>
      </c>
      <c r="N7" s="14">
        <v>33.4</v>
      </c>
      <c r="O7" s="15"/>
    </row>
    <row r="8" spans="1:15" ht="16" x14ac:dyDescent="0.2">
      <c r="A8" s="7">
        <v>7</v>
      </c>
      <c r="B8" s="8" t="s">
        <v>16</v>
      </c>
      <c r="C8" s="8" t="s">
        <v>313</v>
      </c>
      <c r="D8" s="9" t="s">
        <v>194</v>
      </c>
      <c r="E8" s="13">
        <v>6.1</v>
      </c>
      <c r="F8" s="11">
        <v>1</v>
      </c>
      <c r="G8" s="12">
        <v>0.99</v>
      </c>
      <c r="H8" s="13">
        <v>719</v>
      </c>
      <c r="I8" s="13"/>
      <c r="J8" s="14">
        <v>33.4</v>
      </c>
      <c r="K8" s="15"/>
      <c r="L8" s="13">
        <v>7</v>
      </c>
      <c r="M8" s="13">
        <v>41</v>
      </c>
      <c r="N8" s="14">
        <v>37.299999999999997</v>
      </c>
      <c r="O8" s="15"/>
    </row>
    <row r="9" spans="1:15" ht="16" x14ac:dyDescent="0.2">
      <c r="A9" s="7">
        <v>8</v>
      </c>
      <c r="B9" s="8" t="s">
        <v>950</v>
      </c>
      <c r="C9" s="8" t="s">
        <v>326</v>
      </c>
      <c r="D9" s="9" t="s">
        <v>196</v>
      </c>
      <c r="E9" s="13">
        <v>21.1</v>
      </c>
      <c r="F9" s="11">
        <v>1</v>
      </c>
      <c r="G9" s="12">
        <v>1</v>
      </c>
      <c r="H9" s="13"/>
      <c r="I9" s="13">
        <v>200</v>
      </c>
      <c r="J9" s="14">
        <v>33</v>
      </c>
      <c r="K9" s="15"/>
      <c r="L9" s="13">
        <v>11</v>
      </c>
      <c r="M9" s="13">
        <v>23</v>
      </c>
      <c r="N9" s="14">
        <v>7.8</v>
      </c>
      <c r="O9" s="15"/>
    </row>
    <row r="10" spans="1:15" ht="16" x14ac:dyDescent="0.2">
      <c r="A10" s="7">
        <v>9</v>
      </c>
      <c r="B10" s="8" t="s">
        <v>239</v>
      </c>
      <c r="C10" s="8" t="s">
        <v>310</v>
      </c>
      <c r="D10" s="9" t="s">
        <v>194</v>
      </c>
      <c r="E10" s="13">
        <v>4.5</v>
      </c>
      <c r="F10" s="11">
        <v>1</v>
      </c>
      <c r="G10" s="12">
        <v>1</v>
      </c>
      <c r="H10" s="13">
        <v>696</v>
      </c>
      <c r="I10" s="13"/>
      <c r="J10" s="14">
        <v>32.700000000000003</v>
      </c>
      <c r="K10" s="15"/>
      <c r="L10" s="13">
        <v>35</v>
      </c>
      <c r="M10" s="13">
        <v>22</v>
      </c>
      <c r="N10" s="14">
        <v>22.5</v>
      </c>
      <c r="O10" s="15"/>
    </row>
    <row r="11" spans="1:15" ht="16" x14ac:dyDescent="0.2">
      <c r="A11" s="7">
        <v>10</v>
      </c>
      <c r="B11" s="8" t="s">
        <v>951</v>
      </c>
      <c r="C11" s="8" t="s">
        <v>331</v>
      </c>
      <c r="D11" s="9" t="s">
        <v>196</v>
      </c>
      <c r="E11" s="13">
        <v>37.299999999999997</v>
      </c>
      <c r="F11" s="11">
        <v>1</v>
      </c>
      <c r="G11" s="12">
        <v>1</v>
      </c>
      <c r="H11" s="13"/>
      <c r="I11" s="13">
        <v>177.1</v>
      </c>
      <c r="J11" s="14">
        <v>32.700000000000003</v>
      </c>
      <c r="K11" s="15"/>
      <c r="L11" s="13">
        <v>11</v>
      </c>
      <c r="M11" s="13">
        <v>21</v>
      </c>
      <c r="N11" s="14">
        <v>8.1</v>
      </c>
      <c r="O11" s="15"/>
    </row>
    <row r="12" spans="1:15" ht="16" x14ac:dyDescent="0.2">
      <c r="A12" s="7">
        <v>11</v>
      </c>
      <c r="B12" s="8" t="s">
        <v>26</v>
      </c>
      <c r="C12" s="8" t="s">
        <v>314</v>
      </c>
      <c r="D12" s="9" t="s">
        <v>194</v>
      </c>
      <c r="E12" s="13">
        <v>15.2</v>
      </c>
      <c r="F12" s="11">
        <v>1</v>
      </c>
      <c r="G12" s="12">
        <v>1</v>
      </c>
      <c r="H12" s="13">
        <v>689</v>
      </c>
      <c r="I12" s="13"/>
      <c r="J12" s="14">
        <v>30.8</v>
      </c>
      <c r="K12" s="15"/>
      <c r="L12" s="13">
        <v>16</v>
      </c>
      <c r="M12" s="13">
        <v>19</v>
      </c>
      <c r="N12" s="14">
        <v>15.4</v>
      </c>
      <c r="O12" s="15"/>
    </row>
    <row r="13" spans="1:15" ht="16" x14ac:dyDescent="0.2">
      <c r="A13" s="7">
        <v>12</v>
      </c>
      <c r="B13" s="8" t="s">
        <v>223</v>
      </c>
      <c r="C13" s="8" t="s">
        <v>322</v>
      </c>
      <c r="D13" s="9" t="s">
        <v>329</v>
      </c>
      <c r="E13" s="13">
        <v>24.1</v>
      </c>
      <c r="F13" s="11">
        <v>1</v>
      </c>
      <c r="G13" s="12">
        <v>1</v>
      </c>
      <c r="H13" s="13">
        <v>679</v>
      </c>
      <c r="I13" s="13"/>
      <c r="J13" s="14">
        <v>30.2</v>
      </c>
      <c r="K13" s="15"/>
      <c r="L13" s="13">
        <v>24</v>
      </c>
      <c r="M13" s="13">
        <v>20</v>
      </c>
      <c r="N13" s="14">
        <v>16.5</v>
      </c>
      <c r="O13" s="15"/>
    </row>
    <row r="14" spans="1:15" ht="16" x14ac:dyDescent="0.2">
      <c r="A14" s="7">
        <v>13</v>
      </c>
      <c r="B14" s="8" t="s">
        <v>35</v>
      </c>
      <c r="C14" s="8" t="s">
        <v>320</v>
      </c>
      <c r="D14" s="9" t="s">
        <v>321</v>
      </c>
      <c r="E14" s="13">
        <v>14.4</v>
      </c>
      <c r="F14" s="11">
        <v>1</v>
      </c>
      <c r="G14" s="12">
        <v>1</v>
      </c>
      <c r="H14" s="13">
        <v>697</v>
      </c>
      <c r="I14" s="13"/>
      <c r="J14" s="14">
        <v>30.2</v>
      </c>
      <c r="K14" s="15"/>
      <c r="L14" s="13">
        <v>2</v>
      </c>
      <c r="M14" s="13">
        <v>30</v>
      </c>
      <c r="N14" s="14">
        <v>30.2</v>
      </c>
      <c r="O14" s="15"/>
    </row>
    <row r="15" spans="1:15" ht="16" x14ac:dyDescent="0.2">
      <c r="A15" s="7">
        <v>14</v>
      </c>
      <c r="B15" s="8" t="s">
        <v>33</v>
      </c>
      <c r="C15" s="8" t="s">
        <v>331</v>
      </c>
      <c r="D15" s="9" t="s">
        <v>306</v>
      </c>
      <c r="E15" s="13">
        <v>71.5</v>
      </c>
      <c r="F15" s="11">
        <v>1</v>
      </c>
      <c r="G15" s="12">
        <v>1</v>
      </c>
      <c r="H15" s="13">
        <v>688</v>
      </c>
      <c r="I15" s="13"/>
      <c r="J15" s="14">
        <v>29.6</v>
      </c>
      <c r="K15" s="15"/>
      <c r="L15" s="13">
        <v>29</v>
      </c>
      <c r="M15" s="13">
        <v>33</v>
      </c>
      <c r="N15" s="14">
        <v>30.8</v>
      </c>
      <c r="O15" s="15"/>
    </row>
    <row r="16" spans="1:15" ht="16" x14ac:dyDescent="0.2">
      <c r="A16" s="7">
        <v>15</v>
      </c>
      <c r="B16" s="8" t="s">
        <v>12</v>
      </c>
      <c r="C16" s="8" t="s">
        <v>342</v>
      </c>
      <c r="D16" s="9" t="s">
        <v>306</v>
      </c>
      <c r="E16" s="13">
        <v>67.400000000000006</v>
      </c>
      <c r="F16" s="11">
        <v>1</v>
      </c>
      <c r="G16" s="12">
        <v>0.99</v>
      </c>
      <c r="H16" s="13">
        <v>614</v>
      </c>
      <c r="I16" s="13"/>
      <c r="J16" s="14">
        <v>29.3</v>
      </c>
      <c r="K16" s="15"/>
      <c r="L16" s="13">
        <v>22</v>
      </c>
      <c r="M16" s="13">
        <v>21</v>
      </c>
      <c r="N16" s="14">
        <v>18.899999999999999</v>
      </c>
      <c r="O16" s="15"/>
    </row>
    <row r="17" spans="1:15" ht="16" x14ac:dyDescent="0.2">
      <c r="A17" s="7">
        <v>16</v>
      </c>
      <c r="B17" s="8" t="s">
        <v>324</v>
      </c>
      <c r="C17" s="8" t="s">
        <v>325</v>
      </c>
      <c r="D17" s="9" t="s">
        <v>195</v>
      </c>
      <c r="E17" s="13">
        <v>21.1</v>
      </c>
      <c r="F17" s="11">
        <v>1</v>
      </c>
      <c r="G17" s="12">
        <v>1</v>
      </c>
      <c r="H17" s="13">
        <v>735</v>
      </c>
      <c r="I17" s="13"/>
      <c r="J17" s="14">
        <v>28.8</v>
      </c>
      <c r="K17" s="15"/>
      <c r="L17" s="13">
        <v>6</v>
      </c>
      <c r="M17" s="13">
        <v>35</v>
      </c>
      <c r="N17" s="14">
        <v>27</v>
      </c>
      <c r="O17" s="15"/>
    </row>
    <row r="18" spans="1:15" ht="16" x14ac:dyDescent="0.2">
      <c r="A18" s="7">
        <v>17</v>
      </c>
      <c r="B18" s="8" t="s">
        <v>7</v>
      </c>
      <c r="C18" s="8" t="s">
        <v>323</v>
      </c>
      <c r="D18" s="9" t="s">
        <v>309</v>
      </c>
      <c r="E18" s="13">
        <v>17.600000000000001</v>
      </c>
      <c r="F18" s="11">
        <v>1</v>
      </c>
      <c r="G18" s="12">
        <v>1</v>
      </c>
      <c r="H18" s="13">
        <v>635</v>
      </c>
      <c r="I18" s="13"/>
      <c r="J18" s="14">
        <v>27</v>
      </c>
      <c r="K18" s="15"/>
      <c r="L18" s="13">
        <v>34</v>
      </c>
      <c r="M18" s="13">
        <v>21</v>
      </c>
      <c r="N18" s="14">
        <v>28.8</v>
      </c>
      <c r="O18" s="15"/>
    </row>
    <row r="19" spans="1:15" ht="16" x14ac:dyDescent="0.2">
      <c r="A19" s="7">
        <v>18</v>
      </c>
      <c r="B19" s="8" t="s">
        <v>32</v>
      </c>
      <c r="C19" s="8" t="s">
        <v>316</v>
      </c>
      <c r="D19" s="9" t="s">
        <v>332</v>
      </c>
      <c r="E19" s="13">
        <v>32.4</v>
      </c>
      <c r="F19" s="11">
        <v>1</v>
      </c>
      <c r="G19" s="12">
        <v>1</v>
      </c>
      <c r="H19" s="13">
        <v>583</v>
      </c>
      <c r="I19" s="13"/>
      <c r="J19" s="14">
        <v>26.4</v>
      </c>
      <c r="K19" s="15"/>
      <c r="L19" s="13">
        <v>7</v>
      </c>
      <c r="M19" s="13">
        <v>30</v>
      </c>
      <c r="N19" s="14">
        <v>20.399999999999999</v>
      </c>
      <c r="O19" s="15"/>
    </row>
    <row r="20" spans="1:15" ht="16" x14ac:dyDescent="0.2">
      <c r="A20" s="7">
        <v>19</v>
      </c>
      <c r="B20" s="8" t="s">
        <v>353</v>
      </c>
      <c r="C20" s="8" t="s">
        <v>354</v>
      </c>
      <c r="D20" s="9" t="s">
        <v>194</v>
      </c>
      <c r="E20" s="13">
        <v>94</v>
      </c>
      <c r="F20" s="11">
        <v>1</v>
      </c>
      <c r="G20" s="12">
        <v>0.99</v>
      </c>
      <c r="H20" s="13">
        <v>688</v>
      </c>
      <c r="I20" s="13"/>
      <c r="J20" s="14">
        <v>25.8</v>
      </c>
      <c r="K20" s="15"/>
      <c r="L20" s="13">
        <v>40</v>
      </c>
      <c r="M20" s="13">
        <v>24</v>
      </c>
      <c r="N20" s="14">
        <v>20</v>
      </c>
      <c r="O20" s="15"/>
    </row>
    <row r="21" spans="1:15" ht="16" x14ac:dyDescent="0.2">
      <c r="A21" s="7">
        <v>20</v>
      </c>
      <c r="B21" s="8" t="s">
        <v>952</v>
      </c>
      <c r="C21" s="8" t="s">
        <v>334</v>
      </c>
      <c r="D21" s="9" t="s">
        <v>196</v>
      </c>
      <c r="E21" s="13">
        <v>11.3</v>
      </c>
      <c r="F21" s="11">
        <v>1</v>
      </c>
      <c r="G21" s="12">
        <v>1</v>
      </c>
      <c r="H21" s="13"/>
      <c r="I21" s="13">
        <v>133</v>
      </c>
      <c r="J21" s="14">
        <v>24.9</v>
      </c>
      <c r="K21" s="15"/>
      <c r="L21" s="13">
        <v>9</v>
      </c>
      <c r="M21" s="13">
        <v>23</v>
      </c>
      <c r="N21" s="14">
        <v>30.2</v>
      </c>
      <c r="O21" s="15"/>
    </row>
    <row r="22" spans="1:15" ht="16" x14ac:dyDescent="0.2">
      <c r="A22" s="7">
        <v>21</v>
      </c>
      <c r="B22" s="8" t="s">
        <v>222</v>
      </c>
      <c r="C22" s="8" t="s">
        <v>326</v>
      </c>
      <c r="D22" s="9" t="s">
        <v>306</v>
      </c>
      <c r="E22" s="13">
        <v>77.7</v>
      </c>
      <c r="F22" s="11">
        <v>1</v>
      </c>
      <c r="G22" s="12">
        <v>0.97</v>
      </c>
      <c r="H22" s="13">
        <v>692</v>
      </c>
      <c r="I22" s="13"/>
      <c r="J22" s="14">
        <v>24.5</v>
      </c>
      <c r="K22" s="15"/>
      <c r="L22" s="13">
        <v>16</v>
      </c>
      <c r="M22" s="13">
        <v>24</v>
      </c>
      <c r="N22" s="14">
        <v>22.3</v>
      </c>
      <c r="O22" s="15"/>
    </row>
    <row r="23" spans="1:15" ht="16" x14ac:dyDescent="0.2">
      <c r="A23" s="7">
        <v>22</v>
      </c>
      <c r="B23" s="8" t="s">
        <v>340</v>
      </c>
      <c r="C23" s="8" t="s">
        <v>305</v>
      </c>
      <c r="D23" s="9" t="s">
        <v>195</v>
      </c>
      <c r="E23" s="13">
        <v>61</v>
      </c>
      <c r="F23" s="11">
        <v>1</v>
      </c>
      <c r="G23" s="12">
        <v>1</v>
      </c>
      <c r="H23" s="13">
        <v>652</v>
      </c>
      <c r="I23" s="13"/>
      <c r="J23" s="14">
        <v>24.3</v>
      </c>
      <c r="K23" s="15"/>
      <c r="L23" s="13">
        <v>9</v>
      </c>
      <c r="M23" s="13">
        <v>22</v>
      </c>
      <c r="N23" s="14">
        <v>17.2</v>
      </c>
      <c r="O23" s="15"/>
    </row>
    <row r="24" spans="1:15" ht="16" x14ac:dyDescent="0.2">
      <c r="A24" s="7">
        <v>23</v>
      </c>
      <c r="B24" s="8" t="s">
        <v>953</v>
      </c>
      <c r="C24" s="8" t="s">
        <v>319</v>
      </c>
      <c r="D24" s="9" t="s">
        <v>196</v>
      </c>
      <c r="E24" s="13">
        <v>26</v>
      </c>
      <c r="F24" s="11">
        <v>1</v>
      </c>
      <c r="G24" s="12">
        <v>1</v>
      </c>
      <c r="H24" s="13"/>
      <c r="I24" s="13">
        <v>208.1</v>
      </c>
      <c r="J24" s="14">
        <v>24.1</v>
      </c>
      <c r="K24" s="15"/>
      <c r="L24" s="13">
        <v>19</v>
      </c>
      <c r="M24" s="13">
        <v>21</v>
      </c>
      <c r="N24" s="14">
        <v>18.2</v>
      </c>
      <c r="O24" s="15"/>
    </row>
    <row r="25" spans="1:15" ht="16" x14ac:dyDescent="0.2">
      <c r="A25" s="7">
        <v>24</v>
      </c>
      <c r="B25" s="8" t="s">
        <v>215</v>
      </c>
      <c r="C25" s="8" t="s">
        <v>307</v>
      </c>
      <c r="D25" s="9" t="s">
        <v>345</v>
      </c>
      <c r="E25" s="13">
        <v>74.3</v>
      </c>
      <c r="F25" s="11">
        <v>1</v>
      </c>
      <c r="G25" s="12">
        <v>1</v>
      </c>
      <c r="H25" s="13">
        <v>652</v>
      </c>
      <c r="I25" s="13"/>
      <c r="J25" s="14">
        <v>22.9</v>
      </c>
      <c r="K25" s="15"/>
      <c r="L25" s="13">
        <v>0</v>
      </c>
      <c r="M25" s="13">
        <v>19</v>
      </c>
      <c r="N25" s="14">
        <v>3.2</v>
      </c>
      <c r="O25" s="15"/>
    </row>
    <row r="26" spans="1:15" ht="16" x14ac:dyDescent="0.2">
      <c r="A26" s="7">
        <v>25</v>
      </c>
      <c r="B26" s="8" t="s">
        <v>954</v>
      </c>
      <c r="C26" s="8" t="s">
        <v>315</v>
      </c>
      <c r="D26" s="9" t="s">
        <v>196</v>
      </c>
      <c r="E26" s="13">
        <v>77.3</v>
      </c>
      <c r="F26" s="11">
        <v>1</v>
      </c>
      <c r="G26" s="12">
        <v>1</v>
      </c>
      <c r="H26" s="13"/>
      <c r="I26" s="13">
        <v>173</v>
      </c>
      <c r="J26" s="14">
        <v>22.7</v>
      </c>
      <c r="K26" s="15"/>
      <c r="L26" s="13">
        <v>7</v>
      </c>
      <c r="M26" s="13">
        <v>36</v>
      </c>
      <c r="N26" s="14">
        <v>26.4</v>
      </c>
      <c r="O26" s="15"/>
    </row>
    <row r="27" spans="1:15" ht="16" x14ac:dyDescent="0.2">
      <c r="A27" s="7">
        <v>26</v>
      </c>
      <c r="B27" s="8" t="s">
        <v>216</v>
      </c>
      <c r="C27" s="8" t="s">
        <v>317</v>
      </c>
      <c r="D27" s="9" t="s">
        <v>312</v>
      </c>
      <c r="E27" s="13">
        <v>38.299999999999997</v>
      </c>
      <c r="F27" s="11">
        <v>1</v>
      </c>
      <c r="G27" s="12">
        <v>1</v>
      </c>
      <c r="H27" s="13">
        <v>643</v>
      </c>
      <c r="I27" s="13"/>
      <c r="J27" s="14">
        <v>22.7</v>
      </c>
      <c r="K27" s="15"/>
      <c r="L27" s="13">
        <v>16</v>
      </c>
      <c r="M27" s="13">
        <v>4</v>
      </c>
      <c r="N27" s="14">
        <v>-8.9</v>
      </c>
      <c r="O27" s="15"/>
    </row>
    <row r="28" spans="1:15" ht="16" x14ac:dyDescent="0.2">
      <c r="A28" s="7">
        <v>27</v>
      </c>
      <c r="B28" s="8" t="s">
        <v>24</v>
      </c>
      <c r="C28" s="8" t="s">
        <v>316</v>
      </c>
      <c r="D28" s="9" t="s">
        <v>195</v>
      </c>
      <c r="E28" s="13">
        <v>9.1999999999999993</v>
      </c>
      <c r="F28" s="11">
        <v>1</v>
      </c>
      <c r="G28" s="12">
        <v>1</v>
      </c>
      <c r="H28" s="13">
        <v>684</v>
      </c>
      <c r="I28" s="13"/>
      <c r="J28" s="14">
        <v>22.5</v>
      </c>
      <c r="K28" s="15"/>
      <c r="L28" s="13">
        <v>3</v>
      </c>
      <c r="M28" s="13">
        <v>28</v>
      </c>
      <c r="N28" s="14">
        <v>17.7</v>
      </c>
      <c r="O28" s="15"/>
    </row>
    <row r="29" spans="1:15" ht="16" x14ac:dyDescent="0.2">
      <c r="A29" s="7">
        <v>28</v>
      </c>
      <c r="B29" s="8" t="s">
        <v>955</v>
      </c>
      <c r="C29" s="8" t="s">
        <v>311</v>
      </c>
      <c r="D29" s="9" t="s">
        <v>197</v>
      </c>
      <c r="E29" s="13">
        <v>34.9</v>
      </c>
      <c r="F29" s="11">
        <v>1</v>
      </c>
      <c r="G29" s="12">
        <v>1</v>
      </c>
      <c r="H29" s="13"/>
      <c r="I29" s="13">
        <v>74</v>
      </c>
      <c r="J29" s="14">
        <v>22.5</v>
      </c>
      <c r="K29" s="15"/>
      <c r="L29" s="13">
        <v>10</v>
      </c>
      <c r="M29" s="13">
        <v>16</v>
      </c>
      <c r="N29" s="14">
        <v>3.6</v>
      </c>
      <c r="O29" s="15"/>
    </row>
    <row r="30" spans="1:15" ht="16" x14ac:dyDescent="0.2">
      <c r="A30" s="7">
        <v>29</v>
      </c>
      <c r="B30" s="8" t="s">
        <v>339</v>
      </c>
      <c r="C30" s="8" t="s">
        <v>323</v>
      </c>
      <c r="D30" s="9" t="s">
        <v>329</v>
      </c>
      <c r="E30" s="13">
        <v>57.6</v>
      </c>
      <c r="F30" s="11">
        <v>1</v>
      </c>
      <c r="G30" s="12">
        <v>1</v>
      </c>
      <c r="H30" s="13">
        <v>619</v>
      </c>
      <c r="I30" s="13"/>
      <c r="J30" s="14">
        <v>22.3</v>
      </c>
      <c r="K30" s="15"/>
      <c r="L30" s="13">
        <v>11</v>
      </c>
      <c r="M30" s="13">
        <v>29</v>
      </c>
      <c r="N30" s="14">
        <v>22.7</v>
      </c>
      <c r="O30" s="15"/>
    </row>
    <row r="31" spans="1:15" ht="16" x14ac:dyDescent="0.2">
      <c r="A31" s="7">
        <v>30</v>
      </c>
      <c r="B31" s="8" t="s">
        <v>27</v>
      </c>
      <c r="C31" s="8" t="s">
        <v>317</v>
      </c>
      <c r="D31" s="9" t="s">
        <v>195</v>
      </c>
      <c r="E31" s="13">
        <v>25.6</v>
      </c>
      <c r="F31" s="11">
        <v>1</v>
      </c>
      <c r="G31" s="12">
        <v>1</v>
      </c>
      <c r="H31" s="13">
        <v>593</v>
      </c>
      <c r="I31" s="13"/>
      <c r="J31" s="14">
        <v>22.3</v>
      </c>
      <c r="K31" s="15"/>
      <c r="L31" s="13">
        <v>0</v>
      </c>
      <c r="M31" s="13">
        <v>29</v>
      </c>
      <c r="N31" s="14">
        <v>13.3</v>
      </c>
      <c r="O31" s="15"/>
    </row>
    <row r="32" spans="1:15" ht="16" x14ac:dyDescent="0.2">
      <c r="A32" s="7">
        <v>31</v>
      </c>
      <c r="B32" s="8" t="s">
        <v>219</v>
      </c>
      <c r="C32" s="8" t="s">
        <v>320</v>
      </c>
      <c r="D32" s="9" t="s">
        <v>309</v>
      </c>
      <c r="E32" s="13">
        <v>102.4</v>
      </c>
      <c r="F32" s="11">
        <v>1</v>
      </c>
      <c r="G32" s="12">
        <v>1</v>
      </c>
      <c r="H32" s="13">
        <v>665</v>
      </c>
      <c r="I32" s="13"/>
      <c r="J32" s="14">
        <v>21.9</v>
      </c>
      <c r="K32" s="15"/>
      <c r="L32" s="13">
        <v>22</v>
      </c>
      <c r="M32" s="13">
        <v>21</v>
      </c>
      <c r="N32" s="14">
        <v>13.9</v>
      </c>
      <c r="O32" s="15"/>
    </row>
    <row r="33" spans="1:15" ht="16" x14ac:dyDescent="0.2">
      <c r="A33" s="7">
        <v>32</v>
      </c>
      <c r="B33" s="8" t="s">
        <v>275</v>
      </c>
      <c r="C33" s="8" t="s">
        <v>319</v>
      </c>
      <c r="D33" s="9" t="s">
        <v>190</v>
      </c>
      <c r="E33" s="13">
        <v>88.4</v>
      </c>
      <c r="F33" s="11">
        <v>1</v>
      </c>
      <c r="G33" s="12">
        <v>1</v>
      </c>
      <c r="H33" s="13">
        <v>628</v>
      </c>
      <c r="I33" s="13"/>
      <c r="J33" s="14">
        <v>21.7</v>
      </c>
      <c r="K33" s="15"/>
      <c r="L33" s="13">
        <v>19</v>
      </c>
      <c r="M33" s="13">
        <v>16</v>
      </c>
      <c r="N33" s="14">
        <v>11.5</v>
      </c>
      <c r="O33" s="15"/>
    </row>
    <row r="34" spans="1:15" ht="16" x14ac:dyDescent="0.2">
      <c r="A34" s="7">
        <v>33</v>
      </c>
      <c r="B34" s="8" t="s">
        <v>956</v>
      </c>
      <c r="C34" s="8" t="s">
        <v>319</v>
      </c>
      <c r="D34" s="9" t="s">
        <v>196</v>
      </c>
      <c r="E34" s="13">
        <v>79</v>
      </c>
      <c r="F34" s="11">
        <v>1</v>
      </c>
      <c r="G34" s="12">
        <v>1</v>
      </c>
      <c r="H34" s="13"/>
      <c r="I34" s="13">
        <v>180</v>
      </c>
      <c r="J34" s="14">
        <v>21.4</v>
      </c>
      <c r="K34" s="15"/>
      <c r="L34" s="13">
        <v>1</v>
      </c>
      <c r="M34" s="13">
        <v>30</v>
      </c>
      <c r="N34" s="14">
        <v>13</v>
      </c>
      <c r="O34" s="15"/>
    </row>
    <row r="35" spans="1:15" ht="16" x14ac:dyDescent="0.2">
      <c r="A35" s="7">
        <v>34</v>
      </c>
      <c r="B35" s="8" t="s">
        <v>957</v>
      </c>
      <c r="C35" s="8" t="s">
        <v>307</v>
      </c>
      <c r="D35" s="9" t="s">
        <v>196</v>
      </c>
      <c r="E35" s="13">
        <v>189</v>
      </c>
      <c r="F35" s="11">
        <v>1</v>
      </c>
      <c r="G35" s="12">
        <v>1</v>
      </c>
      <c r="H35" s="13"/>
      <c r="I35" s="13">
        <v>206.1</v>
      </c>
      <c r="J35" s="14">
        <v>21.3</v>
      </c>
      <c r="K35" s="15"/>
      <c r="L35" s="13">
        <v>31</v>
      </c>
      <c r="M35" s="13">
        <v>20</v>
      </c>
      <c r="N35" s="14">
        <v>13.6</v>
      </c>
      <c r="O35" s="15"/>
    </row>
    <row r="36" spans="1:15" ht="16" x14ac:dyDescent="0.2">
      <c r="A36" s="7">
        <v>35</v>
      </c>
      <c r="B36" s="8" t="s">
        <v>17</v>
      </c>
      <c r="C36" s="8" t="s">
        <v>323</v>
      </c>
      <c r="D36" s="9" t="s">
        <v>192</v>
      </c>
      <c r="E36" s="13">
        <v>59.8</v>
      </c>
      <c r="F36" s="11">
        <v>1</v>
      </c>
      <c r="G36" s="12">
        <v>1</v>
      </c>
      <c r="H36" s="13">
        <v>682</v>
      </c>
      <c r="I36" s="13"/>
      <c r="J36" s="14">
        <v>21.3</v>
      </c>
      <c r="K36" s="15"/>
      <c r="L36" s="13">
        <v>3</v>
      </c>
      <c r="M36" s="13">
        <v>34</v>
      </c>
      <c r="N36" s="14">
        <v>15.4</v>
      </c>
      <c r="O36" s="15"/>
    </row>
    <row r="37" spans="1:15" ht="16" x14ac:dyDescent="0.2">
      <c r="A37" s="7">
        <v>36</v>
      </c>
      <c r="B37" s="8" t="s">
        <v>402</v>
      </c>
      <c r="C37" s="8" t="s">
        <v>331</v>
      </c>
      <c r="D37" s="9" t="s">
        <v>195</v>
      </c>
      <c r="E37" s="13">
        <v>187</v>
      </c>
      <c r="F37" s="11">
        <v>1</v>
      </c>
      <c r="G37" s="12">
        <v>1</v>
      </c>
      <c r="H37" s="13">
        <v>668</v>
      </c>
      <c r="I37" s="13"/>
      <c r="J37" s="14">
        <v>21.1</v>
      </c>
      <c r="K37" s="15"/>
      <c r="L37" s="13">
        <v>14</v>
      </c>
      <c r="M37" s="13">
        <v>9</v>
      </c>
      <c r="N37" s="14">
        <v>-1.7</v>
      </c>
      <c r="O37" s="15"/>
    </row>
    <row r="38" spans="1:15" ht="16" x14ac:dyDescent="0.2">
      <c r="A38" s="7">
        <v>37</v>
      </c>
      <c r="B38" s="8" t="s">
        <v>958</v>
      </c>
      <c r="C38" s="8" t="s">
        <v>316</v>
      </c>
      <c r="D38" s="9" t="s">
        <v>196</v>
      </c>
      <c r="E38" s="13">
        <v>38.9</v>
      </c>
      <c r="F38" s="11">
        <v>1</v>
      </c>
      <c r="G38" s="12">
        <v>1</v>
      </c>
      <c r="H38" s="13"/>
      <c r="I38" s="13">
        <v>194</v>
      </c>
      <c r="J38" s="14">
        <v>20.8</v>
      </c>
      <c r="K38" s="15"/>
      <c r="L38" s="13">
        <v>2</v>
      </c>
      <c r="M38" s="13">
        <v>16</v>
      </c>
      <c r="N38" s="14">
        <v>22.3</v>
      </c>
      <c r="O38" s="15"/>
    </row>
    <row r="39" spans="1:15" ht="16" x14ac:dyDescent="0.2">
      <c r="A39" s="7">
        <v>38</v>
      </c>
      <c r="B39" s="8" t="s">
        <v>13</v>
      </c>
      <c r="C39" s="8" t="s">
        <v>326</v>
      </c>
      <c r="D39" s="9" t="s">
        <v>191</v>
      </c>
      <c r="E39" s="13">
        <v>22.6</v>
      </c>
      <c r="F39" s="11">
        <v>1</v>
      </c>
      <c r="G39" s="12">
        <v>1</v>
      </c>
      <c r="H39" s="13">
        <v>631</v>
      </c>
      <c r="I39" s="13"/>
      <c r="J39" s="14">
        <v>20.399999999999999</v>
      </c>
      <c r="K39" s="15"/>
      <c r="L39" s="13">
        <v>22</v>
      </c>
      <c r="M39" s="13">
        <v>20</v>
      </c>
      <c r="N39" s="14">
        <v>21.3</v>
      </c>
      <c r="O39" s="15"/>
    </row>
    <row r="40" spans="1:15" ht="16" x14ac:dyDescent="0.2">
      <c r="A40" s="7">
        <v>39</v>
      </c>
      <c r="B40" s="8" t="s">
        <v>327</v>
      </c>
      <c r="C40" s="8" t="s">
        <v>308</v>
      </c>
      <c r="D40" s="9" t="s">
        <v>328</v>
      </c>
      <c r="E40" s="13">
        <v>23.4</v>
      </c>
      <c r="F40" s="11">
        <v>1</v>
      </c>
      <c r="G40" s="12">
        <v>1</v>
      </c>
      <c r="H40" s="13">
        <v>621</v>
      </c>
      <c r="I40" s="13"/>
      <c r="J40" s="14">
        <v>20</v>
      </c>
      <c r="K40" s="15"/>
      <c r="L40" s="13">
        <v>12</v>
      </c>
      <c r="M40" s="13">
        <v>33</v>
      </c>
      <c r="N40" s="14">
        <v>24.3</v>
      </c>
      <c r="O40" s="15"/>
    </row>
    <row r="41" spans="1:15" ht="16" x14ac:dyDescent="0.2">
      <c r="A41" s="7">
        <v>40</v>
      </c>
      <c r="B41" s="8" t="s">
        <v>271</v>
      </c>
      <c r="C41" s="8" t="s">
        <v>323</v>
      </c>
      <c r="D41" s="9" t="s">
        <v>196</v>
      </c>
      <c r="E41" s="13">
        <v>61.3</v>
      </c>
      <c r="F41" s="11">
        <v>1</v>
      </c>
      <c r="G41" s="12">
        <v>1</v>
      </c>
      <c r="H41" s="13"/>
      <c r="I41" s="13">
        <v>176</v>
      </c>
      <c r="J41" s="14">
        <v>19.5</v>
      </c>
      <c r="K41" s="15"/>
      <c r="L41" s="13">
        <v>1</v>
      </c>
      <c r="M41" s="13">
        <v>19</v>
      </c>
      <c r="N41" s="14">
        <v>14.9</v>
      </c>
      <c r="O41" s="15"/>
    </row>
    <row r="42" spans="1:15" ht="16" x14ac:dyDescent="0.2">
      <c r="A42" s="7">
        <v>41</v>
      </c>
      <c r="B42" s="8" t="s">
        <v>959</v>
      </c>
      <c r="C42" s="8" t="s">
        <v>317</v>
      </c>
      <c r="D42" s="9" t="s">
        <v>196</v>
      </c>
      <c r="E42" s="13">
        <v>46.3</v>
      </c>
      <c r="F42" s="11">
        <v>1</v>
      </c>
      <c r="G42" s="12">
        <v>1</v>
      </c>
      <c r="H42" s="13"/>
      <c r="I42" s="13">
        <v>189</v>
      </c>
      <c r="J42" s="14">
        <v>19.5</v>
      </c>
      <c r="K42" s="15"/>
      <c r="L42" s="13">
        <v>11</v>
      </c>
      <c r="M42" s="13">
        <v>39</v>
      </c>
      <c r="N42" s="14">
        <v>29.3</v>
      </c>
      <c r="O42" s="15"/>
    </row>
    <row r="43" spans="1:15" ht="16" x14ac:dyDescent="0.2">
      <c r="A43" s="7">
        <v>42</v>
      </c>
      <c r="B43" s="8" t="s">
        <v>399</v>
      </c>
      <c r="C43" s="8" t="s">
        <v>316</v>
      </c>
      <c r="D43" s="9" t="s">
        <v>193</v>
      </c>
      <c r="E43" s="13">
        <v>180.2</v>
      </c>
      <c r="F43" s="11">
        <v>1</v>
      </c>
      <c r="G43" s="12">
        <v>0.99</v>
      </c>
      <c r="H43" s="13">
        <v>640</v>
      </c>
      <c r="I43" s="13"/>
      <c r="J43" s="14">
        <v>19.399999999999999</v>
      </c>
      <c r="K43" s="15"/>
      <c r="L43" s="13">
        <v>18</v>
      </c>
      <c r="M43" s="13">
        <v>22</v>
      </c>
      <c r="N43" s="14">
        <v>10</v>
      </c>
      <c r="O43" s="15"/>
    </row>
    <row r="44" spans="1:15" ht="16" x14ac:dyDescent="0.2">
      <c r="A44" s="7">
        <v>43</v>
      </c>
      <c r="B44" s="8" t="s">
        <v>227</v>
      </c>
      <c r="C44" s="8" t="s">
        <v>349</v>
      </c>
      <c r="D44" s="9" t="s">
        <v>195</v>
      </c>
      <c r="E44" s="13">
        <v>76.599999999999994</v>
      </c>
      <c r="F44" s="11">
        <v>1</v>
      </c>
      <c r="G44" s="12">
        <v>1</v>
      </c>
      <c r="H44" s="13">
        <v>603</v>
      </c>
      <c r="I44" s="13"/>
      <c r="J44" s="14">
        <v>19</v>
      </c>
      <c r="K44" s="15"/>
      <c r="L44" s="13">
        <v>8</v>
      </c>
      <c r="M44" s="13">
        <v>10</v>
      </c>
      <c r="N44" s="14">
        <v>-1.5</v>
      </c>
      <c r="O44" s="15"/>
    </row>
    <row r="45" spans="1:15" ht="16" x14ac:dyDescent="0.2">
      <c r="A45" s="7">
        <v>44</v>
      </c>
      <c r="B45" s="8" t="s">
        <v>209</v>
      </c>
      <c r="C45" s="8" t="s">
        <v>322</v>
      </c>
      <c r="D45" s="9" t="s">
        <v>195</v>
      </c>
      <c r="E45" s="13">
        <v>16.600000000000001</v>
      </c>
      <c r="F45" s="11">
        <v>1</v>
      </c>
      <c r="G45" s="12">
        <v>1</v>
      </c>
      <c r="H45" s="13">
        <v>573</v>
      </c>
      <c r="I45" s="13"/>
      <c r="J45" s="14">
        <v>18.899999999999999</v>
      </c>
      <c r="K45" s="15"/>
      <c r="L45" s="13">
        <v>1</v>
      </c>
      <c r="M45" s="13">
        <v>39</v>
      </c>
      <c r="N45" s="14">
        <v>29.6</v>
      </c>
      <c r="O45" s="15"/>
    </row>
    <row r="46" spans="1:15" ht="16" x14ac:dyDescent="0.2">
      <c r="A46" s="7">
        <v>45</v>
      </c>
      <c r="B46" s="8" t="s">
        <v>264</v>
      </c>
      <c r="C46" s="8" t="s">
        <v>323</v>
      </c>
      <c r="D46" s="9" t="s">
        <v>196</v>
      </c>
      <c r="E46" s="13">
        <v>246.3</v>
      </c>
      <c r="F46" s="11">
        <v>1</v>
      </c>
      <c r="G46" s="12">
        <v>0.96</v>
      </c>
      <c r="H46" s="13"/>
      <c r="I46" s="13">
        <v>167</v>
      </c>
      <c r="J46" s="14">
        <v>18.8</v>
      </c>
      <c r="K46" s="15"/>
      <c r="L46" s="13">
        <v>0</v>
      </c>
      <c r="M46" s="13">
        <v>27</v>
      </c>
      <c r="N46" s="14">
        <v>22.9</v>
      </c>
      <c r="O46" s="15"/>
    </row>
    <row r="47" spans="1:15" ht="16" x14ac:dyDescent="0.2">
      <c r="A47" s="7">
        <v>46</v>
      </c>
      <c r="B47" s="8" t="s">
        <v>960</v>
      </c>
      <c r="C47" s="8" t="s">
        <v>362</v>
      </c>
      <c r="D47" s="9" t="s">
        <v>196</v>
      </c>
      <c r="E47" s="13">
        <v>136.80000000000001</v>
      </c>
      <c r="F47" s="11">
        <v>1</v>
      </c>
      <c r="G47" s="12">
        <v>1</v>
      </c>
      <c r="H47" s="13"/>
      <c r="I47" s="13">
        <v>162</v>
      </c>
      <c r="J47" s="14">
        <v>18.8</v>
      </c>
      <c r="K47" s="15"/>
      <c r="L47" s="13">
        <v>2</v>
      </c>
      <c r="M47" s="13">
        <v>6</v>
      </c>
      <c r="N47" s="14">
        <v>-15.4</v>
      </c>
      <c r="O47" s="15"/>
    </row>
    <row r="48" spans="1:15" ht="16" x14ac:dyDescent="0.2">
      <c r="A48" s="7">
        <v>47</v>
      </c>
      <c r="B48" s="8" t="s">
        <v>330</v>
      </c>
      <c r="C48" s="8" t="s">
        <v>326</v>
      </c>
      <c r="D48" s="9" t="s">
        <v>194</v>
      </c>
      <c r="E48" s="13">
        <v>25.7</v>
      </c>
      <c r="F48" s="11">
        <v>1</v>
      </c>
      <c r="G48" s="12">
        <v>1</v>
      </c>
      <c r="H48" s="13">
        <v>539</v>
      </c>
      <c r="I48" s="13"/>
      <c r="J48" s="14">
        <v>18.2</v>
      </c>
      <c r="K48" s="15"/>
      <c r="L48" s="13">
        <v>4</v>
      </c>
      <c r="M48" s="13">
        <v>15</v>
      </c>
      <c r="N48" s="14">
        <v>5.3</v>
      </c>
      <c r="O48" s="15"/>
    </row>
    <row r="49" spans="1:15" ht="16" x14ac:dyDescent="0.2">
      <c r="A49" s="7">
        <v>48</v>
      </c>
      <c r="B49" s="8" t="s">
        <v>202</v>
      </c>
      <c r="C49" s="8" t="s">
        <v>354</v>
      </c>
      <c r="D49" s="9" t="s">
        <v>193</v>
      </c>
      <c r="E49" s="13">
        <v>130.19999999999999</v>
      </c>
      <c r="F49" s="11">
        <v>1</v>
      </c>
      <c r="G49" s="12">
        <v>1</v>
      </c>
      <c r="H49" s="13">
        <v>647</v>
      </c>
      <c r="I49" s="13"/>
      <c r="J49" s="14">
        <v>18</v>
      </c>
      <c r="K49" s="15"/>
      <c r="L49" s="13">
        <v>30</v>
      </c>
      <c r="M49" s="13">
        <v>23</v>
      </c>
      <c r="N49" s="14">
        <v>19</v>
      </c>
      <c r="O49" s="15"/>
    </row>
    <row r="50" spans="1:15" ht="16" x14ac:dyDescent="0.2">
      <c r="A50" s="7">
        <v>49</v>
      </c>
      <c r="B50" s="8" t="s">
        <v>360</v>
      </c>
      <c r="C50" s="8" t="s">
        <v>316</v>
      </c>
      <c r="D50" s="9" t="s">
        <v>191</v>
      </c>
      <c r="E50" s="13">
        <v>106.6</v>
      </c>
      <c r="F50" s="11">
        <v>1</v>
      </c>
      <c r="G50" s="12">
        <v>1</v>
      </c>
      <c r="H50" s="13">
        <v>633</v>
      </c>
      <c r="I50" s="13"/>
      <c r="J50" s="14">
        <v>17.899999999999999</v>
      </c>
      <c r="K50" s="15"/>
      <c r="L50" s="13">
        <v>5</v>
      </c>
      <c r="M50" s="13">
        <v>38</v>
      </c>
      <c r="N50" s="14">
        <v>24.5</v>
      </c>
      <c r="O50" s="15"/>
    </row>
    <row r="51" spans="1:15" ht="16" x14ac:dyDescent="0.2">
      <c r="A51" s="7">
        <v>50</v>
      </c>
      <c r="B51" s="8" t="s">
        <v>199</v>
      </c>
      <c r="C51" s="8" t="s">
        <v>325</v>
      </c>
      <c r="D51" s="9" t="s">
        <v>193</v>
      </c>
      <c r="E51" s="13">
        <v>34.799999999999997</v>
      </c>
      <c r="F51" s="11">
        <v>1</v>
      </c>
      <c r="G51" s="12">
        <v>0.99</v>
      </c>
      <c r="H51" s="13">
        <v>601</v>
      </c>
      <c r="I51" s="13"/>
      <c r="J51" s="14">
        <v>17.7</v>
      </c>
      <c r="K51" s="15"/>
      <c r="L51" s="13">
        <v>23</v>
      </c>
      <c r="M51" s="13">
        <v>14</v>
      </c>
      <c r="N51" s="14">
        <v>-1.7</v>
      </c>
      <c r="O51" s="15"/>
    </row>
    <row r="52" spans="1:15" ht="16" x14ac:dyDescent="0.2">
      <c r="A52" s="7">
        <v>51</v>
      </c>
      <c r="B52" s="8" t="s">
        <v>355</v>
      </c>
      <c r="C52" s="8" t="s">
        <v>334</v>
      </c>
      <c r="D52" s="9" t="s">
        <v>309</v>
      </c>
      <c r="E52" s="13">
        <v>97.9</v>
      </c>
      <c r="F52" s="11">
        <v>1</v>
      </c>
      <c r="G52" s="12">
        <v>1</v>
      </c>
      <c r="H52" s="13">
        <v>692</v>
      </c>
      <c r="I52" s="13"/>
      <c r="J52" s="14">
        <v>17.5</v>
      </c>
      <c r="K52" s="15"/>
      <c r="L52" s="13">
        <v>16</v>
      </c>
      <c r="M52" s="13">
        <v>21</v>
      </c>
      <c r="N52" s="14">
        <v>16.399999999999999</v>
      </c>
      <c r="O52" s="15"/>
    </row>
    <row r="53" spans="1:15" ht="16" x14ac:dyDescent="0.2">
      <c r="A53" s="7">
        <v>52</v>
      </c>
      <c r="B53" s="8" t="s">
        <v>961</v>
      </c>
      <c r="C53" s="8" t="s">
        <v>310</v>
      </c>
      <c r="D53" s="9" t="s">
        <v>196</v>
      </c>
      <c r="E53" s="13">
        <v>95.8</v>
      </c>
      <c r="F53" s="11">
        <v>1</v>
      </c>
      <c r="G53" s="12">
        <v>1</v>
      </c>
      <c r="H53" s="13"/>
      <c r="I53" s="13">
        <v>150</v>
      </c>
      <c r="J53" s="14">
        <v>17.5</v>
      </c>
      <c r="K53" s="15"/>
      <c r="L53" s="13">
        <v>6</v>
      </c>
      <c r="M53" s="13">
        <v>34</v>
      </c>
      <c r="N53" s="14">
        <v>21.7</v>
      </c>
      <c r="O53" s="15"/>
    </row>
    <row r="54" spans="1:15" ht="16" x14ac:dyDescent="0.2">
      <c r="A54" s="7">
        <v>53</v>
      </c>
      <c r="B54" s="8" t="s">
        <v>14</v>
      </c>
      <c r="C54" s="8" t="s">
        <v>305</v>
      </c>
      <c r="D54" s="9" t="s">
        <v>191</v>
      </c>
      <c r="E54" s="13">
        <v>25.6</v>
      </c>
      <c r="F54" s="11">
        <v>1</v>
      </c>
      <c r="G54" s="12">
        <v>1</v>
      </c>
      <c r="H54" s="13">
        <v>638</v>
      </c>
      <c r="I54" s="13"/>
      <c r="J54" s="14">
        <v>17.2</v>
      </c>
      <c r="K54" s="15"/>
      <c r="L54" s="13">
        <v>6</v>
      </c>
      <c r="M54" s="13">
        <v>18</v>
      </c>
      <c r="N54" s="14">
        <v>4.7</v>
      </c>
      <c r="O54" s="15"/>
    </row>
    <row r="55" spans="1:15" ht="16" x14ac:dyDescent="0.2">
      <c r="A55" s="7">
        <v>54</v>
      </c>
      <c r="B55" s="8" t="s">
        <v>962</v>
      </c>
      <c r="C55" s="8" t="s">
        <v>362</v>
      </c>
      <c r="D55" s="9" t="s">
        <v>196</v>
      </c>
      <c r="E55" s="13">
        <v>460.3</v>
      </c>
      <c r="F55" s="11">
        <v>1</v>
      </c>
      <c r="G55" s="12">
        <v>7.0000000000000007E-2</v>
      </c>
      <c r="H55" s="13"/>
      <c r="I55" s="13">
        <v>94</v>
      </c>
      <c r="J55" s="14">
        <v>16.8</v>
      </c>
      <c r="K55" s="15"/>
      <c r="L55" s="13">
        <v>21</v>
      </c>
      <c r="M55" s="13">
        <v>32</v>
      </c>
      <c r="N55" s="14">
        <v>25.8</v>
      </c>
      <c r="O55" s="15"/>
    </row>
    <row r="56" spans="1:15" ht="16" x14ac:dyDescent="0.2">
      <c r="A56" s="7">
        <v>55</v>
      </c>
      <c r="B56" s="8" t="s">
        <v>210</v>
      </c>
      <c r="C56" s="8" t="s">
        <v>319</v>
      </c>
      <c r="D56" s="9" t="s">
        <v>195</v>
      </c>
      <c r="E56" s="13">
        <v>13.7</v>
      </c>
      <c r="F56" s="11">
        <v>1</v>
      </c>
      <c r="G56" s="12">
        <v>1</v>
      </c>
      <c r="H56" s="13">
        <v>613</v>
      </c>
      <c r="I56" s="13"/>
      <c r="J56" s="14">
        <v>16.5</v>
      </c>
      <c r="K56" s="15"/>
      <c r="L56" s="13">
        <v>2</v>
      </c>
      <c r="M56" s="13">
        <v>26</v>
      </c>
      <c r="N56" s="14">
        <v>10.3</v>
      </c>
      <c r="O56" s="15"/>
    </row>
    <row r="57" spans="1:15" ht="16" x14ac:dyDescent="0.2">
      <c r="A57" s="7">
        <v>56</v>
      </c>
      <c r="B57" s="8" t="s">
        <v>963</v>
      </c>
      <c r="C57" s="8" t="s">
        <v>331</v>
      </c>
      <c r="D57" s="9" t="s">
        <v>196</v>
      </c>
      <c r="E57" s="13">
        <v>165.5</v>
      </c>
      <c r="F57" s="11">
        <v>1</v>
      </c>
      <c r="G57" s="12">
        <v>1</v>
      </c>
      <c r="H57" s="13"/>
      <c r="I57" s="13">
        <v>135.1</v>
      </c>
      <c r="J57" s="14">
        <v>16.5</v>
      </c>
      <c r="K57" s="15"/>
      <c r="L57" s="13">
        <v>10</v>
      </c>
      <c r="M57" s="13">
        <v>24</v>
      </c>
      <c r="N57" s="14">
        <v>17.5</v>
      </c>
      <c r="O57" s="15"/>
    </row>
    <row r="58" spans="1:15" ht="16" x14ac:dyDescent="0.2">
      <c r="A58" s="7">
        <v>57</v>
      </c>
      <c r="B58" s="8" t="s">
        <v>964</v>
      </c>
      <c r="C58" s="8" t="s">
        <v>307</v>
      </c>
      <c r="D58" s="9" t="s">
        <v>196</v>
      </c>
      <c r="E58" s="13">
        <v>49.5</v>
      </c>
      <c r="F58" s="11">
        <v>1</v>
      </c>
      <c r="G58" s="12">
        <v>1</v>
      </c>
      <c r="H58" s="13"/>
      <c r="I58" s="13">
        <v>186</v>
      </c>
      <c r="J58" s="14">
        <v>16.5</v>
      </c>
      <c r="K58" s="15"/>
      <c r="L58" s="13">
        <v>0</v>
      </c>
      <c r="M58" s="13">
        <v>27</v>
      </c>
      <c r="N58" s="14">
        <v>8.6999999999999993</v>
      </c>
      <c r="O58" s="15"/>
    </row>
    <row r="59" spans="1:15" ht="16" x14ac:dyDescent="0.2">
      <c r="A59" s="7">
        <v>58</v>
      </c>
      <c r="B59" s="8" t="s">
        <v>965</v>
      </c>
      <c r="C59" s="8" t="s">
        <v>317</v>
      </c>
      <c r="D59" s="9" t="s">
        <v>196</v>
      </c>
      <c r="E59" s="13">
        <v>62.8</v>
      </c>
      <c r="F59" s="11">
        <v>1</v>
      </c>
      <c r="G59" s="12">
        <v>1</v>
      </c>
      <c r="H59" s="13"/>
      <c r="I59" s="13">
        <v>173.1</v>
      </c>
      <c r="J59" s="14">
        <v>16.399999999999999</v>
      </c>
      <c r="K59" s="15"/>
      <c r="L59" s="13">
        <v>8</v>
      </c>
      <c r="M59" s="13">
        <v>23</v>
      </c>
      <c r="N59" s="14">
        <v>12.1</v>
      </c>
      <c r="O59" s="15"/>
    </row>
    <row r="60" spans="1:15" ht="16" x14ac:dyDescent="0.2">
      <c r="A60" s="7">
        <v>59</v>
      </c>
      <c r="B60" s="8" t="s">
        <v>351</v>
      </c>
      <c r="C60" s="8" t="s">
        <v>315</v>
      </c>
      <c r="D60" s="9" t="s">
        <v>309</v>
      </c>
      <c r="E60" s="13">
        <v>85.6</v>
      </c>
      <c r="F60" s="11">
        <v>1</v>
      </c>
      <c r="G60" s="12">
        <v>1</v>
      </c>
      <c r="H60" s="13">
        <v>585</v>
      </c>
      <c r="I60" s="13"/>
      <c r="J60" s="14">
        <v>16.399999999999999</v>
      </c>
      <c r="K60" s="15"/>
      <c r="L60" s="13">
        <v>2</v>
      </c>
      <c r="M60" s="13">
        <v>44</v>
      </c>
      <c r="N60" s="14">
        <v>21.9</v>
      </c>
      <c r="O60" s="15"/>
    </row>
    <row r="61" spans="1:15" ht="16" x14ac:dyDescent="0.2">
      <c r="A61" s="7">
        <v>60</v>
      </c>
      <c r="B61" s="8" t="s">
        <v>376</v>
      </c>
      <c r="C61" s="8" t="s">
        <v>315</v>
      </c>
      <c r="D61" s="9" t="s">
        <v>195</v>
      </c>
      <c r="E61" s="13">
        <v>134.5</v>
      </c>
      <c r="F61" s="11">
        <v>1</v>
      </c>
      <c r="G61" s="12">
        <v>1</v>
      </c>
      <c r="H61" s="13">
        <v>657</v>
      </c>
      <c r="I61" s="13"/>
      <c r="J61" s="14">
        <v>16.2</v>
      </c>
      <c r="K61" s="15"/>
      <c r="L61" s="13">
        <v>1</v>
      </c>
      <c r="M61" s="13">
        <v>20</v>
      </c>
      <c r="N61" s="14">
        <v>16</v>
      </c>
      <c r="O61" s="15"/>
    </row>
    <row r="62" spans="1:15" ht="16" x14ac:dyDescent="0.2">
      <c r="A62" s="7">
        <v>61</v>
      </c>
      <c r="B62" s="8" t="s">
        <v>269</v>
      </c>
      <c r="C62" s="8" t="s">
        <v>319</v>
      </c>
      <c r="D62" s="9" t="s">
        <v>196</v>
      </c>
      <c r="E62" s="13">
        <v>45.8</v>
      </c>
      <c r="F62" s="11">
        <v>1</v>
      </c>
      <c r="G62" s="12">
        <v>1</v>
      </c>
      <c r="H62" s="13"/>
      <c r="I62" s="13">
        <v>191</v>
      </c>
      <c r="J62" s="14">
        <v>16.100000000000001</v>
      </c>
      <c r="K62" s="15"/>
      <c r="L62" s="13">
        <v>9</v>
      </c>
      <c r="M62" s="13">
        <v>18</v>
      </c>
      <c r="N62" s="14">
        <v>11.6</v>
      </c>
      <c r="O62" s="15"/>
    </row>
    <row r="63" spans="1:15" ht="16" x14ac:dyDescent="0.2">
      <c r="A63" s="7">
        <v>62</v>
      </c>
      <c r="B63" s="8" t="s">
        <v>966</v>
      </c>
      <c r="C63" s="8" t="s">
        <v>305</v>
      </c>
      <c r="D63" s="9" t="s">
        <v>197</v>
      </c>
      <c r="E63" s="13">
        <v>177.3</v>
      </c>
      <c r="F63" s="11">
        <v>1</v>
      </c>
      <c r="G63" s="12">
        <v>0.98</v>
      </c>
      <c r="H63" s="13"/>
      <c r="I63" s="13">
        <v>61.1</v>
      </c>
      <c r="J63" s="14">
        <v>16.100000000000001</v>
      </c>
      <c r="K63" s="15"/>
      <c r="L63" s="13">
        <v>6</v>
      </c>
      <c r="M63" s="13">
        <v>31</v>
      </c>
      <c r="N63" s="14">
        <v>17.899999999999999</v>
      </c>
      <c r="O63" s="15"/>
    </row>
    <row r="64" spans="1:15" ht="16" x14ac:dyDescent="0.2">
      <c r="A64" s="7">
        <v>63</v>
      </c>
      <c r="B64" s="8" t="s">
        <v>357</v>
      </c>
      <c r="C64" s="8" t="s">
        <v>305</v>
      </c>
      <c r="D64" s="9" t="s">
        <v>190</v>
      </c>
      <c r="E64" s="13">
        <v>103.4</v>
      </c>
      <c r="F64" s="11">
        <v>1</v>
      </c>
      <c r="G64" s="12">
        <v>1</v>
      </c>
      <c r="H64" s="13">
        <v>544</v>
      </c>
      <c r="I64" s="13"/>
      <c r="J64" s="14">
        <v>16</v>
      </c>
      <c r="K64" s="15"/>
      <c r="L64" s="13">
        <v>4</v>
      </c>
      <c r="M64" s="13">
        <v>24</v>
      </c>
      <c r="N64" s="14">
        <v>13.1</v>
      </c>
      <c r="O64" s="15"/>
    </row>
    <row r="65" spans="1:15" ht="16" x14ac:dyDescent="0.2">
      <c r="A65" s="7">
        <v>64</v>
      </c>
      <c r="B65" s="8" t="s">
        <v>235</v>
      </c>
      <c r="C65" s="8" t="s">
        <v>314</v>
      </c>
      <c r="D65" s="9" t="s">
        <v>191</v>
      </c>
      <c r="E65" s="13">
        <v>52.4</v>
      </c>
      <c r="F65" s="11">
        <v>1</v>
      </c>
      <c r="G65" s="12">
        <v>1</v>
      </c>
      <c r="H65" s="13">
        <v>695</v>
      </c>
      <c r="I65" s="13"/>
      <c r="J65" s="14">
        <v>15.4</v>
      </c>
      <c r="K65" s="15"/>
      <c r="L65" s="13">
        <v>1</v>
      </c>
      <c r="M65" s="13">
        <v>19</v>
      </c>
      <c r="N65" s="14">
        <v>9.6</v>
      </c>
      <c r="O65" s="15"/>
    </row>
    <row r="66" spans="1:15" ht="16" x14ac:dyDescent="0.2">
      <c r="A66" s="7">
        <v>65</v>
      </c>
      <c r="B66" s="8" t="s">
        <v>20</v>
      </c>
      <c r="C66" s="8" t="s">
        <v>305</v>
      </c>
      <c r="D66" s="9" t="s">
        <v>318</v>
      </c>
      <c r="E66" s="13">
        <v>12.7</v>
      </c>
      <c r="F66" s="11">
        <v>1</v>
      </c>
      <c r="G66" s="12">
        <v>1</v>
      </c>
      <c r="H66" s="13">
        <v>516</v>
      </c>
      <c r="I66" s="13"/>
      <c r="J66" s="14">
        <v>15.4</v>
      </c>
      <c r="K66" s="15"/>
      <c r="L66" s="13">
        <v>1</v>
      </c>
      <c r="M66" s="13">
        <v>29</v>
      </c>
      <c r="N66" s="14">
        <v>10.3</v>
      </c>
      <c r="O66" s="15"/>
    </row>
    <row r="67" spans="1:15" ht="16" x14ac:dyDescent="0.2">
      <c r="A67" s="7">
        <v>66</v>
      </c>
      <c r="B67" s="8" t="s">
        <v>232</v>
      </c>
      <c r="C67" s="8" t="s">
        <v>349</v>
      </c>
      <c r="D67" s="9" t="s">
        <v>194</v>
      </c>
      <c r="E67" s="13">
        <v>127.6</v>
      </c>
      <c r="F67" s="11">
        <v>1</v>
      </c>
      <c r="G67" s="12">
        <v>0.99</v>
      </c>
      <c r="H67" s="13">
        <v>695</v>
      </c>
      <c r="I67" s="13"/>
      <c r="J67" s="14">
        <v>15.4</v>
      </c>
      <c r="K67" s="15"/>
      <c r="L67" s="13">
        <v>21</v>
      </c>
      <c r="M67" s="13">
        <v>11</v>
      </c>
      <c r="N67" s="14">
        <v>4.5999999999999996</v>
      </c>
      <c r="O67" s="15"/>
    </row>
    <row r="68" spans="1:15" ht="16" x14ac:dyDescent="0.2">
      <c r="A68" s="7">
        <v>67</v>
      </c>
      <c r="B68" s="8" t="s">
        <v>967</v>
      </c>
      <c r="C68" s="8" t="s">
        <v>348</v>
      </c>
      <c r="D68" s="9" t="s">
        <v>197</v>
      </c>
      <c r="E68" s="13">
        <v>50.7</v>
      </c>
      <c r="F68" s="11">
        <v>1</v>
      </c>
      <c r="G68" s="12">
        <v>1</v>
      </c>
      <c r="H68" s="13"/>
      <c r="I68" s="13">
        <v>66</v>
      </c>
      <c r="J68" s="14">
        <v>15.4</v>
      </c>
      <c r="K68" s="15"/>
      <c r="L68" s="13">
        <v>4</v>
      </c>
      <c r="M68" s="13">
        <v>29</v>
      </c>
      <c r="N68" s="14">
        <v>14.7</v>
      </c>
      <c r="O68" s="15"/>
    </row>
    <row r="69" spans="1:15" ht="16" x14ac:dyDescent="0.2">
      <c r="A69" s="7">
        <v>68</v>
      </c>
      <c r="B69" s="8" t="s">
        <v>411</v>
      </c>
      <c r="C69" s="8" t="s">
        <v>367</v>
      </c>
      <c r="D69" s="9" t="s">
        <v>194</v>
      </c>
      <c r="E69" s="13">
        <v>198.5</v>
      </c>
      <c r="F69" s="11">
        <v>1</v>
      </c>
      <c r="G69" s="12">
        <v>0.61</v>
      </c>
      <c r="H69" s="13">
        <v>602</v>
      </c>
      <c r="I69" s="13"/>
      <c r="J69" s="14">
        <v>15.3</v>
      </c>
      <c r="K69" s="15"/>
      <c r="L69" s="13">
        <v>6</v>
      </c>
      <c r="M69" s="13">
        <v>10</v>
      </c>
      <c r="N69" s="14">
        <v>-13.6</v>
      </c>
      <c r="O69" s="15"/>
    </row>
    <row r="70" spans="1:15" ht="16" x14ac:dyDescent="0.2">
      <c r="A70" s="7">
        <v>69</v>
      </c>
      <c r="B70" s="8" t="s">
        <v>341</v>
      </c>
      <c r="C70" s="8" t="s">
        <v>313</v>
      </c>
      <c r="D70" s="9" t="s">
        <v>329</v>
      </c>
      <c r="E70" s="13">
        <v>65.099999999999994</v>
      </c>
      <c r="F70" s="11">
        <v>1</v>
      </c>
      <c r="G70" s="12">
        <v>1</v>
      </c>
      <c r="H70" s="13">
        <v>638</v>
      </c>
      <c r="I70" s="13"/>
      <c r="J70" s="14">
        <v>14.9</v>
      </c>
      <c r="K70" s="15"/>
      <c r="L70" s="13">
        <v>0</v>
      </c>
      <c r="M70" s="13">
        <v>13</v>
      </c>
      <c r="N70" s="14">
        <v>-10.8</v>
      </c>
      <c r="O70" s="15"/>
    </row>
    <row r="71" spans="1:15" ht="16" x14ac:dyDescent="0.2">
      <c r="A71" s="7">
        <v>70</v>
      </c>
      <c r="B71" s="8" t="s">
        <v>252</v>
      </c>
      <c r="C71" s="8" t="s">
        <v>305</v>
      </c>
      <c r="D71" s="9" t="s">
        <v>196</v>
      </c>
      <c r="E71" s="13">
        <v>98.4</v>
      </c>
      <c r="F71" s="11">
        <v>1</v>
      </c>
      <c r="G71" s="12">
        <v>0.99</v>
      </c>
      <c r="H71" s="13"/>
      <c r="I71" s="13">
        <v>134</v>
      </c>
      <c r="J71" s="14">
        <v>14.8</v>
      </c>
      <c r="K71" s="15"/>
      <c r="L71" s="13">
        <v>5</v>
      </c>
      <c r="M71" s="13">
        <v>4</v>
      </c>
      <c r="N71" s="14">
        <v>-13.9</v>
      </c>
      <c r="O71" s="15"/>
    </row>
    <row r="72" spans="1:15" ht="16" x14ac:dyDescent="0.2">
      <c r="A72" s="7">
        <v>71</v>
      </c>
      <c r="B72" s="8" t="s">
        <v>366</v>
      </c>
      <c r="C72" s="8" t="s">
        <v>342</v>
      </c>
      <c r="D72" s="9" t="s">
        <v>190</v>
      </c>
      <c r="E72" s="13">
        <v>124.4</v>
      </c>
      <c r="F72" s="11">
        <v>1</v>
      </c>
      <c r="G72" s="12">
        <v>1</v>
      </c>
      <c r="H72" s="13">
        <v>534</v>
      </c>
      <c r="I72" s="13"/>
      <c r="J72" s="14">
        <v>14.7</v>
      </c>
      <c r="K72" s="15"/>
      <c r="L72" s="13">
        <v>6</v>
      </c>
      <c r="M72" s="13">
        <v>26</v>
      </c>
      <c r="N72" s="14">
        <v>15.4</v>
      </c>
      <c r="O72" s="15"/>
    </row>
    <row r="73" spans="1:15" ht="16" x14ac:dyDescent="0.2">
      <c r="A73" s="7">
        <v>72</v>
      </c>
      <c r="B73" s="8" t="s">
        <v>968</v>
      </c>
      <c r="C73" s="8" t="s">
        <v>331</v>
      </c>
      <c r="D73" s="9" t="s">
        <v>197</v>
      </c>
      <c r="E73" s="13">
        <v>50.9</v>
      </c>
      <c r="F73" s="11">
        <v>1</v>
      </c>
      <c r="G73" s="12">
        <v>1</v>
      </c>
      <c r="H73" s="13"/>
      <c r="I73" s="13">
        <v>69</v>
      </c>
      <c r="J73" s="14">
        <v>14.6</v>
      </c>
      <c r="K73" s="15"/>
      <c r="L73" s="13">
        <v>0</v>
      </c>
      <c r="M73" s="13">
        <v>16</v>
      </c>
      <c r="N73" s="14">
        <v>-4.9000000000000004</v>
      </c>
      <c r="O73" s="15"/>
    </row>
    <row r="74" spans="1:15" ht="16" x14ac:dyDescent="0.2">
      <c r="A74" s="7">
        <v>73</v>
      </c>
      <c r="B74" s="8" t="s">
        <v>969</v>
      </c>
      <c r="C74" s="8" t="s">
        <v>314</v>
      </c>
      <c r="D74" s="9" t="s">
        <v>196</v>
      </c>
      <c r="E74" s="13">
        <v>193</v>
      </c>
      <c r="F74" s="11">
        <v>1</v>
      </c>
      <c r="G74" s="12">
        <v>0.71</v>
      </c>
      <c r="H74" s="13"/>
      <c r="I74" s="13">
        <v>181.1</v>
      </c>
      <c r="J74" s="14">
        <v>14.5</v>
      </c>
      <c r="K74" s="15"/>
      <c r="L74" s="13">
        <v>15</v>
      </c>
      <c r="M74" s="13">
        <v>27</v>
      </c>
      <c r="N74" s="14">
        <v>18</v>
      </c>
      <c r="O74" s="15"/>
    </row>
    <row r="75" spans="1:15" ht="16" x14ac:dyDescent="0.2">
      <c r="A75" s="7">
        <v>74</v>
      </c>
      <c r="B75" s="8" t="s">
        <v>279</v>
      </c>
      <c r="C75" s="8" t="s">
        <v>319</v>
      </c>
      <c r="D75" s="9" t="s">
        <v>196</v>
      </c>
      <c r="E75" s="13">
        <v>133.30000000000001</v>
      </c>
      <c r="F75" s="11">
        <v>1</v>
      </c>
      <c r="G75" s="12">
        <v>0.98</v>
      </c>
      <c r="H75" s="13"/>
      <c r="I75" s="13">
        <v>121</v>
      </c>
      <c r="J75" s="14">
        <v>14.3</v>
      </c>
      <c r="K75" s="15"/>
      <c r="L75" s="13">
        <v>22</v>
      </c>
      <c r="M75" s="13">
        <v>18</v>
      </c>
      <c r="N75" s="14">
        <v>12.5</v>
      </c>
      <c r="O75" s="15"/>
    </row>
    <row r="76" spans="1:15" ht="16" x14ac:dyDescent="0.2">
      <c r="A76" s="7">
        <v>75</v>
      </c>
      <c r="B76" s="8" t="s">
        <v>274</v>
      </c>
      <c r="C76" s="8" t="s">
        <v>371</v>
      </c>
      <c r="D76" s="9" t="s">
        <v>196</v>
      </c>
      <c r="E76" s="13">
        <v>81.2</v>
      </c>
      <c r="F76" s="11">
        <v>1</v>
      </c>
      <c r="G76" s="12">
        <v>1</v>
      </c>
      <c r="H76" s="13"/>
      <c r="I76" s="13">
        <v>178.1</v>
      </c>
      <c r="J76" s="14">
        <v>14.2</v>
      </c>
      <c r="K76" s="15"/>
      <c r="L76" s="13">
        <v>12</v>
      </c>
      <c r="M76" s="13">
        <v>3</v>
      </c>
      <c r="N76" s="14">
        <v>-16.600000000000001</v>
      </c>
      <c r="O76" s="15"/>
    </row>
    <row r="77" spans="1:15" ht="16" x14ac:dyDescent="0.2">
      <c r="A77" s="7">
        <v>76</v>
      </c>
      <c r="B77" s="8" t="s">
        <v>254</v>
      </c>
      <c r="C77" s="8" t="s">
        <v>348</v>
      </c>
      <c r="D77" s="9" t="s">
        <v>196</v>
      </c>
      <c r="E77" s="13">
        <v>109.9</v>
      </c>
      <c r="F77" s="11">
        <v>1</v>
      </c>
      <c r="G77" s="12">
        <v>1</v>
      </c>
      <c r="H77" s="13"/>
      <c r="I77" s="13">
        <v>166</v>
      </c>
      <c r="J77" s="14">
        <v>14.1</v>
      </c>
      <c r="K77" s="15"/>
      <c r="L77" s="13">
        <v>25</v>
      </c>
      <c r="M77" s="13">
        <v>20</v>
      </c>
      <c r="N77" s="14">
        <v>13.3</v>
      </c>
      <c r="O77" s="15"/>
    </row>
    <row r="78" spans="1:15" ht="16" x14ac:dyDescent="0.2">
      <c r="A78" s="7">
        <v>77</v>
      </c>
      <c r="B78" s="8" t="s">
        <v>389</v>
      </c>
      <c r="C78" s="8" t="s">
        <v>310</v>
      </c>
      <c r="D78" s="9" t="s">
        <v>190</v>
      </c>
      <c r="E78" s="13">
        <v>156</v>
      </c>
      <c r="F78" s="11">
        <v>1</v>
      </c>
      <c r="G78" s="12">
        <v>1</v>
      </c>
      <c r="H78" s="13">
        <v>515</v>
      </c>
      <c r="I78" s="13"/>
      <c r="J78" s="14">
        <v>14.1</v>
      </c>
      <c r="K78" s="15"/>
      <c r="L78" s="13">
        <v>3</v>
      </c>
      <c r="M78" s="13">
        <v>26</v>
      </c>
      <c r="N78" s="14">
        <v>12.7</v>
      </c>
      <c r="O78" s="15"/>
    </row>
    <row r="79" spans="1:15" ht="16" x14ac:dyDescent="0.2">
      <c r="A79" s="7">
        <v>78</v>
      </c>
      <c r="B79" s="8" t="s">
        <v>217</v>
      </c>
      <c r="C79" s="8" t="s">
        <v>334</v>
      </c>
      <c r="D79" s="9" t="s">
        <v>318</v>
      </c>
      <c r="E79" s="13">
        <v>42.5</v>
      </c>
      <c r="F79" s="11">
        <v>1</v>
      </c>
      <c r="G79" s="12">
        <v>1</v>
      </c>
      <c r="H79" s="13">
        <v>599</v>
      </c>
      <c r="I79" s="13"/>
      <c r="J79" s="14">
        <v>13.9</v>
      </c>
      <c r="K79" s="15"/>
      <c r="L79" s="13">
        <v>13</v>
      </c>
      <c r="M79" s="13">
        <v>25</v>
      </c>
      <c r="N79" s="14">
        <v>16.2</v>
      </c>
      <c r="O79" s="15"/>
    </row>
    <row r="80" spans="1:15" ht="16" x14ac:dyDescent="0.2">
      <c r="A80" s="7">
        <v>79</v>
      </c>
      <c r="B80" s="8" t="s">
        <v>401</v>
      </c>
      <c r="C80" s="8" t="s">
        <v>314</v>
      </c>
      <c r="D80" s="9" t="s">
        <v>195</v>
      </c>
      <c r="E80" s="13">
        <v>186.9</v>
      </c>
      <c r="F80" s="11">
        <v>1</v>
      </c>
      <c r="G80" s="12">
        <v>0.99</v>
      </c>
      <c r="H80" s="13">
        <v>663</v>
      </c>
      <c r="I80" s="13"/>
      <c r="J80" s="14">
        <v>13.8</v>
      </c>
      <c r="K80" s="15"/>
      <c r="L80" s="13">
        <v>2</v>
      </c>
      <c r="M80" s="13">
        <v>20</v>
      </c>
      <c r="N80" s="14">
        <v>10.5</v>
      </c>
      <c r="O80" s="15"/>
    </row>
    <row r="81" spans="1:15" ht="16" x14ac:dyDescent="0.2">
      <c r="A81" s="7">
        <v>80</v>
      </c>
      <c r="B81" s="8" t="s">
        <v>396</v>
      </c>
      <c r="C81" s="8" t="s">
        <v>326</v>
      </c>
      <c r="D81" s="9" t="s">
        <v>195</v>
      </c>
      <c r="E81" s="13">
        <v>178.4</v>
      </c>
      <c r="F81" s="11">
        <v>1</v>
      </c>
      <c r="G81" s="12">
        <v>1</v>
      </c>
      <c r="H81" s="13">
        <v>659</v>
      </c>
      <c r="I81" s="13"/>
      <c r="J81" s="14">
        <v>13.7</v>
      </c>
      <c r="K81" s="15"/>
      <c r="L81" s="13">
        <v>20</v>
      </c>
      <c r="M81" s="13">
        <v>20</v>
      </c>
      <c r="N81" s="14">
        <v>6.7</v>
      </c>
      <c r="O81" s="15"/>
    </row>
    <row r="82" spans="1:15" ht="16" x14ac:dyDescent="0.2">
      <c r="A82" s="7">
        <v>81</v>
      </c>
      <c r="B82" s="8" t="s">
        <v>336</v>
      </c>
      <c r="C82" s="8" t="s">
        <v>337</v>
      </c>
      <c r="D82" s="9" t="s">
        <v>194</v>
      </c>
      <c r="E82" s="13">
        <v>50.8</v>
      </c>
      <c r="F82" s="11">
        <v>1</v>
      </c>
      <c r="G82" s="12">
        <v>1</v>
      </c>
      <c r="H82" s="13">
        <v>602</v>
      </c>
      <c r="I82" s="13"/>
      <c r="J82" s="14">
        <v>13.6</v>
      </c>
      <c r="K82" s="15"/>
      <c r="L82" s="13">
        <v>27</v>
      </c>
      <c r="M82" s="13">
        <v>10</v>
      </c>
      <c r="N82" s="14">
        <v>1.1000000000000001</v>
      </c>
      <c r="O82" s="15"/>
    </row>
    <row r="83" spans="1:15" ht="16" x14ac:dyDescent="0.2">
      <c r="A83" s="7">
        <v>82</v>
      </c>
      <c r="B83" s="8" t="s">
        <v>970</v>
      </c>
      <c r="C83" s="8" t="s">
        <v>311</v>
      </c>
      <c r="D83" s="9" t="s">
        <v>196</v>
      </c>
      <c r="E83" s="13">
        <v>88.7</v>
      </c>
      <c r="F83" s="11">
        <v>1</v>
      </c>
      <c r="G83" s="12">
        <v>1</v>
      </c>
      <c r="H83" s="13"/>
      <c r="I83" s="13">
        <v>173.1</v>
      </c>
      <c r="J83" s="14">
        <v>13.6</v>
      </c>
      <c r="K83" s="15"/>
      <c r="L83" s="13">
        <v>28</v>
      </c>
      <c r="M83" s="13">
        <v>12</v>
      </c>
      <c r="N83" s="14">
        <v>10.199999999999999</v>
      </c>
      <c r="O83" s="15"/>
    </row>
    <row r="84" spans="1:15" ht="16" x14ac:dyDescent="0.2">
      <c r="A84" s="7">
        <v>83</v>
      </c>
      <c r="B84" s="8" t="s">
        <v>373</v>
      </c>
      <c r="C84" s="8" t="s">
        <v>310</v>
      </c>
      <c r="D84" s="9" t="s">
        <v>374</v>
      </c>
      <c r="E84" s="13">
        <v>133.19999999999999</v>
      </c>
      <c r="F84" s="11">
        <v>1</v>
      </c>
      <c r="G84" s="12">
        <v>0.87</v>
      </c>
      <c r="H84" s="13">
        <v>656</v>
      </c>
      <c r="I84" s="13"/>
      <c r="J84" s="14">
        <v>13.3</v>
      </c>
      <c r="K84" s="15"/>
      <c r="L84" s="13">
        <v>2</v>
      </c>
      <c r="M84" s="13">
        <v>14</v>
      </c>
      <c r="N84" s="14">
        <v>7</v>
      </c>
      <c r="O84" s="15"/>
    </row>
    <row r="85" spans="1:15" ht="16" x14ac:dyDescent="0.2">
      <c r="A85" s="7">
        <v>84</v>
      </c>
      <c r="B85" s="8" t="s">
        <v>207</v>
      </c>
      <c r="C85" s="8" t="s">
        <v>331</v>
      </c>
      <c r="D85" s="9" t="s">
        <v>191</v>
      </c>
      <c r="E85" s="13">
        <v>38.700000000000003</v>
      </c>
      <c r="F85" s="11">
        <v>1</v>
      </c>
      <c r="G85" s="12">
        <v>1</v>
      </c>
      <c r="H85" s="13">
        <v>685</v>
      </c>
      <c r="I85" s="13"/>
      <c r="J85" s="14">
        <v>13.3</v>
      </c>
      <c r="K85" s="15"/>
      <c r="L85" s="13">
        <v>5</v>
      </c>
      <c r="M85" s="13">
        <v>2</v>
      </c>
      <c r="N85" s="14">
        <v>-20</v>
      </c>
      <c r="O85" s="15"/>
    </row>
    <row r="86" spans="1:15" ht="16" x14ac:dyDescent="0.2">
      <c r="A86" s="7">
        <v>85</v>
      </c>
      <c r="B86" s="8" t="s">
        <v>429</v>
      </c>
      <c r="C86" s="8" t="s">
        <v>348</v>
      </c>
      <c r="D86" s="9" t="s">
        <v>309</v>
      </c>
      <c r="E86" s="13">
        <v>237</v>
      </c>
      <c r="F86" s="11">
        <v>1</v>
      </c>
      <c r="G86" s="12">
        <v>1</v>
      </c>
      <c r="H86" s="13">
        <v>595</v>
      </c>
      <c r="I86" s="13"/>
      <c r="J86" s="14">
        <v>13.1</v>
      </c>
      <c r="K86" s="15"/>
      <c r="L86" s="13">
        <v>11</v>
      </c>
      <c r="M86" s="13">
        <v>15</v>
      </c>
      <c r="N86" s="14">
        <v>9.3000000000000007</v>
      </c>
      <c r="O86" s="15"/>
    </row>
    <row r="87" spans="1:15" ht="16" x14ac:dyDescent="0.2">
      <c r="A87" s="7">
        <v>86</v>
      </c>
      <c r="B87" s="8" t="s">
        <v>361</v>
      </c>
      <c r="C87" s="8" t="s">
        <v>362</v>
      </c>
      <c r="D87" s="9" t="s">
        <v>309</v>
      </c>
      <c r="E87" s="13">
        <v>108.8</v>
      </c>
      <c r="F87" s="11">
        <v>1</v>
      </c>
      <c r="G87" s="12">
        <v>1</v>
      </c>
      <c r="H87" s="13">
        <v>584</v>
      </c>
      <c r="I87" s="13"/>
      <c r="J87" s="14">
        <v>13.1</v>
      </c>
      <c r="K87" s="15"/>
      <c r="L87" s="13">
        <v>50</v>
      </c>
      <c r="M87" s="13">
        <v>7</v>
      </c>
      <c r="N87" s="14">
        <v>12.5</v>
      </c>
      <c r="O87" s="15"/>
    </row>
    <row r="88" spans="1:15" ht="16" x14ac:dyDescent="0.2">
      <c r="A88" s="7">
        <v>87</v>
      </c>
      <c r="B88" s="8" t="s">
        <v>25</v>
      </c>
      <c r="C88" s="8" t="s">
        <v>335</v>
      </c>
      <c r="D88" s="9" t="s">
        <v>194</v>
      </c>
      <c r="E88" s="13">
        <v>49.2</v>
      </c>
      <c r="F88" s="11">
        <v>1</v>
      </c>
      <c r="G88" s="12">
        <v>1</v>
      </c>
      <c r="H88" s="13">
        <v>533</v>
      </c>
      <c r="I88" s="13"/>
      <c r="J88" s="14">
        <v>13</v>
      </c>
      <c r="K88" s="15"/>
      <c r="L88" s="13">
        <v>12</v>
      </c>
      <c r="M88" s="13">
        <v>14</v>
      </c>
      <c r="N88" s="14">
        <v>10.4</v>
      </c>
      <c r="O88" s="15"/>
    </row>
    <row r="89" spans="1:15" ht="16" x14ac:dyDescent="0.2">
      <c r="A89" s="7">
        <v>88</v>
      </c>
      <c r="B89" s="8" t="s">
        <v>284</v>
      </c>
      <c r="C89" s="8" t="s">
        <v>308</v>
      </c>
      <c r="D89" s="9" t="s">
        <v>196</v>
      </c>
      <c r="E89" s="13">
        <v>212.9</v>
      </c>
      <c r="F89" s="11">
        <v>1</v>
      </c>
      <c r="G89" s="12">
        <v>0.77</v>
      </c>
      <c r="H89" s="13"/>
      <c r="I89" s="13">
        <v>151.1</v>
      </c>
      <c r="J89" s="14">
        <v>13</v>
      </c>
      <c r="K89" s="15"/>
      <c r="L89" s="13">
        <v>13</v>
      </c>
      <c r="M89" s="13">
        <v>11</v>
      </c>
      <c r="N89" s="14">
        <v>-0.4</v>
      </c>
      <c r="O89" s="15"/>
    </row>
    <row r="90" spans="1:15" ht="16" x14ac:dyDescent="0.2">
      <c r="A90" s="7">
        <v>89</v>
      </c>
      <c r="B90" s="8" t="s">
        <v>398</v>
      </c>
      <c r="C90" s="8" t="s">
        <v>326</v>
      </c>
      <c r="D90" s="9" t="s">
        <v>193</v>
      </c>
      <c r="E90" s="13">
        <v>180.2</v>
      </c>
      <c r="F90" s="11">
        <v>1</v>
      </c>
      <c r="G90" s="12">
        <v>0.99</v>
      </c>
      <c r="H90" s="13">
        <v>606</v>
      </c>
      <c r="I90" s="13"/>
      <c r="J90" s="14">
        <v>12.7</v>
      </c>
      <c r="K90" s="15"/>
      <c r="L90" s="13">
        <v>31</v>
      </c>
      <c r="M90" s="13">
        <v>1</v>
      </c>
      <c r="N90" s="14">
        <v>0</v>
      </c>
      <c r="O90" s="15"/>
    </row>
    <row r="91" spans="1:15" ht="16" x14ac:dyDescent="0.2">
      <c r="A91" s="7">
        <v>90</v>
      </c>
      <c r="B91" s="8" t="s">
        <v>375</v>
      </c>
      <c r="C91" s="8" t="s">
        <v>325</v>
      </c>
      <c r="D91" s="9" t="s">
        <v>193</v>
      </c>
      <c r="E91" s="13">
        <v>134.1</v>
      </c>
      <c r="F91" s="11">
        <v>1</v>
      </c>
      <c r="G91" s="12">
        <v>1</v>
      </c>
      <c r="H91" s="13">
        <v>634</v>
      </c>
      <c r="I91" s="13"/>
      <c r="J91" s="14">
        <v>12.7</v>
      </c>
      <c r="K91" s="15"/>
      <c r="L91" s="13">
        <v>25</v>
      </c>
      <c r="M91" s="13">
        <v>10</v>
      </c>
      <c r="N91" s="14">
        <v>-2.6</v>
      </c>
      <c r="O91" s="15"/>
    </row>
    <row r="92" spans="1:15" ht="16" x14ac:dyDescent="0.2">
      <c r="A92" s="7">
        <v>91</v>
      </c>
      <c r="B92" s="8" t="s">
        <v>372</v>
      </c>
      <c r="C92" s="8" t="s">
        <v>337</v>
      </c>
      <c r="D92" s="9" t="s">
        <v>192</v>
      </c>
      <c r="E92" s="13">
        <v>130.5</v>
      </c>
      <c r="F92" s="11">
        <v>1</v>
      </c>
      <c r="G92" s="12">
        <v>1</v>
      </c>
      <c r="H92" s="13">
        <v>528</v>
      </c>
      <c r="I92" s="13"/>
      <c r="J92" s="14">
        <v>12.5</v>
      </c>
      <c r="K92" s="15"/>
      <c r="L92" s="13">
        <v>11</v>
      </c>
      <c r="M92" s="13">
        <v>25</v>
      </c>
      <c r="N92" s="14">
        <v>9.1999999999999993</v>
      </c>
      <c r="O92" s="15"/>
    </row>
    <row r="93" spans="1:15" ht="16" x14ac:dyDescent="0.2">
      <c r="A93" s="7">
        <v>92</v>
      </c>
      <c r="B93" s="8" t="s">
        <v>971</v>
      </c>
      <c r="C93" s="8" t="s">
        <v>354</v>
      </c>
      <c r="D93" s="9" t="s">
        <v>197</v>
      </c>
      <c r="E93" s="13">
        <v>84.3</v>
      </c>
      <c r="F93" s="11">
        <v>1</v>
      </c>
      <c r="G93" s="12">
        <v>1</v>
      </c>
      <c r="H93" s="13"/>
      <c r="I93" s="13">
        <v>80</v>
      </c>
      <c r="J93" s="14">
        <v>12.5</v>
      </c>
      <c r="K93" s="15"/>
      <c r="L93" s="13">
        <v>1</v>
      </c>
      <c r="M93" s="13">
        <v>11</v>
      </c>
      <c r="N93" s="14">
        <v>1.4</v>
      </c>
      <c r="O93" s="15"/>
    </row>
    <row r="94" spans="1:15" ht="16" x14ac:dyDescent="0.2">
      <c r="A94" s="7">
        <v>93</v>
      </c>
      <c r="B94" s="8" t="s">
        <v>382</v>
      </c>
      <c r="C94" s="8" t="s">
        <v>322</v>
      </c>
      <c r="D94" s="9" t="s">
        <v>192</v>
      </c>
      <c r="E94" s="13">
        <v>147.19999999999999</v>
      </c>
      <c r="F94" s="11">
        <v>1</v>
      </c>
      <c r="G94" s="12">
        <v>1</v>
      </c>
      <c r="H94" s="13">
        <v>619</v>
      </c>
      <c r="I94" s="13"/>
      <c r="J94" s="14">
        <v>12.5</v>
      </c>
      <c r="K94" s="15"/>
      <c r="L94" s="13">
        <v>1</v>
      </c>
      <c r="M94" s="13">
        <v>19</v>
      </c>
      <c r="N94" s="14">
        <v>14.1</v>
      </c>
      <c r="O94" s="15"/>
    </row>
    <row r="95" spans="1:15" ht="16" x14ac:dyDescent="0.2">
      <c r="A95" s="7">
        <v>94</v>
      </c>
      <c r="B95" s="8" t="s">
        <v>287</v>
      </c>
      <c r="C95" s="8" t="s">
        <v>310</v>
      </c>
      <c r="D95" s="9" t="s">
        <v>196</v>
      </c>
      <c r="E95" s="13">
        <v>337</v>
      </c>
      <c r="F95" s="11">
        <v>1</v>
      </c>
      <c r="G95" s="12">
        <v>0.65</v>
      </c>
      <c r="H95" s="13"/>
      <c r="I95" s="13">
        <v>142</v>
      </c>
      <c r="J95" s="14">
        <v>12.5</v>
      </c>
      <c r="K95" s="15"/>
      <c r="L95" s="13">
        <v>24</v>
      </c>
      <c r="M95" s="13">
        <v>6</v>
      </c>
      <c r="N95" s="14">
        <v>-0.6</v>
      </c>
      <c r="O95" s="15"/>
    </row>
    <row r="96" spans="1:15" ht="16" x14ac:dyDescent="0.2">
      <c r="A96" s="7">
        <v>95</v>
      </c>
      <c r="B96" s="8" t="s">
        <v>391</v>
      </c>
      <c r="C96" s="8" t="s">
        <v>323</v>
      </c>
      <c r="D96" s="9" t="s">
        <v>194</v>
      </c>
      <c r="E96" s="13">
        <v>165</v>
      </c>
      <c r="F96" s="11">
        <v>1</v>
      </c>
      <c r="G96" s="12">
        <v>1</v>
      </c>
      <c r="H96" s="13">
        <v>650</v>
      </c>
      <c r="I96" s="13"/>
      <c r="J96" s="14">
        <v>12.3</v>
      </c>
      <c r="K96" s="15"/>
      <c r="L96" s="13">
        <v>20</v>
      </c>
      <c r="M96" s="13">
        <v>15</v>
      </c>
      <c r="N96" s="14">
        <v>12.3</v>
      </c>
      <c r="O96" s="15"/>
    </row>
    <row r="97" spans="1:15" ht="16" x14ac:dyDescent="0.2">
      <c r="A97" s="7">
        <v>96</v>
      </c>
      <c r="B97" s="8" t="s">
        <v>421</v>
      </c>
      <c r="C97" s="8" t="s">
        <v>316</v>
      </c>
      <c r="D97" s="9" t="s">
        <v>195</v>
      </c>
      <c r="E97" s="13">
        <v>221.7</v>
      </c>
      <c r="F97" s="11">
        <v>1</v>
      </c>
      <c r="G97" s="12">
        <v>1</v>
      </c>
      <c r="H97" s="13">
        <v>553</v>
      </c>
      <c r="I97" s="13"/>
      <c r="J97" s="14">
        <v>12.3</v>
      </c>
      <c r="K97" s="15"/>
      <c r="L97" s="13">
        <v>9</v>
      </c>
      <c r="M97" s="13">
        <v>24</v>
      </c>
      <c r="N97" s="14">
        <v>10.3</v>
      </c>
      <c r="O97" s="15"/>
    </row>
    <row r="98" spans="1:15" ht="16" x14ac:dyDescent="0.2">
      <c r="A98" s="7">
        <v>97</v>
      </c>
      <c r="B98" s="8" t="s">
        <v>972</v>
      </c>
      <c r="C98" s="8" t="s">
        <v>320</v>
      </c>
      <c r="D98" s="9" t="s">
        <v>196</v>
      </c>
      <c r="E98" s="13">
        <v>239.6</v>
      </c>
      <c r="F98" s="11">
        <v>1</v>
      </c>
      <c r="G98" s="12">
        <v>0.97</v>
      </c>
      <c r="H98" s="13"/>
      <c r="I98" s="13">
        <v>192</v>
      </c>
      <c r="J98" s="14">
        <v>12.3</v>
      </c>
      <c r="K98" s="15"/>
      <c r="L98" s="13">
        <v>30</v>
      </c>
      <c r="M98" s="13">
        <v>9</v>
      </c>
      <c r="N98" s="14">
        <v>7.3</v>
      </c>
      <c r="O98" s="15"/>
    </row>
    <row r="99" spans="1:15" ht="16" x14ac:dyDescent="0.2">
      <c r="A99" s="7">
        <v>98</v>
      </c>
      <c r="B99" s="8" t="s">
        <v>214</v>
      </c>
      <c r="C99" s="8" t="s">
        <v>335</v>
      </c>
      <c r="D99" s="9" t="s">
        <v>192</v>
      </c>
      <c r="E99" s="13">
        <v>101.1</v>
      </c>
      <c r="F99" s="11">
        <v>1</v>
      </c>
      <c r="G99" s="12">
        <v>1</v>
      </c>
      <c r="H99" s="13">
        <v>718</v>
      </c>
      <c r="I99" s="13"/>
      <c r="J99" s="14">
        <v>12.1</v>
      </c>
      <c r="K99" s="15"/>
      <c r="L99" s="13">
        <v>19</v>
      </c>
      <c r="M99" s="13">
        <v>16</v>
      </c>
      <c r="N99" s="14">
        <v>9.1</v>
      </c>
      <c r="O99" s="15"/>
    </row>
    <row r="100" spans="1:15" ht="16" x14ac:dyDescent="0.2">
      <c r="A100" s="7">
        <v>99</v>
      </c>
      <c r="B100" s="8" t="s">
        <v>973</v>
      </c>
      <c r="C100" s="8" t="s">
        <v>326</v>
      </c>
      <c r="D100" s="9" t="s">
        <v>196</v>
      </c>
      <c r="E100" s="13">
        <v>87</v>
      </c>
      <c r="F100" s="11">
        <v>1</v>
      </c>
      <c r="G100" s="12">
        <v>1</v>
      </c>
      <c r="H100" s="13"/>
      <c r="I100" s="13">
        <v>199</v>
      </c>
      <c r="J100" s="14">
        <v>11.7</v>
      </c>
      <c r="K100" s="15"/>
      <c r="L100" s="13">
        <v>11</v>
      </c>
      <c r="M100" s="13">
        <v>22</v>
      </c>
      <c r="N100" s="14">
        <v>6.7</v>
      </c>
      <c r="O100" s="15"/>
    </row>
    <row r="101" spans="1:15" ht="16" x14ac:dyDescent="0.2">
      <c r="A101" s="7">
        <v>100</v>
      </c>
      <c r="B101" s="8" t="s">
        <v>358</v>
      </c>
      <c r="C101" s="8" t="s">
        <v>308</v>
      </c>
      <c r="D101" s="9" t="s">
        <v>359</v>
      </c>
      <c r="E101" s="13">
        <v>104.7</v>
      </c>
      <c r="F101" s="11">
        <v>1</v>
      </c>
      <c r="G101" s="12">
        <v>1</v>
      </c>
      <c r="H101" s="13">
        <v>569</v>
      </c>
      <c r="I101" s="13"/>
      <c r="J101" s="14">
        <v>11.6</v>
      </c>
      <c r="K101" s="15"/>
      <c r="L101" s="13">
        <v>6</v>
      </c>
      <c r="M101" s="13">
        <v>23</v>
      </c>
      <c r="N101" s="14">
        <v>13.7</v>
      </c>
      <c r="O101" s="15"/>
    </row>
    <row r="102" spans="1:15" ht="16" x14ac:dyDescent="0.2">
      <c r="A102" s="7">
        <v>101</v>
      </c>
      <c r="B102" s="8" t="s">
        <v>221</v>
      </c>
      <c r="C102" s="8" t="s">
        <v>335</v>
      </c>
      <c r="D102" s="9" t="s">
        <v>309</v>
      </c>
      <c r="E102" s="13">
        <v>44.2</v>
      </c>
      <c r="F102" s="11">
        <v>1</v>
      </c>
      <c r="G102" s="12">
        <v>0.99</v>
      </c>
      <c r="H102" s="13">
        <v>557</v>
      </c>
      <c r="I102" s="13"/>
      <c r="J102" s="14">
        <v>11.5</v>
      </c>
      <c r="K102" s="15"/>
      <c r="L102" s="13">
        <v>32</v>
      </c>
      <c r="M102" s="13">
        <v>11</v>
      </c>
      <c r="N102" s="14">
        <v>7</v>
      </c>
      <c r="O102" s="15"/>
    </row>
    <row r="103" spans="1:15" ht="16" x14ac:dyDescent="0.2">
      <c r="A103" s="7">
        <v>102</v>
      </c>
      <c r="B103" s="8" t="s">
        <v>426</v>
      </c>
      <c r="C103" s="8" t="s">
        <v>325</v>
      </c>
      <c r="D103" s="9" t="s">
        <v>190</v>
      </c>
      <c r="E103" s="13">
        <v>233.6</v>
      </c>
      <c r="F103" s="11">
        <v>1</v>
      </c>
      <c r="G103" s="12">
        <v>0.99</v>
      </c>
      <c r="H103" s="13">
        <v>487</v>
      </c>
      <c r="I103" s="13"/>
      <c r="J103" s="14">
        <v>11.3</v>
      </c>
      <c r="K103" s="15"/>
      <c r="L103" s="13">
        <v>32</v>
      </c>
      <c r="M103" s="13">
        <v>15</v>
      </c>
      <c r="N103" s="14">
        <v>9.5</v>
      </c>
      <c r="O103" s="15"/>
    </row>
    <row r="104" spans="1:15" ht="16" x14ac:dyDescent="0.2">
      <c r="A104" s="7">
        <v>103</v>
      </c>
      <c r="B104" s="8" t="s">
        <v>276</v>
      </c>
      <c r="C104" s="8" t="s">
        <v>308</v>
      </c>
      <c r="D104" s="9" t="s">
        <v>196</v>
      </c>
      <c r="E104" s="13">
        <v>99.4</v>
      </c>
      <c r="F104" s="11">
        <v>1</v>
      </c>
      <c r="G104" s="12">
        <v>1</v>
      </c>
      <c r="H104" s="13"/>
      <c r="I104" s="13">
        <v>174</v>
      </c>
      <c r="J104" s="14">
        <v>11.3</v>
      </c>
      <c r="K104" s="15"/>
      <c r="L104" s="13">
        <v>6</v>
      </c>
      <c r="M104" s="13">
        <v>6</v>
      </c>
      <c r="N104" s="14">
        <v>-13.3</v>
      </c>
      <c r="O104" s="15"/>
    </row>
    <row r="105" spans="1:15" ht="16" x14ac:dyDescent="0.2">
      <c r="A105" s="7">
        <v>104</v>
      </c>
      <c r="B105" s="8" t="s">
        <v>413</v>
      </c>
      <c r="C105" s="8" t="s">
        <v>315</v>
      </c>
      <c r="D105" s="9" t="s">
        <v>192</v>
      </c>
      <c r="E105" s="13">
        <v>201.5</v>
      </c>
      <c r="F105" s="11">
        <v>1</v>
      </c>
      <c r="G105" s="12">
        <v>0.77</v>
      </c>
      <c r="H105" s="13">
        <v>641</v>
      </c>
      <c r="I105" s="13"/>
      <c r="J105" s="14">
        <v>11.2</v>
      </c>
      <c r="K105" s="15"/>
      <c r="L105" s="13">
        <v>5</v>
      </c>
      <c r="M105" s="13">
        <v>15</v>
      </c>
      <c r="N105" s="14">
        <v>12.7</v>
      </c>
      <c r="O105" s="15"/>
    </row>
    <row r="106" spans="1:15" ht="16" x14ac:dyDescent="0.2">
      <c r="A106" s="7">
        <v>105</v>
      </c>
      <c r="B106" s="8" t="s">
        <v>268</v>
      </c>
      <c r="C106" s="8" t="s">
        <v>325</v>
      </c>
      <c r="D106" s="9" t="s">
        <v>196</v>
      </c>
      <c r="E106" s="13">
        <v>24.8</v>
      </c>
      <c r="F106" s="11">
        <v>1</v>
      </c>
      <c r="G106" s="12">
        <v>1</v>
      </c>
      <c r="H106" s="13"/>
      <c r="I106" s="13">
        <v>146</v>
      </c>
      <c r="J106" s="14">
        <v>11.1</v>
      </c>
      <c r="K106" s="15"/>
      <c r="L106" s="13">
        <v>2</v>
      </c>
      <c r="M106" s="13">
        <v>30</v>
      </c>
      <c r="N106" s="14">
        <v>19.399999999999999</v>
      </c>
      <c r="O106" s="15"/>
    </row>
    <row r="107" spans="1:15" ht="16" x14ac:dyDescent="0.2">
      <c r="A107" s="7">
        <v>106</v>
      </c>
      <c r="B107" s="8" t="s">
        <v>974</v>
      </c>
      <c r="C107" s="8" t="s">
        <v>315</v>
      </c>
      <c r="D107" s="9" t="s">
        <v>196</v>
      </c>
      <c r="E107" s="13">
        <v>353.6</v>
      </c>
      <c r="F107" s="11">
        <v>1</v>
      </c>
      <c r="G107" s="12">
        <v>0.55000000000000004</v>
      </c>
      <c r="H107" s="13"/>
      <c r="I107" s="13">
        <v>165</v>
      </c>
      <c r="J107" s="14">
        <v>10.7</v>
      </c>
      <c r="K107" s="15"/>
      <c r="L107" s="13">
        <v>6</v>
      </c>
      <c r="M107" s="13">
        <v>25</v>
      </c>
      <c r="N107" s="14">
        <v>10.3</v>
      </c>
      <c r="O107" s="15"/>
    </row>
    <row r="108" spans="1:15" ht="16" x14ac:dyDescent="0.2">
      <c r="A108" s="7">
        <v>107</v>
      </c>
      <c r="B108" s="8" t="s">
        <v>975</v>
      </c>
      <c r="C108" s="8" t="s">
        <v>317</v>
      </c>
      <c r="D108" s="9" t="s">
        <v>197</v>
      </c>
      <c r="E108" s="13">
        <v>90.7</v>
      </c>
      <c r="F108" s="11">
        <v>1</v>
      </c>
      <c r="G108" s="12">
        <v>0.99</v>
      </c>
      <c r="H108" s="13"/>
      <c r="I108" s="13">
        <v>65</v>
      </c>
      <c r="J108" s="14">
        <v>10.7</v>
      </c>
      <c r="K108" s="15"/>
      <c r="L108" s="13">
        <v>9</v>
      </c>
      <c r="M108" s="13">
        <v>9</v>
      </c>
      <c r="N108" s="14">
        <v>-7.2</v>
      </c>
      <c r="O108" s="15"/>
    </row>
    <row r="109" spans="1:15" ht="16" x14ac:dyDescent="0.2">
      <c r="A109" s="7">
        <v>108</v>
      </c>
      <c r="B109" s="8" t="s">
        <v>976</v>
      </c>
      <c r="C109" s="8" t="s">
        <v>308</v>
      </c>
      <c r="D109" s="9" t="s">
        <v>196</v>
      </c>
      <c r="E109" s="13">
        <v>129.19999999999999</v>
      </c>
      <c r="F109" s="11">
        <v>1</v>
      </c>
      <c r="G109" s="12">
        <v>1</v>
      </c>
      <c r="H109" s="13"/>
      <c r="I109" s="13">
        <v>175</v>
      </c>
      <c r="J109" s="14">
        <v>10.6</v>
      </c>
      <c r="K109" s="15"/>
      <c r="L109" s="13">
        <v>15</v>
      </c>
      <c r="M109" s="13">
        <v>23</v>
      </c>
      <c r="N109" s="14">
        <v>13.8</v>
      </c>
      <c r="O109" s="15"/>
    </row>
    <row r="110" spans="1:15" ht="16" x14ac:dyDescent="0.2">
      <c r="A110" s="7">
        <v>109</v>
      </c>
      <c r="B110" s="8" t="s">
        <v>977</v>
      </c>
      <c r="C110" s="8" t="s">
        <v>323</v>
      </c>
      <c r="D110" s="9" t="s">
        <v>197</v>
      </c>
      <c r="E110" s="13">
        <v>39.799999999999997</v>
      </c>
      <c r="F110" s="11">
        <v>1</v>
      </c>
      <c r="G110" s="12">
        <v>1</v>
      </c>
      <c r="H110" s="13"/>
      <c r="I110" s="13">
        <v>71</v>
      </c>
      <c r="J110" s="14">
        <v>10.6</v>
      </c>
      <c r="K110" s="15"/>
      <c r="L110" s="13">
        <v>10</v>
      </c>
      <c r="M110" s="13">
        <v>24</v>
      </c>
      <c r="N110" s="14">
        <v>21.1</v>
      </c>
      <c r="O110" s="15"/>
    </row>
    <row r="111" spans="1:15" ht="16" x14ac:dyDescent="0.2">
      <c r="A111" s="7">
        <v>110</v>
      </c>
      <c r="B111" s="8" t="s">
        <v>377</v>
      </c>
      <c r="C111" s="8" t="s">
        <v>367</v>
      </c>
      <c r="D111" s="9" t="s">
        <v>190</v>
      </c>
      <c r="E111" s="13">
        <v>135.5</v>
      </c>
      <c r="F111" s="11">
        <v>1</v>
      </c>
      <c r="G111" s="12">
        <v>1</v>
      </c>
      <c r="H111" s="13">
        <v>522</v>
      </c>
      <c r="I111" s="13"/>
      <c r="J111" s="14">
        <v>10.5</v>
      </c>
      <c r="K111" s="15"/>
      <c r="L111" s="13">
        <v>3</v>
      </c>
      <c r="M111" s="13">
        <v>5</v>
      </c>
      <c r="N111" s="14">
        <v>1.6</v>
      </c>
      <c r="O111" s="15"/>
    </row>
    <row r="112" spans="1:15" ht="16" x14ac:dyDescent="0.2">
      <c r="A112" s="7">
        <v>111</v>
      </c>
      <c r="B112" s="8" t="s">
        <v>383</v>
      </c>
      <c r="C112" s="8" t="s">
        <v>311</v>
      </c>
      <c r="D112" s="9" t="s">
        <v>195</v>
      </c>
      <c r="E112" s="13">
        <v>147.6</v>
      </c>
      <c r="F112" s="11">
        <v>1</v>
      </c>
      <c r="G112" s="12">
        <v>1</v>
      </c>
      <c r="H112" s="13">
        <v>540</v>
      </c>
      <c r="I112" s="13"/>
      <c r="J112" s="14">
        <v>10.4</v>
      </c>
      <c r="K112" s="15"/>
      <c r="L112" s="13">
        <v>19</v>
      </c>
      <c r="M112" s="13">
        <v>15</v>
      </c>
      <c r="N112" s="14">
        <v>9.8000000000000007</v>
      </c>
      <c r="O112" s="15"/>
    </row>
    <row r="113" spans="1:15" ht="16" x14ac:dyDescent="0.2">
      <c r="A113" s="7">
        <v>112</v>
      </c>
      <c r="B113" s="8" t="s">
        <v>978</v>
      </c>
      <c r="C113" s="8" t="s">
        <v>325</v>
      </c>
      <c r="D113" s="9" t="s">
        <v>196</v>
      </c>
      <c r="E113" s="13">
        <v>221.4</v>
      </c>
      <c r="F113" s="11">
        <v>1</v>
      </c>
      <c r="G113" s="12">
        <v>0.97</v>
      </c>
      <c r="H113" s="13"/>
      <c r="I113" s="13">
        <v>178.1</v>
      </c>
      <c r="J113" s="14">
        <v>10.4</v>
      </c>
      <c r="K113" s="15"/>
      <c r="L113" s="13">
        <v>9</v>
      </c>
      <c r="M113" s="13">
        <v>4</v>
      </c>
      <c r="N113" s="14">
        <v>10.3</v>
      </c>
      <c r="O113" s="15"/>
    </row>
    <row r="114" spans="1:15" ht="16" x14ac:dyDescent="0.2">
      <c r="A114" s="7">
        <v>113</v>
      </c>
      <c r="B114" s="8" t="s">
        <v>282</v>
      </c>
      <c r="C114" s="8" t="s">
        <v>335</v>
      </c>
      <c r="D114" s="9" t="s">
        <v>196</v>
      </c>
      <c r="E114" s="13">
        <v>200.4</v>
      </c>
      <c r="F114" s="11">
        <v>1</v>
      </c>
      <c r="G114" s="12">
        <v>1</v>
      </c>
      <c r="H114" s="13"/>
      <c r="I114" s="13">
        <v>170.1</v>
      </c>
      <c r="J114" s="14">
        <v>10.3</v>
      </c>
      <c r="K114" s="15"/>
      <c r="L114" s="13">
        <v>34</v>
      </c>
      <c r="M114" s="13">
        <v>4</v>
      </c>
      <c r="N114" s="14">
        <v>2.5</v>
      </c>
      <c r="O114" s="15"/>
    </row>
    <row r="115" spans="1:15" ht="16" x14ac:dyDescent="0.2">
      <c r="A115" s="7">
        <v>114</v>
      </c>
      <c r="B115" s="8" t="s">
        <v>400</v>
      </c>
      <c r="C115" s="8" t="s">
        <v>367</v>
      </c>
      <c r="D115" s="9" t="s">
        <v>195</v>
      </c>
      <c r="E115" s="13">
        <v>183.7</v>
      </c>
      <c r="F115" s="11">
        <v>1</v>
      </c>
      <c r="G115" s="12">
        <v>1</v>
      </c>
      <c r="H115" s="13">
        <v>663</v>
      </c>
      <c r="I115" s="13"/>
      <c r="J115" s="14">
        <v>10.3</v>
      </c>
      <c r="K115" s="15"/>
      <c r="L115" s="13">
        <v>1</v>
      </c>
      <c r="M115" s="13">
        <v>13</v>
      </c>
      <c r="N115" s="14">
        <v>2.9</v>
      </c>
      <c r="O115" s="15"/>
    </row>
    <row r="116" spans="1:15" ht="16" x14ac:dyDescent="0.2">
      <c r="A116" s="7">
        <v>115</v>
      </c>
      <c r="B116" s="8" t="s">
        <v>405</v>
      </c>
      <c r="C116" s="8" t="s">
        <v>317</v>
      </c>
      <c r="D116" s="9" t="s">
        <v>406</v>
      </c>
      <c r="E116" s="13">
        <v>194</v>
      </c>
      <c r="F116" s="11">
        <v>1</v>
      </c>
      <c r="G116" s="12">
        <v>0.99</v>
      </c>
      <c r="H116" s="13">
        <v>672</v>
      </c>
      <c r="I116" s="13"/>
      <c r="J116" s="14">
        <v>10.3</v>
      </c>
      <c r="K116" s="15"/>
      <c r="L116" s="13">
        <v>1</v>
      </c>
      <c r="M116" s="13">
        <v>19</v>
      </c>
      <c r="N116" s="14">
        <v>4.9000000000000004</v>
      </c>
      <c r="O116" s="15"/>
    </row>
    <row r="117" spans="1:15" ht="16" x14ac:dyDescent="0.2">
      <c r="A117" s="7">
        <v>116</v>
      </c>
      <c r="B117" s="8" t="s">
        <v>364</v>
      </c>
      <c r="C117" s="8" t="s">
        <v>335</v>
      </c>
      <c r="D117" s="9" t="s">
        <v>365</v>
      </c>
      <c r="E117" s="13">
        <v>115.4</v>
      </c>
      <c r="F117" s="11">
        <v>1</v>
      </c>
      <c r="G117" s="12">
        <v>1</v>
      </c>
      <c r="H117" s="13">
        <v>579</v>
      </c>
      <c r="I117" s="13"/>
      <c r="J117" s="14">
        <v>10.3</v>
      </c>
      <c r="K117" s="15"/>
      <c r="L117" s="13">
        <v>10</v>
      </c>
      <c r="M117" s="13">
        <v>25</v>
      </c>
      <c r="N117" s="14">
        <v>2.5</v>
      </c>
      <c r="O117" s="15"/>
    </row>
    <row r="118" spans="1:15" ht="16" x14ac:dyDescent="0.2">
      <c r="A118" s="7">
        <v>117</v>
      </c>
      <c r="B118" s="8" t="s">
        <v>205</v>
      </c>
      <c r="C118" s="8" t="s">
        <v>323</v>
      </c>
      <c r="D118" s="9" t="s">
        <v>191</v>
      </c>
      <c r="E118" s="13">
        <v>95.3</v>
      </c>
      <c r="F118" s="11">
        <v>1</v>
      </c>
      <c r="G118" s="12">
        <v>1</v>
      </c>
      <c r="H118" s="13">
        <v>552</v>
      </c>
      <c r="I118" s="13"/>
      <c r="J118" s="14">
        <v>10.3</v>
      </c>
      <c r="K118" s="15"/>
      <c r="L118" s="13">
        <v>30</v>
      </c>
      <c r="M118" s="13">
        <v>23</v>
      </c>
      <c r="N118" s="14">
        <v>15.3</v>
      </c>
      <c r="O118" s="15"/>
    </row>
    <row r="119" spans="1:15" ht="16" x14ac:dyDescent="0.2">
      <c r="A119" s="7">
        <v>118</v>
      </c>
      <c r="B119" s="8" t="s">
        <v>392</v>
      </c>
      <c r="C119" s="8" t="s">
        <v>313</v>
      </c>
      <c r="D119" s="9" t="s">
        <v>195</v>
      </c>
      <c r="E119" s="13">
        <v>170.6</v>
      </c>
      <c r="F119" s="11">
        <v>1</v>
      </c>
      <c r="G119" s="12">
        <v>1</v>
      </c>
      <c r="H119" s="13">
        <v>561</v>
      </c>
      <c r="I119" s="13"/>
      <c r="J119" s="14">
        <v>10.3</v>
      </c>
      <c r="K119" s="15"/>
      <c r="L119" s="13">
        <v>4</v>
      </c>
      <c r="M119" s="13">
        <v>31</v>
      </c>
      <c r="N119" s="14">
        <v>9.9</v>
      </c>
      <c r="O119" s="15"/>
    </row>
    <row r="120" spans="1:15" ht="16" x14ac:dyDescent="0.2">
      <c r="A120" s="7">
        <v>119</v>
      </c>
      <c r="B120" s="8" t="s">
        <v>379</v>
      </c>
      <c r="C120" s="8" t="s">
        <v>308</v>
      </c>
      <c r="D120" s="9" t="s">
        <v>194</v>
      </c>
      <c r="E120" s="13">
        <v>140.80000000000001</v>
      </c>
      <c r="F120" s="11">
        <v>1</v>
      </c>
      <c r="G120" s="12">
        <v>1</v>
      </c>
      <c r="H120" s="13">
        <v>689</v>
      </c>
      <c r="I120" s="13"/>
      <c r="J120" s="14">
        <v>10.199999999999999</v>
      </c>
      <c r="K120" s="15"/>
      <c r="L120" s="13">
        <v>31</v>
      </c>
      <c r="M120" s="13">
        <v>7</v>
      </c>
      <c r="N120" s="14">
        <v>11.2</v>
      </c>
      <c r="O120" s="15"/>
    </row>
    <row r="121" spans="1:15" ht="16" x14ac:dyDescent="0.2">
      <c r="A121" s="7">
        <v>120</v>
      </c>
      <c r="B121" s="8" t="s">
        <v>979</v>
      </c>
      <c r="C121" s="8" t="s">
        <v>371</v>
      </c>
      <c r="D121" s="9" t="s">
        <v>196</v>
      </c>
      <c r="E121" s="13">
        <v>92.2</v>
      </c>
      <c r="F121" s="11">
        <v>1</v>
      </c>
      <c r="G121" s="12">
        <v>1</v>
      </c>
      <c r="H121" s="13"/>
      <c r="I121" s="13">
        <v>135</v>
      </c>
      <c r="J121" s="14">
        <v>10.1</v>
      </c>
      <c r="K121" s="15"/>
      <c r="L121" s="13">
        <v>0</v>
      </c>
      <c r="M121" s="13">
        <v>14</v>
      </c>
      <c r="N121" s="14">
        <v>3.5</v>
      </c>
      <c r="O121" s="15"/>
    </row>
    <row r="122" spans="1:15" ht="16" x14ac:dyDescent="0.2">
      <c r="A122" s="7">
        <v>121</v>
      </c>
      <c r="B122" s="8" t="s">
        <v>980</v>
      </c>
      <c r="C122" s="8" t="s">
        <v>307</v>
      </c>
      <c r="D122" s="9" t="s">
        <v>196</v>
      </c>
      <c r="E122" s="13">
        <v>279.7</v>
      </c>
      <c r="F122" s="11">
        <v>1</v>
      </c>
      <c r="G122" s="12">
        <v>0.96</v>
      </c>
      <c r="H122" s="13"/>
      <c r="I122" s="13">
        <v>166.1</v>
      </c>
      <c r="J122" s="14">
        <v>10.1</v>
      </c>
      <c r="K122" s="15"/>
      <c r="L122" s="13">
        <v>0</v>
      </c>
      <c r="M122" s="13">
        <v>18</v>
      </c>
      <c r="N122" s="14">
        <v>0.8</v>
      </c>
      <c r="O122" s="15"/>
    </row>
    <row r="123" spans="1:15" ht="16" x14ac:dyDescent="0.2">
      <c r="A123" s="7">
        <v>122</v>
      </c>
      <c r="B123" s="8" t="s">
        <v>981</v>
      </c>
      <c r="C123" s="8" t="s">
        <v>305</v>
      </c>
      <c r="D123" s="9" t="s">
        <v>197</v>
      </c>
      <c r="E123" s="13">
        <v>121.5</v>
      </c>
      <c r="F123" s="11">
        <v>1</v>
      </c>
      <c r="G123" s="12">
        <v>1</v>
      </c>
      <c r="H123" s="13"/>
      <c r="I123" s="13">
        <v>72</v>
      </c>
      <c r="J123" s="14">
        <v>10.1</v>
      </c>
      <c r="K123" s="15"/>
      <c r="L123" s="13">
        <v>6</v>
      </c>
      <c r="M123" s="13">
        <v>22</v>
      </c>
      <c r="N123" s="14">
        <v>8.6999999999999993</v>
      </c>
      <c r="O123" s="15"/>
    </row>
    <row r="124" spans="1:15" ht="16" x14ac:dyDescent="0.2">
      <c r="A124" s="7">
        <v>123</v>
      </c>
      <c r="B124" s="8" t="s">
        <v>343</v>
      </c>
      <c r="C124" s="8" t="s">
        <v>342</v>
      </c>
      <c r="D124" s="9" t="s">
        <v>195</v>
      </c>
      <c r="E124" s="13">
        <v>68.2</v>
      </c>
      <c r="F124" s="11">
        <v>1</v>
      </c>
      <c r="G124" s="12">
        <v>1</v>
      </c>
      <c r="H124" s="13">
        <v>451</v>
      </c>
      <c r="I124" s="13"/>
      <c r="J124" s="14">
        <v>10</v>
      </c>
      <c r="K124" s="15"/>
      <c r="L124" s="13">
        <v>3</v>
      </c>
      <c r="M124" s="13">
        <v>13</v>
      </c>
      <c r="N124" s="14">
        <v>3.7</v>
      </c>
      <c r="O124" s="15"/>
    </row>
    <row r="125" spans="1:15" ht="16" x14ac:dyDescent="0.2">
      <c r="A125" s="7">
        <v>124</v>
      </c>
      <c r="B125" s="8" t="s">
        <v>412</v>
      </c>
      <c r="C125" s="8" t="s">
        <v>313</v>
      </c>
      <c r="D125" s="9" t="s">
        <v>195</v>
      </c>
      <c r="E125" s="13">
        <v>199.1</v>
      </c>
      <c r="F125" s="11">
        <v>1</v>
      </c>
      <c r="G125" s="12">
        <v>1</v>
      </c>
      <c r="H125" s="13">
        <v>473</v>
      </c>
      <c r="I125" s="13"/>
      <c r="J125" s="14">
        <v>9.9</v>
      </c>
      <c r="K125" s="15"/>
      <c r="L125" s="13">
        <v>25</v>
      </c>
      <c r="M125" s="13">
        <v>17</v>
      </c>
      <c r="N125" s="14">
        <v>1</v>
      </c>
      <c r="O125" s="15"/>
    </row>
    <row r="126" spans="1:15" ht="16" x14ac:dyDescent="0.2">
      <c r="A126" s="7">
        <v>125</v>
      </c>
      <c r="B126" s="8" t="s">
        <v>404</v>
      </c>
      <c r="C126" s="8" t="s">
        <v>325</v>
      </c>
      <c r="D126" s="9" t="s">
        <v>318</v>
      </c>
      <c r="E126" s="13">
        <v>190.5</v>
      </c>
      <c r="F126" s="11">
        <v>1</v>
      </c>
      <c r="G126" s="12">
        <v>0.98</v>
      </c>
      <c r="H126" s="13">
        <v>571</v>
      </c>
      <c r="I126" s="13"/>
      <c r="J126" s="14">
        <v>9.8000000000000007</v>
      </c>
      <c r="K126" s="15"/>
      <c r="L126" s="13">
        <v>0</v>
      </c>
      <c r="M126" s="13">
        <v>10</v>
      </c>
      <c r="N126" s="14">
        <v>-8.3000000000000007</v>
      </c>
      <c r="O126" s="15"/>
    </row>
    <row r="127" spans="1:15" ht="16" x14ac:dyDescent="0.2">
      <c r="A127" s="7">
        <v>126</v>
      </c>
      <c r="B127" s="8" t="s">
        <v>419</v>
      </c>
      <c r="C127" s="8" t="s">
        <v>316</v>
      </c>
      <c r="D127" s="9" t="s">
        <v>195</v>
      </c>
      <c r="E127" s="13">
        <v>216.8</v>
      </c>
      <c r="F127" s="11">
        <v>1</v>
      </c>
      <c r="G127" s="12">
        <v>1</v>
      </c>
      <c r="H127" s="13">
        <v>495</v>
      </c>
      <c r="I127" s="13"/>
      <c r="J127" s="14">
        <v>9.6999999999999993</v>
      </c>
      <c r="K127" s="15"/>
      <c r="L127" s="13">
        <v>37</v>
      </c>
      <c r="M127" s="13">
        <v>7</v>
      </c>
      <c r="N127" s="14">
        <v>8</v>
      </c>
      <c r="O127" s="15"/>
    </row>
    <row r="128" spans="1:15" ht="16" x14ac:dyDescent="0.2">
      <c r="A128" s="7">
        <v>127</v>
      </c>
      <c r="B128" s="8" t="s">
        <v>363</v>
      </c>
      <c r="C128" s="8" t="s">
        <v>307</v>
      </c>
      <c r="D128" s="9" t="s">
        <v>321</v>
      </c>
      <c r="E128" s="13">
        <v>115.4</v>
      </c>
      <c r="F128" s="11">
        <v>1</v>
      </c>
      <c r="G128" s="12">
        <v>1</v>
      </c>
      <c r="H128" s="13">
        <v>554</v>
      </c>
      <c r="I128" s="13"/>
      <c r="J128" s="14">
        <v>9.6</v>
      </c>
      <c r="K128" s="15"/>
      <c r="L128" s="13">
        <v>32</v>
      </c>
      <c r="M128" s="13">
        <v>18</v>
      </c>
      <c r="N128" s="14">
        <v>9.6</v>
      </c>
      <c r="O128" s="15"/>
    </row>
    <row r="129" spans="1:15" ht="16" x14ac:dyDescent="0.2">
      <c r="A129" s="7">
        <v>128</v>
      </c>
      <c r="B129" s="8" t="s">
        <v>418</v>
      </c>
      <c r="C129" s="8" t="s">
        <v>313</v>
      </c>
      <c r="D129" s="9" t="s">
        <v>195</v>
      </c>
      <c r="E129" s="13">
        <v>214.7</v>
      </c>
      <c r="F129" s="11">
        <v>1</v>
      </c>
      <c r="G129" s="12">
        <v>1</v>
      </c>
      <c r="H129" s="13">
        <v>499</v>
      </c>
      <c r="I129" s="13"/>
      <c r="J129" s="14">
        <v>9.6</v>
      </c>
      <c r="K129" s="15"/>
      <c r="L129" s="13">
        <v>4</v>
      </c>
      <c r="M129" s="13">
        <v>7</v>
      </c>
      <c r="N129" s="14">
        <v>-13.5</v>
      </c>
      <c r="O129" s="15"/>
    </row>
    <row r="130" spans="1:15" ht="16" x14ac:dyDescent="0.2">
      <c r="A130" s="7">
        <v>129</v>
      </c>
      <c r="B130" s="8" t="s">
        <v>982</v>
      </c>
      <c r="C130" s="8" t="s">
        <v>320</v>
      </c>
      <c r="D130" s="9" t="s">
        <v>196</v>
      </c>
      <c r="E130" s="13">
        <v>241.3</v>
      </c>
      <c r="F130" s="11">
        <v>1</v>
      </c>
      <c r="G130" s="12">
        <v>0.98</v>
      </c>
      <c r="H130" s="13"/>
      <c r="I130" s="13">
        <v>103.1</v>
      </c>
      <c r="J130" s="14">
        <v>9.5</v>
      </c>
      <c r="K130" s="15"/>
      <c r="L130" s="13">
        <v>25</v>
      </c>
      <c r="M130" s="13">
        <v>8</v>
      </c>
      <c r="N130" s="14">
        <v>9.6999999999999993</v>
      </c>
      <c r="O130" s="15"/>
    </row>
    <row r="131" spans="1:15" ht="16" x14ac:dyDescent="0.2">
      <c r="A131" s="7">
        <v>130</v>
      </c>
      <c r="B131" s="8" t="s">
        <v>237</v>
      </c>
      <c r="C131" s="8" t="s">
        <v>311</v>
      </c>
      <c r="D131" s="9" t="s">
        <v>195</v>
      </c>
      <c r="E131" s="13">
        <v>178.9</v>
      </c>
      <c r="F131" s="11">
        <v>1</v>
      </c>
      <c r="G131" s="12">
        <v>0.99</v>
      </c>
      <c r="H131" s="13">
        <v>528</v>
      </c>
      <c r="I131" s="13"/>
      <c r="J131" s="14">
        <v>9.5</v>
      </c>
      <c r="K131" s="15"/>
      <c r="L131" s="13">
        <v>1</v>
      </c>
      <c r="M131" s="13">
        <v>21</v>
      </c>
      <c r="N131" s="14">
        <v>7.4</v>
      </c>
      <c r="O131" s="15"/>
    </row>
    <row r="132" spans="1:15" ht="16" x14ac:dyDescent="0.2">
      <c r="A132" s="7">
        <v>131</v>
      </c>
      <c r="B132" s="8" t="s">
        <v>983</v>
      </c>
      <c r="C132" s="8" t="s">
        <v>371</v>
      </c>
      <c r="D132" s="9" t="s">
        <v>196</v>
      </c>
      <c r="E132" s="13">
        <v>66.8</v>
      </c>
      <c r="F132" s="11">
        <v>1</v>
      </c>
      <c r="G132" s="12">
        <v>1</v>
      </c>
      <c r="H132" s="13"/>
      <c r="I132" s="13">
        <v>185</v>
      </c>
      <c r="J132" s="14">
        <v>9.5</v>
      </c>
      <c r="K132" s="15"/>
      <c r="L132" s="13">
        <v>7</v>
      </c>
      <c r="M132" s="13">
        <v>18</v>
      </c>
      <c r="N132" s="14">
        <v>12.3</v>
      </c>
      <c r="O132" s="15"/>
    </row>
    <row r="133" spans="1:15" ht="16" x14ac:dyDescent="0.2">
      <c r="A133" s="7">
        <v>132</v>
      </c>
      <c r="B133" s="8" t="s">
        <v>425</v>
      </c>
      <c r="C133" s="8" t="s">
        <v>371</v>
      </c>
      <c r="D133" s="9" t="s">
        <v>329</v>
      </c>
      <c r="E133" s="13">
        <v>233</v>
      </c>
      <c r="F133" s="11">
        <v>1</v>
      </c>
      <c r="G133" s="12">
        <v>0.99</v>
      </c>
      <c r="H133" s="13">
        <v>465</v>
      </c>
      <c r="I133" s="13"/>
      <c r="J133" s="14">
        <v>9.4</v>
      </c>
      <c r="K133" s="15"/>
      <c r="L133" s="13">
        <v>4</v>
      </c>
      <c r="M133" s="13">
        <v>15</v>
      </c>
      <c r="N133" s="14">
        <v>6.2</v>
      </c>
      <c r="O133" s="15"/>
    </row>
    <row r="134" spans="1:15" ht="16" x14ac:dyDescent="0.2">
      <c r="A134" s="7">
        <v>133</v>
      </c>
      <c r="B134" s="8" t="s">
        <v>984</v>
      </c>
      <c r="C134" s="8" t="s">
        <v>331</v>
      </c>
      <c r="D134" s="9" t="s">
        <v>196</v>
      </c>
      <c r="E134" s="13">
        <v>83.4</v>
      </c>
      <c r="F134" s="11">
        <v>1</v>
      </c>
      <c r="G134" s="12">
        <v>1</v>
      </c>
      <c r="H134" s="13"/>
      <c r="I134" s="13">
        <v>123.1</v>
      </c>
      <c r="J134" s="14">
        <v>9.3000000000000007</v>
      </c>
      <c r="K134" s="15"/>
      <c r="L134" s="13">
        <v>4</v>
      </c>
      <c r="M134" s="13">
        <v>5</v>
      </c>
      <c r="N134" s="14">
        <v>-15.8</v>
      </c>
      <c r="O134" s="15"/>
    </row>
    <row r="135" spans="1:15" ht="16" x14ac:dyDescent="0.2">
      <c r="A135" s="7">
        <v>134</v>
      </c>
      <c r="B135" s="8" t="s">
        <v>245</v>
      </c>
      <c r="C135" s="8" t="s">
        <v>348</v>
      </c>
      <c r="D135" s="9" t="s">
        <v>194</v>
      </c>
      <c r="E135" s="13">
        <v>147.19999999999999</v>
      </c>
      <c r="F135" s="11">
        <v>1</v>
      </c>
      <c r="G135" s="12">
        <v>0.99</v>
      </c>
      <c r="H135" s="13">
        <v>637</v>
      </c>
      <c r="I135" s="13"/>
      <c r="J135" s="14">
        <v>9.3000000000000007</v>
      </c>
      <c r="K135" s="15"/>
      <c r="L135" s="13">
        <v>5</v>
      </c>
      <c r="M135" s="13">
        <v>21</v>
      </c>
      <c r="N135" s="14">
        <v>2.6</v>
      </c>
      <c r="O135" s="15"/>
    </row>
    <row r="136" spans="1:15" ht="16" x14ac:dyDescent="0.2">
      <c r="A136" s="7">
        <v>135</v>
      </c>
      <c r="B136" s="8" t="s">
        <v>387</v>
      </c>
      <c r="C136" s="8" t="s">
        <v>335</v>
      </c>
      <c r="D136" s="9" t="s">
        <v>309</v>
      </c>
      <c r="E136" s="13">
        <v>154.30000000000001</v>
      </c>
      <c r="F136" s="11">
        <v>1</v>
      </c>
      <c r="G136" s="12">
        <v>1</v>
      </c>
      <c r="H136" s="13">
        <v>637</v>
      </c>
      <c r="I136" s="13"/>
      <c r="J136" s="14">
        <v>9.1999999999999993</v>
      </c>
      <c r="K136" s="15"/>
      <c r="L136" s="13">
        <v>14</v>
      </c>
      <c r="M136" s="13">
        <v>12</v>
      </c>
      <c r="N136" s="14">
        <v>7.3</v>
      </c>
      <c r="O136" s="15"/>
    </row>
    <row r="137" spans="1:15" ht="16" x14ac:dyDescent="0.2">
      <c r="A137" s="7">
        <v>136</v>
      </c>
      <c r="B137" s="8" t="s">
        <v>394</v>
      </c>
      <c r="C137" s="8" t="s">
        <v>315</v>
      </c>
      <c r="D137" s="9" t="s">
        <v>194</v>
      </c>
      <c r="E137" s="13">
        <v>174.8</v>
      </c>
      <c r="F137" s="11">
        <v>1</v>
      </c>
      <c r="G137" s="12">
        <v>1</v>
      </c>
      <c r="H137" s="13">
        <v>593</v>
      </c>
      <c r="I137" s="13"/>
      <c r="J137" s="14">
        <v>9.1</v>
      </c>
      <c r="K137" s="15"/>
      <c r="L137" s="13">
        <v>3</v>
      </c>
      <c r="M137" s="13">
        <v>21</v>
      </c>
      <c r="N137" s="14">
        <v>9.4</v>
      </c>
      <c r="O137" s="15"/>
    </row>
    <row r="138" spans="1:15" ht="16" x14ac:dyDescent="0.2">
      <c r="A138" s="7">
        <v>137</v>
      </c>
      <c r="B138" s="8" t="s">
        <v>985</v>
      </c>
      <c r="C138" s="8" t="s">
        <v>319</v>
      </c>
      <c r="D138" s="9" t="s">
        <v>196</v>
      </c>
      <c r="E138" s="13">
        <v>95.3</v>
      </c>
      <c r="F138" s="11">
        <v>1</v>
      </c>
      <c r="G138" s="12">
        <v>1</v>
      </c>
      <c r="H138" s="13"/>
      <c r="I138" s="13">
        <v>175</v>
      </c>
      <c r="J138" s="14">
        <v>8.9</v>
      </c>
      <c r="K138" s="15"/>
      <c r="L138" s="13">
        <v>8</v>
      </c>
      <c r="M138" s="13">
        <v>13</v>
      </c>
      <c r="N138" s="14">
        <v>11.3</v>
      </c>
      <c r="O138" s="15"/>
    </row>
    <row r="139" spans="1:15" ht="16" x14ac:dyDescent="0.2">
      <c r="A139" s="7">
        <v>138</v>
      </c>
      <c r="B139" s="8" t="s">
        <v>986</v>
      </c>
      <c r="C139" s="8" t="s">
        <v>322</v>
      </c>
      <c r="D139" s="9" t="s">
        <v>196</v>
      </c>
      <c r="E139" s="13">
        <v>319.39999999999998</v>
      </c>
      <c r="F139" s="11">
        <v>1</v>
      </c>
      <c r="G139" s="12">
        <v>0.74</v>
      </c>
      <c r="H139" s="13"/>
      <c r="I139" s="13">
        <v>138</v>
      </c>
      <c r="J139" s="14">
        <v>8.8000000000000007</v>
      </c>
      <c r="K139" s="15"/>
      <c r="L139" s="13">
        <v>16</v>
      </c>
      <c r="M139" s="13">
        <v>18</v>
      </c>
      <c r="N139" s="14">
        <v>7.4</v>
      </c>
      <c r="O139" s="15"/>
    </row>
    <row r="140" spans="1:15" ht="16" x14ac:dyDescent="0.2">
      <c r="A140" s="7">
        <v>139</v>
      </c>
      <c r="B140" s="8" t="s">
        <v>987</v>
      </c>
      <c r="C140" s="8" t="s">
        <v>305</v>
      </c>
      <c r="D140" s="9" t="s">
        <v>196</v>
      </c>
      <c r="E140" s="13">
        <v>44.6</v>
      </c>
      <c r="F140" s="11">
        <v>1</v>
      </c>
      <c r="G140" s="12">
        <v>1</v>
      </c>
      <c r="H140" s="13"/>
      <c r="I140" s="13">
        <v>104</v>
      </c>
      <c r="J140" s="14">
        <v>8.8000000000000007</v>
      </c>
      <c r="K140" s="15"/>
      <c r="L140" s="13">
        <v>2</v>
      </c>
      <c r="M140" s="13">
        <v>16</v>
      </c>
      <c r="N140" s="14">
        <v>8.4</v>
      </c>
      <c r="O140" s="15"/>
    </row>
    <row r="141" spans="1:15" ht="16" x14ac:dyDescent="0.2">
      <c r="A141" s="7">
        <v>140</v>
      </c>
      <c r="B141" s="8" t="s">
        <v>356</v>
      </c>
      <c r="C141" s="8" t="s">
        <v>314</v>
      </c>
      <c r="D141" s="9" t="s">
        <v>193</v>
      </c>
      <c r="E141" s="13">
        <v>98.1</v>
      </c>
      <c r="F141" s="11">
        <v>1</v>
      </c>
      <c r="G141" s="12">
        <v>1</v>
      </c>
      <c r="H141" s="13">
        <v>454</v>
      </c>
      <c r="I141" s="13"/>
      <c r="J141" s="14">
        <v>8.6999999999999993</v>
      </c>
      <c r="K141" s="15"/>
      <c r="L141" s="13">
        <v>3</v>
      </c>
      <c r="M141" s="13">
        <v>13</v>
      </c>
      <c r="N141" s="14">
        <v>1.8</v>
      </c>
      <c r="O141" s="15"/>
    </row>
    <row r="142" spans="1:15" ht="16" x14ac:dyDescent="0.2">
      <c r="A142" s="7">
        <v>141</v>
      </c>
      <c r="B142" s="8" t="s">
        <v>988</v>
      </c>
      <c r="C142" s="8" t="s">
        <v>326</v>
      </c>
      <c r="D142" s="9" t="s">
        <v>196</v>
      </c>
      <c r="E142" s="13">
        <v>263.3</v>
      </c>
      <c r="F142" s="11">
        <v>1</v>
      </c>
      <c r="G142" s="12">
        <v>0.99</v>
      </c>
      <c r="H142" s="13"/>
      <c r="I142" s="13">
        <v>150.1</v>
      </c>
      <c r="J142" s="14">
        <v>8.6999999999999993</v>
      </c>
      <c r="K142" s="15"/>
      <c r="L142" s="13">
        <v>9</v>
      </c>
      <c r="M142" s="13">
        <v>21</v>
      </c>
      <c r="N142" s="14">
        <v>13.1</v>
      </c>
      <c r="O142" s="15"/>
    </row>
    <row r="143" spans="1:15" ht="16" x14ac:dyDescent="0.2">
      <c r="A143" s="7">
        <v>142</v>
      </c>
      <c r="B143" s="8" t="s">
        <v>242</v>
      </c>
      <c r="C143" s="8" t="s">
        <v>354</v>
      </c>
      <c r="D143" s="9" t="s">
        <v>195</v>
      </c>
      <c r="E143" s="13">
        <v>208.3</v>
      </c>
      <c r="F143" s="11">
        <v>1</v>
      </c>
      <c r="G143" s="12">
        <v>0.99</v>
      </c>
      <c r="H143" s="13">
        <v>518</v>
      </c>
      <c r="I143" s="13"/>
      <c r="J143" s="14">
        <v>8.6999999999999993</v>
      </c>
      <c r="K143" s="15"/>
      <c r="L143" s="13">
        <v>5</v>
      </c>
      <c r="M143" s="13">
        <v>14</v>
      </c>
      <c r="N143" s="14">
        <v>8.1999999999999993</v>
      </c>
      <c r="O143" s="15"/>
    </row>
    <row r="144" spans="1:15" ht="16" x14ac:dyDescent="0.2">
      <c r="A144" s="7">
        <v>143</v>
      </c>
      <c r="B144" s="8" t="s">
        <v>989</v>
      </c>
      <c r="C144" s="8" t="s">
        <v>322</v>
      </c>
      <c r="D144" s="9" t="s">
        <v>196</v>
      </c>
      <c r="E144" s="13">
        <v>98.4</v>
      </c>
      <c r="F144" s="11">
        <v>1</v>
      </c>
      <c r="G144" s="12">
        <v>1</v>
      </c>
      <c r="H144" s="13"/>
      <c r="I144" s="13">
        <v>173.1</v>
      </c>
      <c r="J144" s="14">
        <v>8.6999999999999993</v>
      </c>
      <c r="K144" s="15"/>
      <c r="L144" s="13">
        <v>2</v>
      </c>
      <c r="M144" s="13">
        <v>2</v>
      </c>
      <c r="N144" s="14">
        <v>-17.7</v>
      </c>
      <c r="O144" s="15"/>
    </row>
    <row r="145" spans="1:15" ht="16" x14ac:dyDescent="0.2">
      <c r="A145" s="7">
        <v>144</v>
      </c>
      <c r="B145" s="8" t="s">
        <v>990</v>
      </c>
      <c r="C145" s="8" t="s">
        <v>348</v>
      </c>
      <c r="D145" s="9" t="s">
        <v>196</v>
      </c>
      <c r="E145" s="13">
        <v>325</v>
      </c>
      <c r="F145" s="11">
        <v>1</v>
      </c>
      <c r="G145" s="12">
        <v>0.78</v>
      </c>
      <c r="H145" s="13"/>
      <c r="I145" s="13">
        <v>177</v>
      </c>
      <c r="J145" s="14">
        <v>8.5</v>
      </c>
      <c r="K145" s="15"/>
      <c r="L145" s="13">
        <v>5</v>
      </c>
      <c r="M145" s="13">
        <v>5</v>
      </c>
      <c r="N145" s="14">
        <v>0.8</v>
      </c>
      <c r="O145" s="15"/>
    </row>
    <row r="146" spans="1:15" ht="16" x14ac:dyDescent="0.2">
      <c r="A146" s="7">
        <v>145</v>
      </c>
      <c r="B146" s="8" t="s">
        <v>991</v>
      </c>
      <c r="C146" s="8" t="s">
        <v>316</v>
      </c>
      <c r="D146" s="9" t="s">
        <v>196</v>
      </c>
      <c r="E146" s="13">
        <v>121</v>
      </c>
      <c r="F146" s="11">
        <v>1</v>
      </c>
      <c r="G146" s="12">
        <v>1</v>
      </c>
      <c r="H146" s="13"/>
      <c r="I146" s="13">
        <v>148</v>
      </c>
      <c r="J146" s="14">
        <v>8.5</v>
      </c>
      <c r="K146" s="15"/>
      <c r="L146" s="13">
        <v>17</v>
      </c>
      <c r="M146" s="13">
        <v>15</v>
      </c>
      <c r="N146" s="14">
        <v>2.2000000000000002</v>
      </c>
      <c r="O146" s="15"/>
    </row>
    <row r="147" spans="1:15" ht="16" x14ac:dyDescent="0.2">
      <c r="A147" s="7">
        <v>146</v>
      </c>
      <c r="B147" s="8" t="s">
        <v>992</v>
      </c>
      <c r="C147" s="8" t="s">
        <v>354</v>
      </c>
      <c r="D147" s="9" t="s">
        <v>196</v>
      </c>
      <c r="E147" s="13">
        <v>99.5</v>
      </c>
      <c r="F147" s="11">
        <v>1</v>
      </c>
      <c r="G147" s="12">
        <v>1</v>
      </c>
      <c r="H147" s="13"/>
      <c r="I147" s="13">
        <v>204.1</v>
      </c>
      <c r="J147" s="14">
        <v>8.4</v>
      </c>
      <c r="K147" s="15"/>
      <c r="L147" s="13">
        <v>7</v>
      </c>
      <c r="M147" s="13">
        <v>18</v>
      </c>
      <c r="N147" s="14">
        <v>6.8</v>
      </c>
      <c r="O147" s="15"/>
    </row>
    <row r="148" spans="1:15" ht="16" x14ac:dyDescent="0.2">
      <c r="A148" s="7">
        <v>147</v>
      </c>
      <c r="B148" s="8" t="s">
        <v>427</v>
      </c>
      <c r="C148" s="8" t="s">
        <v>348</v>
      </c>
      <c r="D148" s="9" t="s">
        <v>193</v>
      </c>
      <c r="E148" s="13">
        <v>234.6</v>
      </c>
      <c r="F148" s="11">
        <v>1</v>
      </c>
      <c r="G148" s="12">
        <v>0.99</v>
      </c>
      <c r="H148" s="13">
        <v>635</v>
      </c>
      <c r="I148" s="13"/>
      <c r="J148" s="14">
        <v>8.4</v>
      </c>
      <c r="K148" s="15"/>
      <c r="L148" s="13">
        <v>16</v>
      </c>
      <c r="M148" s="13">
        <v>19</v>
      </c>
      <c r="N148" s="14">
        <v>4.4000000000000004</v>
      </c>
      <c r="O148" s="15"/>
    </row>
    <row r="149" spans="1:15" ht="16" x14ac:dyDescent="0.2">
      <c r="A149" s="7">
        <v>148</v>
      </c>
      <c r="B149" s="8" t="s">
        <v>430</v>
      </c>
      <c r="C149" s="8" t="s">
        <v>348</v>
      </c>
      <c r="D149" s="9" t="s">
        <v>431</v>
      </c>
      <c r="E149" s="13">
        <v>237.7</v>
      </c>
      <c r="F149" s="11">
        <v>1</v>
      </c>
      <c r="G149" s="12">
        <v>0.98</v>
      </c>
      <c r="H149" s="13">
        <v>652</v>
      </c>
      <c r="I149" s="13"/>
      <c r="J149" s="14">
        <v>8.1999999999999993</v>
      </c>
      <c r="K149" s="15"/>
      <c r="L149" s="13">
        <v>0</v>
      </c>
      <c r="M149" s="13">
        <v>14</v>
      </c>
      <c r="N149" s="14">
        <v>3.4</v>
      </c>
      <c r="O149" s="15"/>
    </row>
    <row r="150" spans="1:15" ht="16" x14ac:dyDescent="0.2">
      <c r="A150" s="7">
        <v>149</v>
      </c>
      <c r="B150" s="8" t="s">
        <v>993</v>
      </c>
      <c r="C150" s="8" t="s">
        <v>314</v>
      </c>
      <c r="D150" s="9" t="s">
        <v>196</v>
      </c>
      <c r="E150" s="13">
        <v>647.1</v>
      </c>
      <c r="F150" s="11">
        <v>0.97</v>
      </c>
      <c r="G150" s="12">
        <v>0.01</v>
      </c>
      <c r="H150" s="13"/>
      <c r="I150" s="13">
        <v>74</v>
      </c>
      <c r="J150" s="14">
        <v>8.1</v>
      </c>
      <c r="K150" s="15"/>
      <c r="L150" s="13">
        <v>5</v>
      </c>
      <c r="M150" s="13">
        <v>3</v>
      </c>
      <c r="N150" s="14">
        <v>-13.3</v>
      </c>
      <c r="O150" s="15"/>
    </row>
    <row r="151" spans="1:15" ht="16" x14ac:dyDescent="0.2">
      <c r="A151" s="7">
        <v>150</v>
      </c>
      <c r="B151" s="8" t="s">
        <v>198</v>
      </c>
      <c r="C151" s="8" t="s">
        <v>317</v>
      </c>
      <c r="D151" s="9" t="s">
        <v>195</v>
      </c>
      <c r="E151" s="13">
        <v>10.6</v>
      </c>
      <c r="F151" s="11">
        <v>1</v>
      </c>
      <c r="G151" s="12">
        <v>1</v>
      </c>
      <c r="H151" s="13">
        <v>438</v>
      </c>
      <c r="I151" s="13"/>
      <c r="J151" s="14">
        <v>8.1</v>
      </c>
      <c r="K151" s="15"/>
      <c r="L151" s="13">
        <v>0</v>
      </c>
      <c r="M151" s="13">
        <v>2</v>
      </c>
      <c r="N151" s="14">
        <v>-21</v>
      </c>
      <c r="O151" s="15"/>
    </row>
    <row r="152" spans="1:15" ht="16" x14ac:dyDescent="0.2">
      <c r="A152" s="7">
        <v>151</v>
      </c>
      <c r="B152" s="8" t="s">
        <v>471</v>
      </c>
      <c r="C152" s="8" t="s">
        <v>335</v>
      </c>
      <c r="D152" s="9" t="s">
        <v>306</v>
      </c>
      <c r="E152" s="13">
        <v>323.5</v>
      </c>
      <c r="F152" s="11">
        <v>1</v>
      </c>
      <c r="G152" s="12">
        <v>0.69</v>
      </c>
      <c r="H152" s="13">
        <v>449</v>
      </c>
      <c r="I152" s="13"/>
      <c r="J152" s="14">
        <v>8.1</v>
      </c>
      <c r="K152" s="15"/>
      <c r="L152" s="13">
        <v>13</v>
      </c>
      <c r="M152" s="13">
        <v>15</v>
      </c>
      <c r="N152" s="14">
        <v>7.1</v>
      </c>
      <c r="O152" s="15"/>
    </row>
    <row r="153" spans="1:15" ht="16" x14ac:dyDescent="0.2">
      <c r="A153" s="7">
        <v>152</v>
      </c>
      <c r="B153" s="8" t="s">
        <v>417</v>
      </c>
      <c r="C153" s="8" t="s">
        <v>307</v>
      </c>
      <c r="D153" s="9" t="s">
        <v>352</v>
      </c>
      <c r="E153" s="13">
        <v>214.4</v>
      </c>
      <c r="F153" s="11">
        <v>1</v>
      </c>
      <c r="G153" s="12">
        <v>0.98</v>
      </c>
      <c r="H153" s="13">
        <v>626</v>
      </c>
      <c r="I153" s="13"/>
      <c r="J153" s="14">
        <v>8</v>
      </c>
      <c r="K153" s="15"/>
      <c r="L153" s="13">
        <v>6</v>
      </c>
      <c r="M153" s="13">
        <v>2</v>
      </c>
      <c r="N153" s="14">
        <v>-18.7</v>
      </c>
      <c r="O153" s="15"/>
    </row>
    <row r="154" spans="1:15" ht="16" x14ac:dyDescent="0.2">
      <c r="A154" s="7">
        <v>153</v>
      </c>
      <c r="B154" s="8" t="s">
        <v>994</v>
      </c>
      <c r="C154" s="8" t="s">
        <v>995</v>
      </c>
      <c r="D154" s="9" t="s">
        <v>197</v>
      </c>
      <c r="E154" s="13">
        <v>44.1</v>
      </c>
      <c r="F154" s="11">
        <v>1</v>
      </c>
      <c r="G154" s="12">
        <v>1</v>
      </c>
      <c r="H154" s="13"/>
      <c r="I154" s="13">
        <v>65</v>
      </c>
      <c r="J154" s="14">
        <v>7.9</v>
      </c>
      <c r="K154" s="15"/>
      <c r="L154" s="13">
        <v>7</v>
      </c>
      <c r="M154" s="13">
        <v>13</v>
      </c>
      <c r="N154" s="14">
        <v>1.9</v>
      </c>
      <c r="O154" s="15"/>
    </row>
    <row r="155" spans="1:15" ht="16" x14ac:dyDescent="0.2">
      <c r="A155" s="7">
        <v>154</v>
      </c>
      <c r="B155" s="8" t="s">
        <v>18</v>
      </c>
      <c r="C155" s="8" t="s">
        <v>315</v>
      </c>
      <c r="D155" s="9" t="s">
        <v>195</v>
      </c>
      <c r="E155" s="13">
        <v>8.3000000000000007</v>
      </c>
      <c r="F155" s="11">
        <v>1</v>
      </c>
      <c r="G155" s="12">
        <v>1</v>
      </c>
      <c r="H155" s="13">
        <v>339</v>
      </c>
      <c r="I155" s="13"/>
      <c r="J155" s="14">
        <v>7.8</v>
      </c>
      <c r="K155" s="15"/>
      <c r="L155" s="13">
        <v>11</v>
      </c>
      <c r="M155" s="13">
        <v>8</v>
      </c>
      <c r="N155" s="14">
        <v>-8.3000000000000007</v>
      </c>
      <c r="O155" s="15"/>
    </row>
    <row r="156" spans="1:15" ht="16" x14ac:dyDescent="0.2">
      <c r="A156" s="7">
        <v>155</v>
      </c>
      <c r="B156" s="8" t="s">
        <v>996</v>
      </c>
      <c r="C156" s="8" t="s">
        <v>320</v>
      </c>
      <c r="D156" s="9" t="s">
        <v>196</v>
      </c>
      <c r="E156" s="13">
        <v>170.9</v>
      </c>
      <c r="F156" s="11">
        <v>1</v>
      </c>
      <c r="G156" s="12">
        <v>0.99</v>
      </c>
      <c r="H156" s="13"/>
      <c r="I156" s="13">
        <v>181</v>
      </c>
      <c r="J156" s="14">
        <v>7.4</v>
      </c>
      <c r="K156" s="15"/>
      <c r="L156" s="13">
        <v>9</v>
      </c>
      <c r="M156" s="13">
        <v>13</v>
      </c>
      <c r="N156" s="14">
        <v>-3.5</v>
      </c>
      <c r="O156" s="15"/>
    </row>
    <row r="157" spans="1:15" ht="16" x14ac:dyDescent="0.2">
      <c r="A157" s="7">
        <v>156</v>
      </c>
      <c r="B157" s="8" t="s">
        <v>213</v>
      </c>
      <c r="C157" s="8" t="s">
        <v>385</v>
      </c>
      <c r="D157" s="9" t="s">
        <v>195</v>
      </c>
      <c r="E157" s="13">
        <v>233.9</v>
      </c>
      <c r="F157" s="11">
        <v>1</v>
      </c>
      <c r="G157" s="12">
        <v>0.98</v>
      </c>
      <c r="H157" s="13">
        <v>537</v>
      </c>
      <c r="I157" s="13"/>
      <c r="J157" s="14">
        <v>7.4</v>
      </c>
      <c r="K157" s="15"/>
      <c r="L157" s="13">
        <v>0</v>
      </c>
      <c r="M157" s="13">
        <v>5</v>
      </c>
      <c r="N157" s="14">
        <v>-1.4</v>
      </c>
      <c r="O157" s="15"/>
    </row>
    <row r="158" spans="1:15" ht="16" x14ac:dyDescent="0.2">
      <c r="A158" s="7">
        <v>157</v>
      </c>
      <c r="B158" s="8" t="s">
        <v>420</v>
      </c>
      <c r="C158" s="8" t="s">
        <v>367</v>
      </c>
      <c r="D158" s="9" t="s">
        <v>309</v>
      </c>
      <c r="E158" s="13">
        <v>219.1</v>
      </c>
      <c r="F158" s="11">
        <v>1</v>
      </c>
      <c r="G158" s="12">
        <v>1</v>
      </c>
      <c r="H158" s="13">
        <v>574</v>
      </c>
      <c r="I158" s="13"/>
      <c r="J158" s="14">
        <v>7.4</v>
      </c>
      <c r="K158" s="15"/>
      <c r="L158" s="13">
        <v>2</v>
      </c>
      <c r="M158" s="13">
        <v>16</v>
      </c>
      <c r="N158" s="14">
        <v>4.3</v>
      </c>
      <c r="O158" s="15"/>
    </row>
    <row r="159" spans="1:15" ht="16" x14ac:dyDescent="0.2">
      <c r="A159" s="7">
        <v>158</v>
      </c>
      <c r="B159" s="8" t="s">
        <v>423</v>
      </c>
      <c r="C159" s="8" t="s">
        <v>371</v>
      </c>
      <c r="D159" s="9" t="s">
        <v>424</v>
      </c>
      <c r="E159" s="13">
        <v>233</v>
      </c>
      <c r="F159" s="11">
        <v>1</v>
      </c>
      <c r="G159" s="12">
        <v>0.96</v>
      </c>
      <c r="H159" s="13">
        <v>635</v>
      </c>
      <c r="I159" s="13"/>
      <c r="J159" s="14">
        <v>7.3</v>
      </c>
      <c r="K159" s="15"/>
      <c r="L159" s="13">
        <v>7</v>
      </c>
      <c r="M159" s="13">
        <v>12</v>
      </c>
      <c r="N159" s="14">
        <v>-4.0999999999999996</v>
      </c>
      <c r="O159" s="15"/>
    </row>
    <row r="160" spans="1:15" ht="16" x14ac:dyDescent="0.2">
      <c r="A160" s="7">
        <v>159</v>
      </c>
      <c r="B160" s="8" t="s">
        <v>393</v>
      </c>
      <c r="C160" s="8" t="s">
        <v>320</v>
      </c>
      <c r="D160" s="9" t="s">
        <v>192</v>
      </c>
      <c r="E160" s="13">
        <v>171.2</v>
      </c>
      <c r="F160" s="11">
        <v>1</v>
      </c>
      <c r="G160" s="12">
        <v>1</v>
      </c>
      <c r="H160" s="13">
        <v>633</v>
      </c>
      <c r="I160" s="13"/>
      <c r="J160" s="14">
        <v>7.3</v>
      </c>
      <c r="K160" s="15"/>
      <c r="L160" s="13">
        <v>1</v>
      </c>
      <c r="M160" s="13">
        <v>15</v>
      </c>
      <c r="N160" s="14">
        <v>-3.3</v>
      </c>
      <c r="O160" s="15"/>
    </row>
    <row r="161" spans="1:15" ht="16" x14ac:dyDescent="0.2">
      <c r="A161" s="7">
        <v>160</v>
      </c>
      <c r="B161" s="8" t="s">
        <v>256</v>
      </c>
      <c r="C161" s="8" t="s">
        <v>315</v>
      </c>
      <c r="D161" s="9" t="s">
        <v>196</v>
      </c>
      <c r="E161" s="13">
        <v>121</v>
      </c>
      <c r="F161" s="11">
        <v>1</v>
      </c>
      <c r="G161" s="12">
        <v>1</v>
      </c>
      <c r="H161" s="13"/>
      <c r="I161" s="13">
        <v>134.1</v>
      </c>
      <c r="J161" s="14">
        <v>7.3</v>
      </c>
      <c r="K161" s="15"/>
      <c r="L161" s="13">
        <v>2</v>
      </c>
      <c r="M161" s="13">
        <v>21</v>
      </c>
      <c r="N161" s="14">
        <v>5.2</v>
      </c>
      <c r="O161" s="15"/>
    </row>
    <row r="162" spans="1:15" ht="16" x14ac:dyDescent="0.2">
      <c r="A162" s="7">
        <v>161</v>
      </c>
      <c r="B162" s="8" t="s">
        <v>438</v>
      </c>
      <c r="C162" s="8" t="s">
        <v>307</v>
      </c>
      <c r="D162" s="9" t="s">
        <v>192</v>
      </c>
      <c r="E162" s="13">
        <v>248.6</v>
      </c>
      <c r="F162" s="11">
        <v>1</v>
      </c>
      <c r="G162" s="12">
        <v>0.97</v>
      </c>
      <c r="H162" s="13">
        <v>637</v>
      </c>
      <c r="I162" s="13"/>
      <c r="J162" s="14">
        <v>7.1</v>
      </c>
      <c r="K162" s="15"/>
      <c r="L162" s="13">
        <v>2</v>
      </c>
      <c r="M162" s="13">
        <v>19</v>
      </c>
      <c r="N162" s="14">
        <v>1.7</v>
      </c>
      <c r="O162" s="15"/>
    </row>
    <row r="163" spans="1:15" ht="16" x14ac:dyDescent="0.2">
      <c r="A163" s="7">
        <v>162</v>
      </c>
      <c r="B163" s="8" t="s">
        <v>997</v>
      </c>
      <c r="C163" s="8" t="s">
        <v>323</v>
      </c>
      <c r="D163" s="9" t="s">
        <v>196</v>
      </c>
      <c r="E163" s="13">
        <v>98</v>
      </c>
      <c r="F163" s="11">
        <v>1</v>
      </c>
      <c r="G163" s="12">
        <v>1</v>
      </c>
      <c r="H163" s="13"/>
      <c r="I163" s="13">
        <v>170</v>
      </c>
      <c r="J163" s="14">
        <v>7.1</v>
      </c>
      <c r="K163" s="15"/>
      <c r="L163" s="13">
        <v>0</v>
      </c>
      <c r="M163" s="13">
        <v>13</v>
      </c>
      <c r="N163" s="14">
        <v>3.5</v>
      </c>
      <c r="O163" s="15"/>
    </row>
    <row r="164" spans="1:15" ht="16" x14ac:dyDescent="0.2">
      <c r="A164" s="7">
        <v>163</v>
      </c>
      <c r="B164" s="8" t="s">
        <v>998</v>
      </c>
      <c r="C164" s="8" t="s">
        <v>305</v>
      </c>
      <c r="D164" s="9" t="s">
        <v>196</v>
      </c>
      <c r="E164" s="13">
        <v>58.5</v>
      </c>
      <c r="F164" s="11">
        <v>1</v>
      </c>
      <c r="G164" s="12">
        <v>1</v>
      </c>
      <c r="H164" s="13"/>
      <c r="I164" s="13">
        <v>90</v>
      </c>
      <c r="J164" s="14">
        <v>7</v>
      </c>
      <c r="K164" s="15"/>
      <c r="L164" s="13">
        <v>3</v>
      </c>
      <c r="M164" s="13">
        <v>13</v>
      </c>
      <c r="N164" s="14">
        <v>-7</v>
      </c>
      <c r="O164" s="15"/>
    </row>
    <row r="165" spans="1:15" ht="16" x14ac:dyDescent="0.2">
      <c r="A165" s="7">
        <v>164</v>
      </c>
      <c r="B165" s="8" t="s">
        <v>236</v>
      </c>
      <c r="C165" s="8" t="s">
        <v>326</v>
      </c>
      <c r="D165" s="9" t="s">
        <v>192</v>
      </c>
      <c r="E165" s="13">
        <v>178.6</v>
      </c>
      <c r="F165" s="11">
        <v>1</v>
      </c>
      <c r="G165" s="12">
        <v>0.98</v>
      </c>
      <c r="H165" s="13">
        <v>571</v>
      </c>
      <c r="I165" s="13"/>
      <c r="J165" s="14">
        <v>7</v>
      </c>
      <c r="K165" s="15"/>
      <c r="L165" s="13">
        <v>8</v>
      </c>
      <c r="M165" s="13">
        <v>21</v>
      </c>
      <c r="N165" s="14">
        <v>-3.4</v>
      </c>
      <c r="O165" s="15"/>
    </row>
    <row r="166" spans="1:15" ht="16" x14ac:dyDescent="0.2">
      <c r="A166" s="7">
        <v>165</v>
      </c>
      <c r="B166" s="8" t="s">
        <v>380</v>
      </c>
      <c r="C166" s="8" t="s">
        <v>326</v>
      </c>
      <c r="D166" s="9" t="s">
        <v>190</v>
      </c>
      <c r="E166" s="13">
        <v>142.69999999999999</v>
      </c>
      <c r="F166" s="11">
        <v>1</v>
      </c>
      <c r="G166" s="12">
        <v>1</v>
      </c>
      <c r="H166" s="13">
        <v>413</v>
      </c>
      <c r="I166" s="13"/>
      <c r="J166" s="14">
        <v>7</v>
      </c>
      <c r="K166" s="15"/>
      <c r="L166" s="13">
        <v>2</v>
      </c>
      <c r="M166" s="13">
        <v>20</v>
      </c>
      <c r="N166" s="14">
        <v>4.8</v>
      </c>
      <c r="O166" s="15"/>
    </row>
    <row r="167" spans="1:15" ht="16" x14ac:dyDescent="0.2">
      <c r="A167" s="7">
        <v>166</v>
      </c>
      <c r="B167" s="8" t="s">
        <v>999</v>
      </c>
      <c r="C167" s="8" t="s">
        <v>326</v>
      </c>
      <c r="D167" s="9" t="s">
        <v>196</v>
      </c>
      <c r="E167" s="13">
        <v>172.8</v>
      </c>
      <c r="F167" s="11">
        <v>1</v>
      </c>
      <c r="G167" s="12">
        <v>1</v>
      </c>
      <c r="H167" s="13"/>
      <c r="I167" s="13">
        <v>181.1</v>
      </c>
      <c r="J167" s="14">
        <v>6.9</v>
      </c>
      <c r="K167" s="15"/>
      <c r="L167" s="13">
        <v>3</v>
      </c>
      <c r="M167" s="13">
        <v>9</v>
      </c>
      <c r="N167" s="14">
        <v>-11.5</v>
      </c>
      <c r="O167" s="15"/>
    </row>
    <row r="168" spans="1:15" ht="16" x14ac:dyDescent="0.2">
      <c r="A168" s="7">
        <v>167</v>
      </c>
      <c r="B168" s="8" t="s">
        <v>1000</v>
      </c>
      <c r="C168" s="8" t="s">
        <v>313</v>
      </c>
      <c r="D168" s="9" t="s">
        <v>196</v>
      </c>
      <c r="E168" s="13">
        <v>103</v>
      </c>
      <c r="F168" s="11">
        <v>1</v>
      </c>
      <c r="G168" s="12">
        <v>1</v>
      </c>
      <c r="H168" s="13"/>
      <c r="I168" s="13">
        <v>116.1</v>
      </c>
      <c r="J168" s="14">
        <v>6.8</v>
      </c>
      <c r="K168" s="15"/>
      <c r="L168" s="13">
        <v>4</v>
      </c>
      <c r="M168" s="13">
        <v>20</v>
      </c>
      <c r="N168" s="14">
        <v>4.7</v>
      </c>
      <c r="O168" s="15"/>
    </row>
    <row r="169" spans="1:15" ht="16" x14ac:dyDescent="0.2">
      <c r="A169" s="7">
        <v>168</v>
      </c>
      <c r="B169" s="8" t="s">
        <v>23</v>
      </c>
      <c r="C169" s="8" t="s">
        <v>371</v>
      </c>
      <c r="D169" s="9" t="s">
        <v>195</v>
      </c>
      <c r="E169" s="13">
        <v>240.7</v>
      </c>
      <c r="F169" s="11">
        <v>1</v>
      </c>
      <c r="G169" s="12">
        <v>0.99</v>
      </c>
      <c r="H169" s="13">
        <v>388</v>
      </c>
      <c r="I169" s="13"/>
      <c r="J169" s="14">
        <v>6.8</v>
      </c>
      <c r="K169" s="15"/>
      <c r="L169" s="13">
        <v>1</v>
      </c>
      <c r="M169" s="13">
        <v>5</v>
      </c>
      <c r="N169" s="14">
        <v>-17.3</v>
      </c>
      <c r="O169" s="15"/>
    </row>
    <row r="170" spans="1:15" ht="16" x14ac:dyDescent="0.2">
      <c r="A170" s="7">
        <v>169</v>
      </c>
      <c r="B170" s="8" t="s">
        <v>556</v>
      </c>
      <c r="C170" s="8" t="s">
        <v>311</v>
      </c>
      <c r="D170" s="9" t="s">
        <v>557</v>
      </c>
      <c r="E170" s="13">
        <v>493.8</v>
      </c>
      <c r="F170" s="11">
        <v>1</v>
      </c>
      <c r="G170" s="12">
        <v>0.11</v>
      </c>
      <c r="H170" s="13">
        <v>392</v>
      </c>
      <c r="I170" s="13"/>
      <c r="J170" s="14">
        <v>6.8</v>
      </c>
      <c r="K170" s="15"/>
      <c r="L170" s="13">
        <v>0</v>
      </c>
      <c r="M170" s="13">
        <v>20</v>
      </c>
      <c r="N170" s="14">
        <v>2.1</v>
      </c>
      <c r="O170" s="15"/>
    </row>
    <row r="171" spans="1:15" ht="16" x14ac:dyDescent="0.2">
      <c r="A171" s="7">
        <v>170</v>
      </c>
      <c r="B171" s="8" t="s">
        <v>1001</v>
      </c>
      <c r="C171" s="8" t="s">
        <v>313</v>
      </c>
      <c r="D171" s="9" t="s">
        <v>196</v>
      </c>
      <c r="E171" s="13">
        <v>188</v>
      </c>
      <c r="F171" s="11">
        <v>1</v>
      </c>
      <c r="G171" s="12">
        <v>1</v>
      </c>
      <c r="H171" s="13"/>
      <c r="I171" s="13">
        <v>165</v>
      </c>
      <c r="J171" s="14">
        <v>6.7</v>
      </c>
      <c r="K171" s="15"/>
      <c r="L171" s="13">
        <v>3</v>
      </c>
      <c r="M171" s="13">
        <v>26</v>
      </c>
      <c r="N171" s="14">
        <v>3.9</v>
      </c>
      <c r="O171" s="15"/>
    </row>
    <row r="172" spans="1:15" ht="16" x14ac:dyDescent="0.2">
      <c r="A172" s="7">
        <v>171</v>
      </c>
      <c r="B172" s="8" t="s">
        <v>395</v>
      </c>
      <c r="C172" s="8" t="s">
        <v>308</v>
      </c>
      <c r="D172" s="9" t="s">
        <v>191</v>
      </c>
      <c r="E172" s="13">
        <v>177.4</v>
      </c>
      <c r="F172" s="11">
        <v>1</v>
      </c>
      <c r="G172" s="12">
        <v>1</v>
      </c>
      <c r="H172" s="13">
        <v>654</v>
      </c>
      <c r="I172" s="13"/>
      <c r="J172" s="14">
        <v>6.7</v>
      </c>
      <c r="K172" s="15"/>
      <c r="L172" s="13">
        <v>15</v>
      </c>
      <c r="M172" s="13">
        <v>20</v>
      </c>
      <c r="N172" s="14">
        <v>2.2000000000000002</v>
      </c>
      <c r="O172" s="15"/>
    </row>
    <row r="173" spans="1:15" ht="16" x14ac:dyDescent="0.2">
      <c r="A173" s="7">
        <v>172</v>
      </c>
      <c r="B173" s="8" t="s">
        <v>378</v>
      </c>
      <c r="C173" s="8" t="s">
        <v>319</v>
      </c>
      <c r="D173" s="9" t="s">
        <v>195</v>
      </c>
      <c r="E173" s="13">
        <v>137.6</v>
      </c>
      <c r="F173" s="11">
        <v>1</v>
      </c>
      <c r="G173" s="12">
        <v>1</v>
      </c>
      <c r="H173" s="13">
        <v>648</v>
      </c>
      <c r="I173" s="13"/>
      <c r="J173" s="14">
        <v>6.7</v>
      </c>
      <c r="K173" s="15"/>
      <c r="L173" s="13">
        <v>11</v>
      </c>
      <c r="M173" s="13">
        <v>11</v>
      </c>
      <c r="N173" s="14">
        <v>1</v>
      </c>
      <c r="O173" s="15"/>
    </row>
    <row r="174" spans="1:15" ht="16" x14ac:dyDescent="0.2">
      <c r="A174" s="7">
        <v>173</v>
      </c>
      <c r="B174" s="8" t="s">
        <v>470</v>
      </c>
      <c r="C174" s="8" t="s">
        <v>362</v>
      </c>
      <c r="D174" s="9" t="s">
        <v>328</v>
      </c>
      <c r="E174" s="13">
        <v>319.10000000000002</v>
      </c>
      <c r="F174" s="11">
        <v>1</v>
      </c>
      <c r="G174" s="12">
        <v>0.68</v>
      </c>
      <c r="H174" s="13">
        <v>567</v>
      </c>
      <c r="I174" s="13"/>
      <c r="J174" s="14">
        <v>6.7</v>
      </c>
      <c r="K174" s="15"/>
      <c r="L174" s="13">
        <v>2</v>
      </c>
      <c r="M174" s="13">
        <v>5</v>
      </c>
      <c r="N174" s="14">
        <v>-16.8</v>
      </c>
      <c r="O174" s="15"/>
    </row>
    <row r="175" spans="1:15" ht="16" x14ac:dyDescent="0.2">
      <c r="A175" s="7">
        <v>174</v>
      </c>
      <c r="B175" s="8" t="s">
        <v>1002</v>
      </c>
      <c r="C175" s="8" t="s">
        <v>337</v>
      </c>
      <c r="D175" s="9" t="s">
        <v>196</v>
      </c>
      <c r="E175" s="13">
        <v>527</v>
      </c>
      <c r="F175" s="11">
        <v>1</v>
      </c>
      <c r="G175" s="12">
        <v>0.02</v>
      </c>
      <c r="H175" s="13"/>
      <c r="I175" s="13">
        <v>66.099999999999994</v>
      </c>
      <c r="J175" s="14">
        <v>6.5</v>
      </c>
      <c r="K175" s="15"/>
      <c r="L175" s="13">
        <v>0</v>
      </c>
      <c r="M175" s="13">
        <v>9</v>
      </c>
      <c r="N175" s="14">
        <v>-15.2</v>
      </c>
      <c r="O175" s="15"/>
    </row>
    <row r="176" spans="1:15" ht="16" x14ac:dyDescent="0.2">
      <c r="A176" s="7">
        <v>175</v>
      </c>
      <c r="B176" s="8" t="s">
        <v>289</v>
      </c>
      <c r="C176" s="8" t="s">
        <v>371</v>
      </c>
      <c r="D176" s="9" t="s">
        <v>197</v>
      </c>
      <c r="E176" s="13">
        <v>295.60000000000002</v>
      </c>
      <c r="F176" s="11">
        <v>1</v>
      </c>
      <c r="G176" s="12">
        <v>0.84</v>
      </c>
      <c r="H176" s="13"/>
      <c r="I176" s="13">
        <v>71</v>
      </c>
      <c r="J176" s="14">
        <v>6.3</v>
      </c>
      <c r="K176" s="15"/>
      <c r="L176" s="13">
        <v>6</v>
      </c>
      <c r="M176" s="13">
        <v>13</v>
      </c>
      <c r="N176" s="14">
        <v>-1.4</v>
      </c>
      <c r="O176" s="15"/>
    </row>
    <row r="177" spans="1:15" ht="16" x14ac:dyDescent="0.2">
      <c r="A177" s="7">
        <v>176</v>
      </c>
      <c r="B177" s="8" t="s">
        <v>259</v>
      </c>
      <c r="C177" s="8" t="s">
        <v>346</v>
      </c>
      <c r="D177" s="9" t="s">
        <v>196</v>
      </c>
      <c r="E177" s="13">
        <v>166.3</v>
      </c>
      <c r="F177" s="11">
        <v>1</v>
      </c>
      <c r="G177" s="12">
        <v>1</v>
      </c>
      <c r="H177" s="13"/>
      <c r="I177" s="13">
        <v>130</v>
      </c>
      <c r="J177" s="14">
        <v>6.3</v>
      </c>
      <c r="K177" s="15"/>
      <c r="L177" s="13">
        <v>5</v>
      </c>
      <c r="M177" s="13">
        <v>17</v>
      </c>
      <c r="N177" s="14">
        <v>6</v>
      </c>
      <c r="O177" s="15"/>
    </row>
    <row r="178" spans="1:15" ht="16" x14ac:dyDescent="0.2">
      <c r="A178" s="7">
        <v>177</v>
      </c>
      <c r="B178" s="8" t="s">
        <v>422</v>
      </c>
      <c r="C178" s="8" t="s">
        <v>362</v>
      </c>
      <c r="D178" s="9" t="s">
        <v>192</v>
      </c>
      <c r="E178" s="13">
        <v>225.2</v>
      </c>
      <c r="F178" s="11">
        <v>1</v>
      </c>
      <c r="G178" s="12">
        <v>0.98</v>
      </c>
      <c r="H178" s="13">
        <v>665</v>
      </c>
      <c r="I178" s="13"/>
      <c r="J178" s="14">
        <v>6.2</v>
      </c>
      <c r="K178" s="15"/>
      <c r="L178" s="13">
        <v>33</v>
      </c>
      <c r="M178" s="13">
        <v>3</v>
      </c>
      <c r="N178" s="14">
        <v>5</v>
      </c>
      <c r="O178" s="15"/>
    </row>
    <row r="179" spans="1:15" ht="16" x14ac:dyDescent="0.2">
      <c r="A179" s="7">
        <v>178</v>
      </c>
      <c r="B179" s="8" t="s">
        <v>1003</v>
      </c>
      <c r="C179" s="8" t="s">
        <v>322</v>
      </c>
      <c r="D179" s="9" t="s">
        <v>196</v>
      </c>
      <c r="E179" s="13">
        <v>270.10000000000002</v>
      </c>
      <c r="F179" s="11">
        <v>1</v>
      </c>
      <c r="G179" s="12">
        <v>0.98</v>
      </c>
      <c r="H179" s="13"/>
      <c r="I179" s="13">
        <v>174</v>
      </c>
      <c r="J179" s="14">
        <v>6.1</v>
      </c>
      <c r="K179" s="15"/>
      <c r="L179" s="13">
        <v>11</v>
      </c>
      <c r="M179" s="13">
        <v>22</v>
      </c>
      <c r="N179" s="14">
        <v>5.5</v>
      </c>
      <c r="O179" s="15"/>
    </row>
    <row r="180" spans="1:15" ht="16" x14ac:dyDescent="0.2">
      <c r="A180" s="7">
        <v>179</v>
      </c>
      <c r="B180" s="8" t="s">
        <v>459</v>
      </c>
      <c r="C180" s="8" t="s">
        <v>317</v>
      </c>
      <c r="D180" s="9" t="s">
        <v>460</v>
      </c>
      <c r="E180" s="13">
        <v>289.3</v>
      </c>
      <c r="F180" s="11">
        <v>1</v>
      </c>
      <c r="G180" s="12">
        <v>0.93</v>
      </c>
      <c r="H180" s="13">
        <v>656</v>
      </c>
      <c r="I180" s="13"/>
      <c r="J180" s="14">
        <v>6</v>
      </c>
      <c r="K180" s="15"/>
      <c r="L180" s="13">
        <v>4</v>
      </c>
      <c r="M180" s="13">
        <v>20</v>
      </c>
      <c r="N180" s="14">
        <v>-1.5</v>
      </c>
      <c r="O180" s="15"/>
    </row>
    <row r="181" spans="1:15" ht="16" x14ac:dyDescent="0.2">
      <c r="A181" s="7">
        <v>180</v>
      </c>
      <c r="B181" s="8" t="s">
        <v>1004</v>
      </c>
      <c r="C181" s="8" t="s">
        <v>322</v>
      </c>
      <c r="D181" s="9" t="s">
        <v>1005</v>
      </c>
      <c r="E181" s="13">
        <v>731.5</v>
      </c>
      <c r="F181" s="11">
        <v>0.14000000000000001</v>
      </c>
      <c r="G181" s="12">
        <v>0</v>
      </c>
      <c r="H181" s="13"/>
      <c r="I181" s="13">
        <v>62</v>
      </c>
      <c r="J181" s="14">
        <v>5.9</v>
      </c>
      <c r="K181" s="15"/>
      <c r="L181" s="13">
        <v>2</v>
      </c>
      <c r="M181" s="13">
        <v>9</v>
      </c>
      <c r="N181" s="14">
        <v>-9</v>
      </c>
      <c r="O181" s="15"/>
    </row>
    <row r="182" spans="1:15" ht="16" x14ac:dyDescent="0.2">
      <c r="A182" s="7">
        <v>181</v>
      </c>
      <c r="B182" s="8" t="s">
        <v>263</v>
      </c>
      <c r="C182" s="8" t="s">
        <v>317</v>
      </c>
      <c r="D182" s="9" t="s">
        <v>197</v>
      </c>
      <c r="E182" s="13">
        <v>337.6</v>
      </c>
      <c r="F182" s="11">
        <v>1</v>
      </c>
      <c r="G182" s="12">
        <v>0.24</v>
      </c>
      <c r="H182" s="13"/>
      <c r="I182" s="13">
        <v>73.099999999999994</v>
      </c>
      <c r="J182" s="14">
        <v>5.9</v>
      </c>
      <c r="K182" s="15"/>
      <c r="L182" s="13">
        <v>0</v>
      </c>
      <c r="M182" s="13">
        <v>9</v>
      </c>
      <c r="N182" s="14">
        <v>-6.1</v>
      </c>
      <c r="O182" s="15"/>
    </row>
    <row r="183" spans="1:15" ht="16" x14ac:dyDescent="0.2">
      <c r="A183" s="7">
        <v>182</v>
      </c>
      <c r="B183" s="8" t="s">
        <v>1006</v>
      </c>
      <c r="C183" s="8" t="s">
        <v>314</v>
      </c>
      <c r="D183" s="9" t="s">
        <v>196</v>
      </c>
      <c r="E183" s="13">
        <v>365.6</v>
      </c>
      <c r="F183" s="11">
        <v>1</v>
      </c>
      <c r="G183" s="12">
        <v>0.31</v>
      </c>
      <c r="H183" s="13"/>
      <c r="I183" s="13">
        <v>121</v>
      </c>
      <c r="J183" s="14">
        <v>5.8</v>
      </c>
      <c r="K183" s="15"/>
      <c r="L183" s="13">
        <v>4</v>
      </c>
      <c r="M183" s="13">
        <v>8</v>
      </c>
      <c r="N183" s="14">
        <v>1.3</v>
      </c>
      <c r="O183" s="15"/>
    </row>
    <row r="184" spans="1:15" ht="16" x14ac:dyDescent="0.2">
      <c r="A184" s="7">
        <v>183</v>
      </c>
      <c r="B184" s="8" t="s">
        <v>1007</v>
      </c>
      <c r="C184" s="8" t="s">
        <v>311</v>
      </c>
      <c r="D184" s="9" t="s">
        <v>196</v>
      </c>
      <c r="E184" s="13">
        <v>366.7</v>
      </c>
      <c r="F184" s="11">
        <v>1</v>
      </c>
      <c r="G184" s="12">
        <v>0.23</v>
      </c>
      <c r="H184" s="13"/>
      <c r="I184" s="13">
        <v>135.1</v>
      </c>
      <c r="J184" s="14">
        <v>5.8</v>
      </c>
      <c r="K184" s="15"/>
      <c r="L184" s="13">
        <v>8</v>
      </c>
      <c r="M184" s="13">
        <v>15</v>
      </c>
      <c r="N184" s="14">
        <v>3.4</v>
      </c>
      <c r="O184" s="15"/>
    </row>
    <row r="185" spans="1:15" ht="16" x14ac:dyDescent="0.2">
      <c r="A185" s="7">
        <v>184</v>
      </c>
      <c r="B185" s="8" t="s">
        <v>290</v>
      </c>
      <c r="C185" s="8" t="s">
        <v>326</v>
      </c>
      <c r="D185" s="9" t="s">
        <v>195</v>
      </c>
      <c r="E185" s="13">
        <v>314.8</v>
      </c>
      <c r="F185" s="11">
        <v>1</v>
      </c>
      <c r="G185" s="12">
        <v>0.85</v>
      </c>
      <c r="H185" s="13">
        <v>476</v>
      </c>
      <c r="I185" s="13"/>
      <c r="J185" s="14">
        <v>5.8</v>
      </c>
      <c r="K185" s="15"/>
      <c r="L185" s="13">
        <v>19</v>
      </c>
      <c r="M185" s="13">
        <v>16</v>
      </c>
      <c r="N185" s="14">
        <v>5.8</v>
      </c>
      <c r="O185" s="15"/>
    </row>
    <row r="186" spans="1:15" ht="16" x14ac:dyDescent="0.2">
      <c r="A186" s="7">
        <v>185</v>
      </c>
      <c r="B186" s="8" t="s">
        <v>1008</v>
      </c>
      <c r="C186" s="8" t="s">
        <v>305</v>
      </c>
      <c r="D186" s="9" t="s">
        <v>196</v>
      </c>
      <c r="E186" s="13"/>
      <c r="F186" s="11">
        <v>0.06</v>
      </c>
      <c r="G186" s="12">
        <v>0.01</v>
      </c>
      <c r="H186" s="13"/>
      <c r="I186" s="13">
        <v>140</v>
      </c>
      <c r="J186" s="14">
        <v>5.7</v>
      </c>
      <c r="K186" s="15"/>
      <c r="L186" s="13">
        <v>1</v>
      </c>
      <c r="M186" s="13">
        <v>13</v>
      </c>
      <c r="N186" s="14">
        <v>2.2999999999999998</v>
      </c>
      <c r="O186" s="15"/>
    </row>
    <row r="187" spans="1:15" ht="16" x14ac:dyDescent="0.2">
      <c r="A187" s="7">
        <v>186</v>
      </c>
      <c r="B187" s="8" t="s">
        <v>1009</v>
      </c>
      <c r="C187" s="8" t="s">
        <v>308</v>
      </c>
      <c r="D187" s="9" t="s">
        <v>196</v>
      </c>
      <c r="E187" s="13">
        <v>59.4</v>
      </c>
      <c r="F187" s="11">
        <v>1</v>
      </c>
      <c r="G187" s="12">
        <v>1</v>
      </c>
      <c r="H187" s="13"/>
      <c r="I187" s="13">
        <v>95</v>
      </c>
      <c r="J187" s="14">
        <v>5.7</v>
      </c>
      <c r="K187" s="15"/>
      <c r="L187" s="13">
        <v>10</v>
      </c>
      <c r="M187" s="13">
        <v>13</v>
      </c>
      <c r="N187" s="14">
        <v>1</v>
      </c>
      <c r="O187" s="15"/>
    </row>
    <row r="188" spans="1:15" ht="16" x14ac:dyDescent="0.2">
      <c r="A188" s="7">
        <v>187</v>
      </c>
      <c r="B188" s="8" t="s">
        <v>244</v>
      </c>
      <c r="C188" s="8" t="s">
        <v>319</v>
      </c>
      <c r="D188" s="9" t="s">
        <v>374</v>
      </c>
      <c r="E188" s="13">
        <v>300.89999999999998</v>
      </c>
      <c r="F188" s="11">
        <v>1</v>
      </c>
      <c r="G188" s="12">
        <v>0.93</v>
      </c>
      <c r="H188" s="13">
        <v>455</v>
      </c>
      <c r="I188" s="13"/>
      <c r="J188" s="14">
        <v>5.5</v>
      </c>
      <c r="K188" s="15"/>
      <c r="L188" s="13">
        <v>0</v>
      </c>
      <c r="M188" s="13">
        <v>6</v>
      </c>
      <c r="N188" s="14">
        <v>-17.100000000000001</v>
      </c>
      <c r="O188" s="15"/>
    </row>
    <row r="189" spans="1:15" ht="16" x14ac:dyDescent="0.2">
      <c r="A189" s="7">
        <v>188</v>
      </c>
      <c r="B189" s="8" t="s">
        <v>1010</v>
      </c>
      <c r="C189" s="8" t="s">
        <v>311</v>
      </c>
      <c r="D189" s="9" t="s">
        <v>197</v>
      </c>
      <c r="E189" s="13">
        <v>701.3</v>
      </c>
      <c r="F189" s="11">
        <v>0.81</v>
      </c>
      <c r="G189" s="12">
        <v>0</v>
      </c>
      <c r="H189" s="13"/>
      <c r="I189" s="13">
        <v>74.099999999999994</v>
      </c>
      <c r="J189" s="14">
        <v>5.5</v>
      </c>
      <c r="K189" s="15"/>
      <c r="L189" s="13">
        <v>6</v>
      </c>
      <c r="M189" s="13">
        <v>16</v>
      </c>
      <c r="N189" s="14">
        <v>6.7</v>
      </c>
      <c r="O189" s="15"/>
    </row>
    <row r="190" spans="1:15" ht="16" x14ac:dyDescent="0.2">
      <c r="A190" s="7">
        <v>189</v>
      </c>
      <c r="B190" s="8" t="s">
        <v>1011</v>
      </c>
      <c r="C190" s="8" t="s">
        <v>311</v>
      </c>
      <c r="D190" s="9" t="s">
        <v>1005</v>
      </c>
      <c r="E190" s="13">
        <v>599.70000000000005</v>
      </c>
      <c r="F190" s="11">
        <v>0.99</v>
      </c>
      <c r="G190" s="12">
        <v>0.01</v>
      </c>
      <c r="H190" s="13"/>
      <c r="I190" s="13">
        <v>67</v>
      </c>
      <c r="J190" s="14">
        <v>5.4</v>
      </c>
      <c r="K190" s="15"/>
      <c r="L190" s="13">
        <v>7</v>
      </c>
      <c r="M190" s="13">
        <v>23</v>
      </c>
      <c r="N190" s="14">
        <v>8.1</v>
      </c>
      <c r="O190" s="15"/>
    </row>
    <row r="191" spans="1:15" ht="16" x14ac:dyDescent="0.2">
      <c r="A191" s="7">
        <v>190</v>
      </c>
      <c r="B191" s="8" t="s">
        <v>347</v>
      </c>
      <c r="C191" s="8" t="s">
        <v>348</v>
      </c>
      <c r="D191" s="9" t="s">
        <v>329</v>
      </c>
      <c r="E191" s="13">
        <v>75.8</v>
      </c>
      <c r="F191" s="11">
        <v>1</v>
      </c>
      <c r="G191" s="12">
        <v>1</v>
      </c>
      <c r="H191" s="13">
        <v>358</v>
      </c>
      <c r="I191" s="13"/>
      <c r="J191" s="14">
        <v>5.3</v>
      </c>
      <c r="K191" s="15"/>
      <c r="L191" s="13">
        <v>22</v>
      </c>
      <c r="M191" s="13">
        <v>11</v>
      </c>
      <c r="N191" s="14">
        <v>1</v>
      </c>
      <c r="O191" s="15"/>
    </row>
    <row r="192" spans="1:15" ht="16" x14ac:dyDescent="0.2">
      <c r="A192" s="7">
        <v>191</v>
      </c>
      <c r="B192" s="8" t="s">
        <v>516</v>
      </c>
      <c r="C192" s="8" t="s">
        <v>314</v>
      </c>
      <c r="D192" s="9" t="s">
        <v>309</v>
      </c>
      <c r="E192" s="13">
        <v>408.7</v>
      </c>
      <c r="F192" s="11">
        <v>1</v>
      </c>
      <c r="G192" s="12">
        <v>0.19</v>
      </c>
      <c r="H192" s="13">
        <v>508</v>
      </c>
      <c r="I192" s="13"/>
      <c r="J192" s="14">
        <v>5.3</v>
      </c>
      <c r="K192" s="15"/>
      <c r="L192" s="13">
        <v>20</v>
      </c>
      <c r="M192" s="13">
        <v>6</v>
      </c>
      <c r="N192" s="14">
        <v>-0.6</v>
      </c>
      <c r="O192" s="15"/>
    </row>
    <row r="193" spans="1:15" ht="16" x14ac:dyDescent="0.2">
      <c r="A193" s="7">
        <v>192</v>
      </c>
      <c r="B193" s="8" t="s">
        <v>1012</v>
      </c>
      <c r="C193" s="8" t="s">
        <v>311</v>
      </c>
      <c r="D193" s="9" t="s">
        <v>197</v>
      </c>
      <c r="E193" s="13">
        <v>367.3</v>
      </c>
      <c r="F193" s="11">
        <v>1</v>
      </c>
      <c r="G193" s="12">
        <v>0.23</v>
      </c>
      <c r="H193" s="13"/>
      <c r="I193" s="13">
        <v>75</v>
      </c>
      <c r="J193" s="14">
        <v>5.2</v>
      </c>
      <c r="K193" s="15"/>
      <c r="L193" s="13">
        <v>44</v>
      </c>
      <c r="M193" s="13">
        <v>9</v>
      </c>
      <c r="N193" s="14">
        <v>3.4</v>
      </c>
      <c r="O193" s="15"/>
    </row>
    <row r="194" spans="1:15" ht="16" x14ac:dyDescent="0.2">
      <c r="A194" s="7">
        <v>193</v>
      </c>
      <c r="B194" s="8" t="s">
        <v>446</v>
      </c>
      <c r="C194" s="8" t="s">
        <v>315</v>
      </c>
      <c r="D194" s="9" t="s">
        <v>191</v>
      </c>
      <c r="E194" s="13">
        <v>262.10000000000002</v>
      </c>
      <c r="F194" s="11">
        <v>1</v>
      </c>
      <c r="G194" s="12">
        <v>0.98</v>
      </c>
      <c r="H194" s="13">
        <v>567</v>
      </c>
      <c r="I194" s="13"/>
      <c r="J194" s="14">
        <v>5.2</v>
      </c>
      <c r="K194" s="15"/>
      <c r="L194" s="13">
        <v>0</v>
      </c>
      <c r="M194" s="13">
        <v>19</v>
      </c>
      <c r="N194" s="14">
        <v>3.1</v>
      </c>
      <c r="O194" s="15"/>
    </row>
    <row r="195" spans="1:15" ht="16" x14ac:dyDescent="0.2">
      <c r="A195" s="7">
        <v>194</v>
      </c>
      <c r="B195" s="8" t="s">
        <v>260</v>
      </c>
      <c r="C195" s="8" t="s">
        <v>367</v>
      </c>
      <c r="D195" s="9" t="s">
        <v>196</v>
      </c>
      <c r="E195" s="13">
        <v>157.5</v>
      </c>
      <c r="F195" s="11">
        <v>1</v>
      </c>
      <c r="G195" s="12">
        <v>1</v>
      </c>
      <c r="H195" s="13"/>
      <c r="I195" s="13">
        <v>175.1</v>
      </c>
      <c r="J195" s="14">
        <v>5.0999999999999996</v>
      </c>
      <c r="K195" s="15"/>
      <c r="L195" s="13">
        <v>4</v>
      </c>
      <c r="M195" s="13">
        <v>15</v>
      </c>
      <c r="N195" s="14">
        <v>2</v>
      </c>
      <c r="O195" s="15"/>
    </row>
    <row r="196" spans="1:15" ht="16" x14ac:dyDescent="0.2">
      <c r="A196" s="7">
        <v>195</v>
      </c>
      <c r="B196" s="8" t="s">
        <v>1013</v>
      </c>
      <c r="C196" s="8" t="s">
        <v>326</v>
      </c>
      <c r="D196" s="9" t="s">
        <v>197</v>
      </c>
      <c r="E196" s="13">
        <v>483.5</v>
      </c>
      <c r="F196" s="11">
        <v>1</v>
      </c>
      <c r="G196" s="12">
        <v>0.03</v>
      </c>
      <c r="H196" s="13"/>
      <c r="I196" s="13">
        <v>62.1</v>
      </c>
      <c r="J196" s="14">
        <v>5</v>
      </c>
      <c r="K196" s="15"/>
      <c r="L196" s="13">
        <v>5</v>
      </c>
      <c r="M196" s="13">
        <v>10</v>
      </c>
      <c r="N196" s="14">
        <v>-1.7</v>
      </c>
      <c r="O196" s="15"/>
    </row>
    <row r="197" spans="1:15" ht="16" x14ac:dyDescent="0.2">
      <c r="A197" s="7">
        <v>196</v>
      </c>
      <c r="B197" s="8" t="s">
        <v>461</v>
      </c>
      <c r="C197" s="8" t="s">
        <v>337</v>
      </c>
      <c r="D197" s="9" t="s">
        <v>195</v>
      </c>
      <c r="E197" s="13">
        <v>297.10000000000002</v>
      </c>
      <c r="F197" s="11">
        <v>1</v>
      </c>
      <c r="G197" s="12">
        <v>0.87</v>
      </c>
      <c r="H197" s="13">
        <v>521</v>
      </c>
      <c r="I197" s="13"/>
      <c r="J197" s="14">
        <v>5</v>
      </c>
      <c r="K197" s="15"/>
      <c r="L197" s="13">
        <v>16</v>
      </c>
      <c r="M197" s="13">
        <v>6</v>
      </c>
      <c r="N197" s="14">
        <v>-10.1</v>
      </c>
      <c r="O197" s="15"/>
    </row>
    <row r="198" spans="1:15" ht="16" x14ac:dyDescent="0.2">
      <c r="A198" s="7">
        <v>197</v>
      </c>
      <c r="B198" s="8" t="s">
        <v>521</v>
      </c>
      <c r="C198" s="8" t="s">
        <v>335</v>
      </c>
      <c r="D198" s="9" t="s">
        <v>504</v>
      </c>
      <c r="E198" s="13">
        <v>418.9</v>
      </c>
      <c r="F198" s="11">
        <v>1</v>
      </c>
      <c r="G198" s="12">
        <v>0.17</v>
      </c>
      <c r="H198" s="13">
        <v>592</v>
      </c>
      <c r="I198" s="13"/>
      <c r="J198" s="14">
        <v>5</v>
      </c>
      <c r="K198" s="15"/>
      <c r="L198" s="13">
        <v>1</v>
      </c>
      <c r="M198" s="13">
        <v>13</v>
      </c>
      <c r="N198" s="14">
        <v>-4.2</v>
      </c>
      <c r="O198" s="15"/>
    </row>
    <row r="199" spans="1:15" ht="16" x14ac:dyDescent="0.2">
      <c r="A199" s="7">
        <v>198</v>
      </c>
      <c r="B199" s="8" t="s">
        <v>409</v>
      </c>
      <c r="C199" s="8" t="s">
        <v>323</v>
      </c>
      <c r="D199" s="9" t="s">
        <v>193</v>
      </c>
      <c r="E199" s="13">
        <v>197.4</v>
      </c>
      <c r="F199" s="11">
        <v>1</v>
      </c>
      <c r="G199" s="12">
        <v>0.99</v>
      </c>
      <c r="H199" s="13">
        <v>641</v>
      </c>
      <c r="I199" s="13"/>
      <c r="J199" s="14">
        <v>4.9000000000000004</v>
      </c>
      <c r="K199" s="15"/>
      <c r="L199" s="13">
        <v>0</v>
      </c>
      <c r="M199" s="13">
        <v>0</v>
      </c>
      <c r="N199" s="14">
        <v>-21.7</v>
      </c>
      <c r="O199" s="15"/>
    </row>
    <row r="200" spans="1:15" ht="16" x14ac:dyDescent="0.2">
      <c r="A200" s="7">
        <v>199</v>
      </c>
      <c r="B200" s="8" t="s">
        <v>1014</v>
      </c>
      <c r="C200" s="8" t="s">
        <v>317</v>
      </c>
      <c r="D200" s="9" t="s">
        <v>196</v>
      </c>
      <c r="E200" s="13">
        <v>233.4</v>
      </c>
      <c r="F200" s="11">
        <v>1</v>
      </c>
      <c r="G200" s="12">
        <v>0.98</v>
      </c>
      <c r="H200" s="13"/>
      <c r="I200" s="13">
        <v>81.099999999999994</v>
      </c>
      <c r="J200" s="14">
        <v>4.8</v>
      </c>
      <c r="K200" s="15"/>
      <c r="L200" s="13">
        <v>10</v>
      </c>
      <c r="M200" s="13">
        <v>18</v>
      </c>
      <c r="N200" s="14">
        <v>2.7</v>
      </c>
      <c r="O200" s="15"/>
    </row>
    <row r="201" spans="1:15" ht="16" x14ac:dyDescent="0.2">
      <c r="A201" s="7">
        <v>200</v>
      </c>
      <c r="B201" s="8" t="s">
        <v>451</v>
      </c>
      <c r="C201" s="8" t="s">
        <v>342</v>
      </c>
      <c r="D201" s="9" t="s">
        <v>195</v>
      </c>
      <c r="E201" s="13">
        <v>274.89999999999998</v>
      </c>
      <c r="F201" s="11">
        <v>1</v>
      </c>
      <c r="G201" s="12">
        <v>0.98</v>
      </c>
      <c r="H201" s="13">
        <v>642</v>
      </c>
      <c r="I201" s="13"/>
      <c r="J201" s="14">
        <v>4.8</v>
      </c>
      <c r="K201" s="15"/>
      <c r="L201" s="13">
        <v>11</v>
      </c>
      <c r="M201" s="13">
        <v>4</v>
      </c>
      <c r="N201" s="14">
        <v>-10.7</v>
      </c>
      <c r="O201" s="15"/>
    </row>
    <row r="202" spans="1:15" ht="16" x14ac:dyDescent="0.2">
      <c r="A202" s="7">
        <v>201</v>
      </c>
      <c r="B202" s="8" t="s">
        <v>206</v>
      </c>
      <c r="C202" s="8" t="s">
        <v>313</v>
      </c>
      <c r="D202" s="9" t="s">
        <v>352</v>
      </c>
      <c r="E202" s="13">
        <v>90.5</v>
      </c>
      <c r="F202" s="11">
        <v>1</v>
      </c>
      <c r="G202" s="12">
        <v>1</v>
      </c>
      <c r="H202" s="13">
        <v>447</v>
      </c>
      <c r="I202" s="13"/>
      <c r="J202" s="14">
        <v>4.7</v>
      </c>
      <c r="K202" s="15"/>
      <c r="L202" s="13">
        <v>1</v>
      </c>
      <c r="M202" s="13">
        <v>4</v>
      </c>
      <c r="N202" s="14">
        <v>-17.7</v>
      </c>
      <c r="O202" s="15"/>
    </row>
    <row r="203" spans="1:15" ht="16" x14ac:dyDescent="0.2">
      <c r="A203" s="7">
        <v>202</v>
      </c>
      <c r="B203" s="8" t="s">
        <v>453</v>
      </c>
      <c r="C203" s="8" t="s">
        <v>349</v>
      </c>
      <c r="D203" s="9" t="s">
        <v>193</v>
      </c>
      <c r="E203" s="13">
        <v>276.8</v>
      </c>
      <c r="F203" s="11">
        <v>1</v>
      </c>
      <c r="G203" s="12">
        <v>0.91</v>
      </c>
      <c r="H203" s="13">
        <v>645</v>
      </c>
      <c r="I203" s="13"/>
      <c r="J203" s="14">
        <v>4.7</v>
      </c>
      <c r="K203" s="15"/>
      <c r="L203" s="13">
        <v>32</v>
      </c>
      <c r="M203" s="13">
        <v>10</v>
      </c>
      <c r="N203" s="14">
        <v>-1.5</v>
      </c>
      <c r="O203" s="15"/>
    </row>
    <row r="204" spans="1:15" ht="16" x14ac:dyDescent="0.2">
      <c r="A204" s="7">
        <v>203</v>
      </c>
      <c r="B204" s="8" t="s">
        <v>1015</v>
      </c>
      <c r="C204" s="8" t="s">
        <v>319</v>
      </c>
      <c r="D204" s="9" t="s">
        <v>197</v>
      </c>
      <c r="E204" s="13">
        <v>62.9</v>
      </c>
      <c r="F204" s="11">
        <v>1</v>
      </c>
      <c r="G204" s="12">
        <v>0.99</v>
      </c>
      <c r="H204" s="13"/>
      <c r="I204" s="13">
        <v>59</v>
      </c>
      <c r="J204" s="14">
        <v>4.5999999999999996</v>
      </c>
      <c r="K204" s="15"/>
      <c r="L204" s="13">
        <v>4</v>
      </c>
      <c r="M204" s="13">
        <v>23</v>
      </c>
      <c r="N204" s="14">
        <v>4.3</v>
      </c>
      <c r="O204" s="15"/>
    </row>
    <row r="205" spans="1:15" ht="16" x14ac:dyDescent="0.2">
      <c r="A205" s="7">
        <v>204</v>
      </c>
      <c r="B205" s="8" t="s">
        <v>224</v>
      </c>
      <c r="C205" s="8" t="s">
        <v>322</v>
      </c>
      <c r="D205" s="9" t="s">
        <v>309</v>
      </c>
      <c r="E205" s="13">
        <v>120.3</v>
      </c>
      <c r="F205" s="11">
        <v>1</v>
      </c>
      <c r="G205" s="12">
        <v>0.99</v>
      </c>
      <c r="H205" s="13">
        <v>315</v>
      </c>
      <c r="I205" s="13"/>
      <c r="J205" s="14">
        <v>4.5999999999999996</v>
      </c>
      <c r="K205" s="15"/>
      <c r="L205" s="13">
        <v>3</v>
      </c>
      <c r="M205" s="13">
        <v>15</v>
      </c>
      <c r="N205" s="14">
        <v>3.6</v>
      </c>
      <c r="O205" s="15"/>
    </row>
    <row r="206" spans="1:15" ht="16" x14ac:dyDescent="0.2">
      <c r="A206" s="7">
        <v>205</v>
      </c>
      <c r="B206" s="8" t="s">
        <v>1016</v>
      </c>
      <c r="C206" s="8" t="s">
        <v>307</v>
      </c>
      <c r="D206" s="9" t="s">
        <v>197</v>
      </c>
      <c r="E206" s="13">
        <v>156.30000000000001</v>
      </c>
      <c r="F206" s="11">
        <v>1</v>
      </c>
      <c r="G206" s="12">
        <v>0.96</v>
      </c>
      <c r="H206" s="13"/>
      <c r="I206" s="13">
        <v>55</v>
      </c>
      <c r="J206" s="14">
        <v>4.5999999999999996</v>
      </c>
      <c r="K206" s="15"/>
      <c r="L206" s="13">
        <v>6</v>
      </c>
      <c r="M206" s="13">
        <v>19</v>
      </c>
      <c r="N206" s="14">
        <v>-5.3</v>
      </c>
      <c r="O206" s="15"/>
    </row>
    <row r="207" spans="1:15" ht="16" x14ac:dyDescent="0.2">
      <c r="A207" s="7">
        <v>206</v>
      </c>
      <c r="B207" s="8" t="s">
        <v>1017</v>
      </c>
      <c r="C207" s="8" t="s">
        <v>311</v>
      </c>
      <c r="D207" s="9" t="s">
        <v>196</v>
      </c>
      <c r="E207" s="13">
        <v>524.1</v>
      </c>
      <c r="F207" s="11">
        <v>1</v>
      </c>
      <c r="G207" s="12">
        <v>0.03</v>
      </c>
      <c r="H207" s="13"/>
      <c r="I207" s="13">
        <v>151</v>
      </c>
      <c r="J207" s="14">
        <v>4.5</v>
      </c>
      <c r="K207" s="15"/>
      <c r="L207" s="13">
        <v>11</v>
      </c>
      <c r="M207" s="13">
        <v>8</v>
      </c>
      <c r="N207" s="14">
        <v>-1</v>
      </c>
      <c r="O207" s="15"/>
    </row>
    <row r="208" spans="1:15" ht="16" x14ac:dyDescent="0.2">
      <c r="A208" s="7">
        <v>207</v>
      </c>
      <c r="B208" s="8" t="s">
        <v>434</v>
      </c>
      <c r="C208" s="8" t="s">
        <v>320</v>
      </c>
      <c r="D208" s="9" t="s">
        <v>309</v>
      </c>
      <c r="E208" s="13">
        <v>242.2</v>
      </c>
      <c r="F208" s="11">
        <v>1</v>
      </c>
      <c r="G208" s="12">
        <v>1</v>
      </c>
      <c r="H208" s="13">
        <v>614</v>
      </c>
      <c r="I208" s="13"/>
      <c r="J208" s="14">
        <v>4.4000000000000004</v>
      </c>
      <c r="K208" s="15"/>
      <c r="L208" s="13">
        <v>2</v>
      </c>
      <c r="M208" s="13">
        <v>9</v>
      </c>
      <c r="N208" s="14">
        <v>-1.4</v>
      </c>
      <c r="O208" s="15"/>
    </row>
    <row r="209" spans="1:15" ht="16" x14ac:dyDescent="0.2">
      <c r="A209" s="7">
        <v>208</v>
      </c>
      <c r="B209" s="8" t="s">
        <v>485</v>
      </c>
      <c r="C209" s="8" t="s">
        <v>311</v>
      </c>
      <c r="D209" s="9" t="s">
        <v>191</v>
      </c>
      <c r="E209" s="13">
        <v>347.5</v>
      </c>
      <c r="F209" s="11">
        <v>1</v>
      </c>
      <c r="G209" s="12">
        <v>0.48</v>
      </c>
      <c r="H209" s="13">
        <v>594</v>
      </c>
      <c r="I209" s="13"/>
      <c r="J209" s="14">
        <v>4.3</v>
      </c>
      <c r="K209" s="15"/>
      <c r="L209" s="13">
        <v>1</v>
      </c>
      <c r="M209" s="13">
        <v>8</v>
      </c>
      <c r="N209" s="14">
        <v>-6.2</v>
      </c>
      <c r="O209" s="15"/>
    </row>
    <row r="210" spans="1:15" ht="16" x14ac:dyDescent="0.2">
      <c r="A210" s="7">
        <v>209</v>
      </c>
      <c r="B210" s="8" t="s">
        <v>444</v>
      </c>
      <c r="C210" s="8" t="s">
        <v>337</v>
      </c>
      <c r="D210" s="9" t="s">
        <v>191</v>
      </c>
      <c r="E210" s="13">
        <v>258.5</v>
      </c>
      <c r="F210" s="11">
        <v>1</v>
      </c>
      <c r="G210" s="12">
        <v>0.97</v>
      </c>
      <c r="H210" s="13">
        <v>565</v>
      </c>
      <c r="I210" s="13"/>
      <c r="J210" s="14">
        <v>4.3</v>
      </c>
      <c r="K210" s="15"/>
      <c r="L210" s="13">
        <v>3</v>
      </c>
      <c r="M210" s="13">
        <v>20</v>
      </c>
      <c r="N210" s="14">
        <v>0.3</v>
      </c>
      <c r="O210" s="15"/>
    </row>
    <row r="211" spans="1:15" ht="16" x14ac:dyDescent="0.2">
      <c r="A211" s="7">
        <v>210</v>
      </c>
      <c r="B211" s="8" t="s">
        <v>1018</v>
      </c>
      <c r="C211" s="8" t="s">
        <v>308</v>
      </c>
      <c r="D211" s="9" t="s">
        <v>197</v>
      </c>
      <c r="E211" s="13">
        <v>365.7</v>
      </c>
      <c r="F211" s="11">
        <v>1</v>
      </c>
      <c r="G211" s="12">
        <v>0.39</v>
      </c>
      <c r="H211" s="13"/>
      <c r="I211" s="13">
        <v>84</v>
      </c>
      <c r="J211" s="14">
        <v>4.0999999999999996</v>
      </c>
      <c r="K211" s="15"/>
      <c r="L211" s="13">
        <v>0</v>
      </c>
      <c r="M211" s="13">
        <v>8</v>
      </c>
      <c r="N211" s="14">
        <v>-1.7</v>
      </c>
      <c r="O211" s="15"/>
    </row>
    <row r="212" spans="1:15" ht="16" x14ac:dyDescent="0.2">
      <c r="A212" s="7">
        <v>211</v>
      </c>
      <c r="B212" s="8" t="s">
        <v>455</v>
      </c>
      <c r="C212" s="8" t="s">
        <v>322</v>
      </c>
      <c r="D212" s="9" t="s">
        <v>321</v>
      </c>
      <c r="E212" s="13">
        <v>282.2</v>
      </c>
      <c r="F212" s="11">
        <v>1</v>
      </c>
      <c r="G212" s="12">
        <v>0.9</v>
      </c>
      <c r="H212" s="13">
        <v>517</v>
      </c>
      <c r="I212" s="13"/>
      <c r="J212" s="14">
        <v>3.9</v>
      </c>
      <c r="K212" s="15"/>
      <c r="L212" s="13">
        <v>2</v>
      </c>
      <c r="M212" s="13">
        <v>6</v>
      </c>
      <c r="N212" s="14">
        <v>1</v>
      </c>
      <c r="O212" s="15"/>
    </row>
    <row r="213" spans="1:15" ht="16" x14ac:dyDescent="0.2">
      <c r="A213" s="7">
        <v>212</v>
      </c>
      <c r="B213" s="8" t="s">
        <v>1019</v>
      </c>
      <c r="C213" s="8" t="s">
        <v>322</v>
      </c>
      <c r="D213" s="9" t="s">
        <v>197</v>
      </c>
      <c r="E213" s="13"/>
      <c r="F213" s="13"/>
      <c r="G213" s="16"/>
      <c r="H213" s="13"/>
      <c r="I213" s="13">
        <v>62</v>
      </c>
      <c r="J213" s="14">
        <v>3.7</v>
      </c>
      <c r="K213" s="15"/>
      <c r="L213" s="13">
        <v>0</v>
      </c>
      <c r="M213" s="13">
        <v>5</v>
      </c>
      <c r="N213" s="14">
        <v>-19.2</v>
      </c>
      <c r="O213" s="15"/>
    </row>
    <row r="214" spans="1:15" ht="16" x14ac:dyDescent="0.2">
      <c r="A214" s="7">
        <v>213</v>
      </c>
      <c r="B214" s="8" t="s">
        <v>1020</v>
      </c>
      <c r="C214" s="8" t="s">
        <v>308</v>
      </c>
      <c r="D214" s="9" t="s">
        <v>196</v>
      </c>
      <c r="E214" s="13">
        <v>226.8</v>
      </c>
      <c r="F214" s="11">
        <v>1</v>
      </c>
      <c r="G214" s="12">
        <v>0.94</v>
      </c>
      <c r="H214" s="13"/>
      <c r="I214" s="13">
        <v>85</v>
      </c>
      <c r="J214" s="14">
        <v>3.7</v>
      </c>
      <c r="K214" s="15"/>
      <c r="L214" s="13">
        <v>0</v>
      </c>
      <c r="M214" s="13">
        <v>12</v>
      </c>
      <c r="N214" s="14">
        <v>-4.7</v>
      </c>
      <c r="O214" s="15"/>
    </row>
    <row r="215" spans="1:15" ht="16" x14ac:dyDescent="0.2">
      <c r="A215" s="7">
        <v>214</v>
      </c>
      <c r="B215" s="8" t="s">
        <v>414</v>
      </c>
      <c r="C215" s="8" t="s">
        <v>337</v>
      </c>
      <c r="D215" s="9" t="s">
        <v>190</v>
      </c>
      <c r="E215" s="13">
        <v>209.7</v>
      </c>
      <c r="F215" s="11">
        <v>1</v>
      </c>
      <c r="G215" s="12">
        <v>1</v>
      </c>
      <c r="H215" s="13">
        <v>485</v>
      </c>
      <c r="I215" s="13"/>
      <c r="J215" s="14">
        <v>3.7</v>
      </c>
      <c r="K215" s="15"/>
      <c r="L215" s="13">
        <v>0</v>
      </c>
      <c r="M215" s="13">
        <v>27</v>
      </c>
      <c r="N215" s="14">
        <v>2.5</v>
      </c>
      <c r="O215" s="15"/>
    </row>
    <row r="216" spans="1:15" ht="16" x14ac:dyDescent="0.2">
      <c r="A216" s="7">
        <v>215</v>
      </c>
      <c r="B216" s="8" t="s">
        <v>1021</v>
      </c>
      <c r="C216" s="8" t="s">
        <v>335</v>
      </c>
      <c r="D216" s="9" t="s">
        <v>196</v>
      </c>
      <c r="E216" s="13">
        <v>321</v>
      </c>
      <c r="F216" s="11">
        <v>1</v>
      </c>
      <c r="G216" s="12">
        <v>0.68</v>
      </c>
      <c r="H216" s="13"/>
      <c r="I216" s="13">
        <v>76</v>
      </c>
      <c r="J216" s="14">
        <v>3.6</v>
      </c>
      <c r="K216" s="15"/>
      <c r="L216" s="13">
        <v>2</v>
      </c>
      <c r="M216" s="13">
        <v>17</v>
      </c>
      <c r="N216" s="14">
        <v>1.1000000000000001</v>
      </c>
      <c r="O216" s="15"/>
    </row>
    <row r="217" spans="1:15" ht="16" x14ac:dyDescent="0.2">
      <c r="A217" s="7">
        <v>216</v>
      </c>
      <c r="B217" s="8" t="s">
        <v>208</v>
      </c>
      <c r="C217" s="8" t="s">
        <v>331</v>
      </c>
      <c r="D217" s="9" t="s">
        <v>195</v>
      </c>
      <c r="E217" s="13">
        <v>37.9</v>
      </c>
      <c r="F217" s="11">
        <v>1</v>
      </c>
      <c r="G217" s="12">
        <v>1</v>
      </c>
      <c r="H217" s="13">
        <v>470</v>
      </c>
      <c r="I217" s="13"/>
      <c r="J217" s="14">
        <v>3.6</v>
      </c>
      <c r="K217" s="15"/>
      <c r="L217" s="13">
        <v>18</v>
      </c>
      <c r="M217" s="13">
        <v>2</v>
      </c>
      <c r="N217" s="14">
        <v>-1.1000000000000001</v>
      </c>
      <c r="O217" s="15"/>
    </row>
    <row r="218" spans="1:15" ht="16" x14ac:dyDescent="0.2">
      <c r="A218" s="7">
        <v>217</v>
      </c>
      <c r="B218" s="8" t="s">
        <v>486</v>
      </c>
      <c r="C218" s="8" t="s">
        <v>313</v>
      </c>
      <c r="D218" s="9" t="s">
        <v>359</v>
      </c>
      <c r="E218" s="13">
        <v>350.5</v>
      </c>
      <c r="F218" s="11">
        <v>1</v>
      </c>
      <c r="G218" s="12">
        <v>0.52</v>
      </c>
      <c r="H218" s="13">
        <v>494</v>
      </c>
      <c r="I218" s="13"/>
      <c r="J218" s="14">
        <v>3.6</v>
      </c>
      <c r="K218" s="15"/>
      <c r="L218" s="13">
        <v>1</v>
      </c>
      <c r="M218" s="13">
        <v>9</v>
      </c>
      <c r="N218" s="14">
        <v>-8.8000000000000007</v>
      </c>
      <c r="O218" s="15"/>
    </row>
    <row r="219" spans="1:15" ht="16" x14ac:dyDescent="0.2">
      <c r="A219" s="7">
        <v>218</v>
      </c>
      <c r="B219" s="8" t="s">
        <v>246</v>
      </c>
      <c r="C219" s="8" t="s">
        <v>346</v>
      </c>
      <c r="D219" s="9" t="s">
        <v>321</v>
      </c>
      <c r="E219" s="13">
        <v>202.8</v>
      </c>
      <c r="F219" s="11">
        <v>1</v>
      </c>
      <c r="G219" s="12">
        <v>1</v>
      </c>
      <c r="H219" s="13">
        <v>621</v>
      </c>
      <c r="I219" s="13"/>
      <c r="J219" s="14">
        <v>3.5</v>
      </c>
      <c r="K219" s="15"/>
      <c r="L219" s="13">
        <v>20</v>
      </c>
      <c r="M219" s="13">
        <v>5</v>
      </c>
      <c r="N219" s="14">
        <v>-2.6</v>
      </c>
      <c r="O219" s="15"/>
    </row>
    <row r="220" spans="1:15" ht="16" x14ac:dyDescent="0.2">
      <c r="A220" s="7">
        <v>219</v>
      </c>
      <c r="B220" s="8" t="s">
        <v>1022</v>
      </c>
      <c r="C220" s="8" t="s">
        <v>317</v>
      </c>
      <c r="D220" s="9" t="s">
        <v>196</v>
      </c>
      <c r="E220" s="13">
        <v>195.5</v>
      </c>
      <c r="F220" s="11">
        <v>1</v>
      </c>
      <c r="G220" s="12">
        <v>1</v>
      </c>
      <c r="H220" s="13"/>
      <c r="I220" s="13">
        <v>145.1</v>
      </c>
      <c r="J220" s="14">
        <v>3.5</v>
      </c>
      <c r="K220" s="15"/>
      <c r="L220" s="13">
        <v>1</v>
      </c>
      <c r="M220" s="13">
        <v>14</v>
      </c>
      <c r="N220" s="14">
        <v>-3.6</v>
      </c>
      <c r="O220" s="15"/>
    </row>
    <row r="221" spans="1:15" ht="16" x14ac:dyDescent="0.2">
      <c r="A221" s="7">
        <v>220</v>
      </c>
      <c r="B221" s="8" t="s">
        <v>548</v>
      </c>
      <c r="C221" s="8" t="s">
        <v>331</v>
      </c>
      <c r="D221" s="9" t="s">
        <v>309</v>
      </c>
      <c r="E221" s="13">
        <v>479.1</v>
      </c>
      <c r="F221" s="11">
        <v>1</v>
      </c>
      <c r="G221" s="12">
        <v>0.12</v>
      </c>
      <c r="H221" s="13">
        <v>622</v>
      </c>
      <c r="I221" s="13"/>
      <c r="J221" s="14">
        <v>3.5</v>
      </c>
      <c r="K221" s="15"/>
      <c r="L221" s="13">
        <v>0</v>
      </c>
      <c r="M221" s="13">
        <v>13</v>
      </c>
      <c r="N221" s="14">
        <v>-11.3</v>
      </c>
      <c r="O221" s="15"/>
    </row>
    <row r="222" spans="1:15" ht="16" x14ac:dyDescent="0.2">
      <c r="A222" s="7">
        <v>221</v>
      </c>
      <c r="B222" s="8" t="s">
        <v>448</v>
      </c>
      <c r="C222" s="8" t="s">
        <v>334</v>
      </c>
      <c r="D222" s="9" t="s">
        <v>190</v>
      </c>
      <c r="E222" s="13">
        <v>269.10000000000002</v>
      </c>
      <c r="F222" s="11">
        <v>1</v>
      </c>
      <c r="G222" s="12">
        <v>0.98</v>
      </c>
      <c r="H222" s="13">
        <v>282</v>
      </c>
      <c r="I222" s="13"/>
      <c r="J222" s="14">
        <v>3.5</v>
      </c>
      <c r="K222" s="15"/>
      <c r="L222" s="13">
        <v>4</v>
      </c>
      <c r="M222" s="13">
        <v>17</v>
      </c>
      <c r="N222" s="14">
        <v>-6.6</v>
      </c>
      <c r="O222" s="15"/>
    </row>
    <row r="223" spans="1:15" ht="16" x14ac:dyDescent="0.2">
      <c r="A223" s="7">
        <v>222</v>
      </c>
      <c r="B223" s="8" t="s">
        <v>466</v>
      </c>
      <c r="C223" s="8" t="s">
        <v>325</v>
      </c>
      <c r="D223" s="9" t="s">
        <v>195</v>
      </c>
      <c r="E223" s="13">
        <v>308.8</v>
      </c>
      <c r="F223" s="11">
        <v>1</v>
      </c>
      <c r="G223" s="12">
        <v>0.84</v>
      </c>
      <c r="H223" s="13">
        <v>447</v>
      </c>
      <c r="I223" s="13"/>
      <c r="J223" s="14">
        <v>3.4</v>
      </c>
      <c r="K223" s="15"/>
      <c r="L223" s="13">
        <v>12</v>
      </c>
      <c r="M223" s="13">
        <v>12</v>
      </c>
      <c r="N223" s="14">
        <v>1.1000000000000001</v>
      </c>
      <c r="O223" s="15"/>
    </row>
    <row r="224" spans="1:15" ht="16" x14ac:dyDescent="0.2">
      <c r="A224" s="7">
        <v>223</v>
      </c>
      <c r="B224" s="8" t="s">
        <v>474</v>
      </c>
      <c r="C224" s="8" t="s">
        <v>346</v>
      </c>
      <c r="D224" s="9" t="s">
        <v>475</v>
      </c>
      <c r="E224" s="13">
        <v>330.3</v>
      </c>
      <c r="F224" s="11">
        <v>1</v>
      </c>
      <c r="G224" s="12">
        <v>0.64</v>
      </c>
      <c r="H224" s="13">
        <v>483</v>
      </c>
      <c r="I224" s="13"/>
      <c r="J224" s="14">
        <v>3.4</v>
      </c>
      <c r="K224" s="15"/>
      <c r="L224" s="13">
        <v>3</v>
      </c>
      <c r="M224" s="13">
        <v>3</v>
      </c>
      <c r="N224" s="14">
        <v>-17.8</v>
      </c>
      <c r="O224" s="15"/>
    </row>
    <row r="225" spans="1:15" ht="16" x14ac:dyDescent="0.2">
      <c r="A225" s="7">
        <v>224</v>
      </c>
      <c r="B225" s="8" t="s">
        <v>435</v>
      </c>
      <c r="C225" s="8" t="s">
        <v>371</v>
      </c>
      <c r="D225" s="9" t="s">
        <v>194</v>
      </c>
      <c r="E225" s="13">
        <v>243.9</v>
      </c>
      <c r="F225" s="11">
        <v>1</v>
      </c>
      <c r="G225" s="12">
        <v>0.97</v>
      </c>
      <c r="H225" s="13">
        <v>367</v>
      </c>
      <c r="I225" s="13"/>
      <c r="J225" s="14">
        <v>3.4</v>
      </c>
      <c r="K225" s="15"/>
      <c r="L225" s="13">
        <v>5</v>
      </c>
      <c r="M225" s="13">
        <v>12</v>
      </c>
      <c r="N225" s="14">
        <v>-3.6</v>
      </c>
      <c r="O225" s="15"/>
    </row>
    <row r="226" spans="1:15" ht="16" x14ac:dyDescent="0.2">
      <c r="A226" s="7">
        <v>225</v>
      </c>
      <c r="B226" s="8" t="s">
        <v>1023</v>
      </c>
      <c r="C226" s="8" t="s">
        <v>995</v>
      </c>
      <c r="D226" s="9" t="s">
        <v>196</v>
      </c>
      <c r="E226" s="13">
        <v>307.60000000000002</v>
      </c>
      <c r="F226" s="11">
        <v>1</v>
      </c>
      <c r="G226" s="12">
        <v>0.9</v>
      </c>
      <c r="H226" s="13"/>
      <c r="I226" s="13">
        <v>182</v>
      </c>
      <c r="J226" s="14">
        <v>3.4</v>
      </c>
      <c r="K226" s="15"/>
      <c r="L226" s="13">
        <v>0</v>
      </c>
      <c r="M226" s="13">
        <v>8</v>
      </c>
      <c r="N226" s="14">
        <v>-1.9</v>
      </c>
      <c r="O226" s="15"/>
    </row>
    <row r="227" spans="1:15" ht="16" x14ac:dyDescent="0.2">
      <c r="A227" s="7">
        <v>226</v>
      </c>
      <c r="B227" s="8" t="s">
        <v>1024</v>
      </c>
      <c r="C227" s="8" t="s">
        <v>325</v>
      </c>
      <c r="D227" s="9" t="s">
        <v>196</v>
      </c>
      <c r="E227" s="13">
        <v>334.6</v>
      </c>
      <c r="F227" s="11">
        <v>1</v>
      </c>
      <c r="G227" s="12">
        <v>0.69</v>
      </c>
      <c r="H227" s="13"/>
      <c r="I227" s="13">
        <v>183.1</v>
      </c>
      <c r="J227" s="14">
        <v>3.3</v>
      </c>
      <c r="K227" s="15"/>
      <c r="L227" s="13">
        <v>0</v>
      </c>
      <c r="M227" s="13">
        <v>0</v>
      </c>
      <c r="N227" s="14">
        <v>-24.1</v>
      </c>
      <c r="O227" s="15"/>
    </row>
    <row r="228" spans="1:15" ht="16" x14ac:dyDescent="0.2">
      <c r="A228" s="7">
        <v>227</v>
      </c>
      <c r="B228" s="8" t="s">
        <v>523</v>
      </c>
      <c r="C228" s="8" t="s">
        <v>367</v>
      </c>
      <c r="D228" s="9" t="s">
        <v>190</v>
      </c>
      <c r="E228" s="13">
        <v>420.1</v>
      </c>
      <c r="F228" s="11">
        <v>1</v>
      </c>
      <c r="G228" s="12">
        <v>0.36</v>
      </c>
      <c r="H228" s="13">
        <v>341</v>
      </c>
      <c r="I228" s="13"/>
      <c r="J228" s="14">
        <v>3.2</v>
      </c>
      <c r="K228" s="15"/>
      <c r="L228" s="13">
        <v>9</v>
      </c>
      <c r="M228" s="13">
        <v>4</v>
      </c>
      <c r="N228" s="14">
        <v>-15.2</v>
      </c>
      <c r="O228" s="15"/>
    </row>
    <row r="229" spans="1:15" ht="16" x14ac:dyDescent="0.2">
      <c r="A229" s="7">
        <v>228</v>
      </c>
      <c r="B229" s="8" t="s">
        <v>200</v>
      </c>
      <c r="C229" s="8" t="s">
        <v>331</v>
      </c>
      <c r="D229" s="9" t="s">
        <v>193</v>
      </c>
      <c r="E229" s="13">
        <v>29.5</v>
      </c>
      <c r="F229" s="11">
        <v>1</v>
      </c>
      <c r="G229" s="12">
        <v>1</v>
      </c>
      <c r="H229" s="13">
        <v>469</v>
      </c>
      <c r="I229" s="13"/>
      <c r="J229" s="14">
        <v>3.2</v>
      </c>
      <c r="K229" s="15"/>
      <c r="L229" s="13">
        <v>0</v>
      </c>
      <c r="M229" s="13">
        <v>3</v>
      </c>
      <c r="N229" s="14">
        <v>-20.3</v>
      </c>
      <c r="O229" s="15"/>
    </row>
    <row r="230" spans="1:15" ht="16" x14ac:dyDescent="0.2">
      <c r="A230" s="7">
        <v>229</v>
      </c>
      <c r="B230" s="8" t="s">
        <v>476</v>
      </c>
      <c r="C230" s="8" t="s">
        <v>337</v>
      </c>
      <c r="D230" s="9" t="s">
        <v>321</v>
      </c>
      <c r="E230" s="13">
        <v>330.6</v>
      </c>
      <c r="F230" s="11">
        <v>1</v>
      </c>
      <c r="G230" s="12">
        <v>0.51</v>
      </c>
      <c r="H230" s="13">
        <v>603</v>
      </c>
      <c r="I230" s="13"/>
      <c r="J230" s="14">
        <v>3.1</v>
      </c>
      <c r="K230" s="15"/>
      <c r="L230" s="13">
        <v>33</v>
      </c>
      <c r="M230" s="13">
        <v>8</v>
      </c>
      <c r="N230" s="14">
        <v>-0.7</v>
      </c>
      <c r="O230" s="15"/>
    </row>
    <row r="231" spans="1:15" ht="16" x14ac:dyDescent="0.2">
      <c r="A231" s="7">
        <v>230</v>
      </c>
      <c r="B231" s="8" t="s">
        <v>408</v>
      </c>
      <c r="C231" s="8" t="s">
        <v>308</v>
      </c>
      <c r="D231" s="9" t="s">
        <v>190</v>
      </c>
      <c r="E231" s="13">
        <v>195.4</v>
      </c>
      <c r="F231" s="11">
        <v>1</v>
      </c>
      <c r="G231" s="12">
        <v>0.99</v>
      </c>
      <c r="H231" s="13">
        <v>414</v>
      </c>
      <c r="I231" s="13"/>
      <c r="J231" s="14">
        <v>2.9</v>
      </c>
      <c r="K231" s="15"/>
      <c r="L231" s="13">
        <v>5</v>
      </c>
      <c r="M231" s="13">
        <v>2</v>
      </c>
      <c r="N231" s="14">
        <v>-19.8</v>
      </c>
      <c r="O231" s="15"/>
    </row>
    <row r="232" spans="1:15" ht="16" x14ac:dyDescent="0.2">
      <c r="A232" s="7">
        <v>231</v>
      </c>
      <c r="B232" s="8" t="s">
        <v>1025</v>
      </c>
      <c r="C232" s="8" t="s">
        <v>305</v>
      </c>
      <c r="D232" s="9" t="s">
        <v>197</v>
      </c>
      <c r="E232" s="13">
        <v>708.7</v>
      </c>
      <c r="F232" s="11">
        <v>0.77</v>
      </c>
      <c r="G232" s="12">
        <v>0.08</v>
      </c>
      <c r="H232" s="13"/>
      <c r="I232" s="13">
        <v>66</v>
      </c>
      <c r="J232" s="14">
        <v>2.9</v>
      </c>
      <c r="K232" s="15"/>
      <c r="L232" s="13">
        <v>5</v>
      </c>
      <c r="M232" s="13">
        <v>7</v>
      </c>
      <c r="N232" s="14">
        <v>-3.9</v>
      </c>
      <c r="O232" s="15"/>
    </row>
    <row r="233" spans="1:15" ht="16" x14ac:dyDescent="0.2">
      <c r="A233" s="7">
        <v>232</v>
      </c>
      <c r="B233" s="8" t="s">
        <v>233</v>
      </c>
      <c r="C233" s="8" t="s">
        <v>320</v>
      </c>
      <c r="D233" s="9" t="s">
        <v>195</v>
      </c>
      <c r="E233" s="13">
        <v>343.6</v>
      </c>
      <c r="F233" s="11">
        <v>1</v>
      </c>
      <c r="G233" s="12">
        <v>0.32</v>
      </c>
      <c r="H233" s="13">
        <v>513</v>
      </c>
      <c r="I233" s="13"/>
      <c r="J233" s="14">
        <v>2.7</v>
      </c>
      <c r="K233" s="15"/>
      <c r="L233" s="13">
        <v>14</v>
      </c>
      <c r="M233" s="13">
        <v>14</v>
      </c>
      <c r="N233" s="14">
        <v>5.3</v>
      </c>
      <c r="O233" s="15"/>
    </row>
    <row r="234" spans="1:15" ht="16" x14ac:dyDescent="0.2">
      <c r="A234" s="7">
        <v>233</v>
      </c>
      <c r="B234" s="8" t="s">
        <v>1026</v>
      </c>
      <c r="C234" s="8" t="s">
        <v>314</v>
      </c>
      <c r="D234" s="9" t="s">
        <v>197</v>
      </c>
      <c r="E234" s="13">
        <v>38.799999999999997</v>
      </c>
      <c r="F234" s="11">
        <v>1</v>
      </c>
      <c r="G234" s="12">
        <v>1</v>
      </c>
      <c r="H234" s="13"/>
      <c r="I234" s="13">
        <v>53.1</v>
      </c>
      <c r="J234" s="14">
        <v>2.7</v>
      </c>
      <c r="K234" s="15"/>
      <c r="L234" s="13">
        <v>8</v>
      </c>
      <c r="M234" s="13">
        <v>5</v>
      </c>
      <c r="N234" s="14">
        <v>-12.2</v>
      </c>
      <c r="O234" s="15"/>
    </row>
    <row r="235" spans="1:15" ht="16" x14ac:dyDescent="0.2">
      <c r="A235" s="7">
        <v>234</v>
      </c>
      <c r="B235" s="8" t="s">
        <v>212</v>
      </c>
      <c r="C235" s="8" t="s">
        <v>346</v>
      </c>
      <c r="D235" s="9" t="s">
        <v>332</v>
      </c>
      <c r="E235" s="13">
        <v>232.8</v>
      </c>
      <c r="F235" s="11">
        <v>1</v>
      </c>
      <c r="G235" s="12">
        <v>0.98</v>
      </c>
      <c r="H235" s="13">
        <v>425</v>
      </c>
      <c r="I235" s="13"/>
      <c r="J235" s="14">
        <v>2.6</v>
      </c>
      <c r="K235" s="15"/>
      <c r="L235" s="13">
        <v>3</v>
      </c>
      <c r="M235" s="13">
        <v>5</v>
      </c>
      <c r="N235" s="14">
        <v>-19.899999999999999</v>
      </c>
      <c r="O235" s="15"/>
    </row>
    <row r="236" spans="1:15" ht="16" x14ac:dyDescent="0.2">
      <c r="A236" s="7">
        <v>235</v>
      </c>
      <c r="B236" s="8" t="s">
        <v>1027</v>
      </c>
      <c r="C236" s="8" t="s">
        <v>346</v>
      </c>
      <c r="D236" s="9" t="s">
        <v>196</v>
      </c>
      <c r="E236" s="13">
        <v>188.8</v>
      </c>
      <c r="F236" s="11">
        <v>1</v>
      </c>
      <c r="G236" s="12">
        <v>0.99</v>
      </c>
      <c r="H236" s="13"/>
      <c r="I236" s="13">
        <v>79</v>
      </c>
      <c r="J236" s="14">
        <v>2.6</v>
      </c>
      <c r="K236" s="15"/>
      <c r="L236" s="13">
        <v>7</v>
      </c>
      <c r="M236" s="13">
        <v>3</v>
      </c>
      <c r="N236" s="14">
        <v>-18.5</v>
      </c>
      <c r="O236" s="15"/>
    </row>
    <row r="237" spans="1:15" ht="16" x14ac:dyDescent="0.2">
      <c r="A237" s="7">
        <v>236</v>
      </c>
      <c r="B237" s="8" t="s">
        <v>204</v>
      </c>
      <c r="C237" s="8" t="s">
        <v>308</v>
      </c>
      <c r="D237" s="9" t="s">
        <v>306</v>
      </c>
      <c r="E237" s="13">
        <v>381.6</v>
      </c>
      <c r="F237" s="11">
        <v>1</v>
      </c>
      <c r="G237" s="12">
        <v>0.46</v>
      </c>
      <c r="H237" s="13">
        <v>459</v>
      </c>
      <c r="I237" s="13"/>
      <c r="J237" s="14">
        <v>2.5</v>
      </c>
      <c r="K237" s="15"/>
      <c r="L237" s="13">
        <v>2</v>
      </c>
      <c r="M237" s="13">
        <v>5</v>
      </c>
      <c r="N237" s="14">
        <v>-13.2</v>
      </c>
      <c r="O237" s="15"/>
    </row>
    <row r="238" spans="1:15" ht="16" x14ac:dyDescent="0.2">
      <c r="A238" s="7">
        <v>237</v>
      </c>
      <c r="B238" s="8" t="s">
        <v>410</v>
      </c>
      <c r="C238" s="8" t="s">
        <v>349</v>
      </c>
      <c r="D238" s="9" t="s">
        <v>191</v>
      </c>
      <c r="E238" s="13">
        <v>197.4</v>
      </c>
      <c r="F238" s="11">
        <v>1</v>
      </c>
      <c r="G238" s="12">
        <v>0.99</v>
      </c>
      <c r="H238" s="13">
        <v>458</v>
      </c>
      <c r="I238" s="13"/>
      <c r="J238" s="14">
        <v>2.5</v>
      </c>
      <c r="K238" s="15"/>
      <c r="L238" s="13">
        <v>4</v>
      </c>
      <c r="M238" s="13">
        <v>16</v>
      </c>
      <c r="N238" s="14">
        <v>-7.2</v>
      </c>
      <c r="O238" s="15"/>
    </row>
    <row r="239" spans="1:15" ht="16" x14ac:dyDescent="0.2">
      <c r="A239" s="7">
        <v>238</v>
      </c>
      <c r="B239" s="8" t="s">
        <v>407</v>
      </c>
      <c r="C239" s="8" t="s">
        <v>319</v>
      </c>
      <c r="D239" s="9" t="s">
        <v>195</v>
      </c>
      <c r="E239" s="13">
        <v>194.5</v>
      </c>
      <c r="F239" s="11">
        <v>1</v>
      </c>
      <c r="G239" s="12">
        <v>1</v>
      </c>
      <c r="H239" s="13">
        <v>295</v>
      </c>
      <c r="I239" s="13"/>
      <c r="J239" s="14">
        <v>2.5</v>
      </c>
      <c r="K239" s="15"/>
      <c r="L239" s="13">
        <v>11</v>
      </c>
      <c r="M239" s="13">
        <v>13</v>
      </c>
      <c r="N239" s="14">
        <v>5</v>
      </c>
      <c r="O239" s="15"/>
    </row>
    <row r="240" spans="1:15" ht="16" x14ac:dyDescent="0.2">
      <c r="A240" s="7">
        <v>239</v>
      </c>
      <c r="B240" s="8" t="s">
        <v>1028</v>
      </c>
      <c r="C240" s="8" t="s">
        <v>310</v>
      </c>
      <c r="D240" s="9" t="s">
        <v>196</v>
      </c>
      <c r="E240" s="13">
        <v>344</v>
      </c>
      <c r="F240" s="11">
        <v>1</v>
      </c>
      <c r="G240" s="12">
        <v>0.47</v>
      </c>
      <c r="H240" s="13"/>
      <c r="I240" s="13">
        <v>179.1</v>
      </c>
      <c r="J240" s="14">
        <v>2.5</v>
      </c>
      <c r="K240" s="15"/>
      <c r="L240" s="13">
        <v>1</v>
      </c>
      <c r="M240" s="13">
        <v>13</v>
      </c>
      <c r="N240" s="14">
        <v>-0.6</v>
      </c>
      <c r="O240" s="15"/>
    </row>
    <row r="241" spans="1:15" ht="16" x14ac:dyDescent="0.2">
      <c r="A241" s="7">
        <v>240</v>
      </c>
      <c r="B241" s="8" t="s">
        <v>1029</v>
      </c>
      <c r="C241" s="8" t="s">
        <v>346</v>
      </c>
      <c r="D241" s="9" t="s">
        <v>196</v>
      </c>
      <c r="E241" s="13">
        <v>404.9</v>
      </c>
      <c r="F241" s="11">
        <v>1</v>
      </c>
      <c r="G241" s="12">
        <v>0.15</v>
      </c>
      <c r="H241" s="13"/>
      <c r="I241" s="13">
        <v>156</v>
      </c>
      <c r="J241" s="14">
        <v>2.4</v>
      </c>
      <c r="K241" s="15"/>
      <c r="L241" s="13">
        <v>1</v>
      </c>
      <c r="M241" s="13">
        <v>15</v>
      </c>
      <c r="N241" s="14">
        <v>3.2</v>
      </c>
      <c r="O241" s="15"/>
    </row>
    <row r="242" spans="1:15" ht="16" x14ac:dyDescent="0.2">
      <c r="A242" s="7">
        <v>241</v>
      </c>
      <c r="B242" s="8" t="s">
        <v>581</v>
      </c>
      <c r="C242" s="8" t="s">
        <v>323</v>
      </c>
      <c r="D242" s="9" t="s">
        <v>192</v>
      </c>
      <c r="E242" s="13">
        <v>555</v>
      </c>
      <c r="F242" s="11">
        <v>0.99</v>
      </c>
      <c r="G242" s="12">
        <v>0.06</v>
      </c>
      <c r="H242" s="13">
        <v>539</v>
      </c>
      <c r="I242" s="13"/>
      <c r="J242" s="14">
        <v>2.2999999999999998</v>
      </c>
      <c r="K242" s="15"/>
      <c r="L242" s="13">
        <v>7</v>
      </c>
      <c r="M242" s="13">
        <v>9</v>
      </c>
      <c r="N242" s="14">
        <v>-4.5</v>
      </c>
      <c r="O242" s="15"/>
    </row>
    <row r="243" spans="1:15" ht="16" x14ac:dyDescent="0.2">
      <c r="A243" s="7">
        <v>242</v>
      </c>
      <c r="B243" s="8" t="s">
        <v>467</v>
      </c>
      <c r="C243" s="8" t="s">
        <v>335</v>
      </c>
      <c r="D243" s="9" t="s">
        <v>190</v>
      </c>
      <c r="E243" s="13">
        <v>315.3</v>
      </c>
      <c r="F243" s="11">
        <v>1</v>
      </c>
      <c r="G243" s="12">
        <v>0.93</v>
      </c>
      <c r="H243" s="13">
        <v>491</v>
      </c>
      <c r="I243" s="13"/>
      <c r="J243" s="14">
        <v>2.2999999999999998</v>
      </c>
      <c r="K243" s="15"/>
      <c r="L243" s="13">
        <v>5</v>
      </c>
      <c r="M243" s="13">
        <v>9</v>
      </c>
      <c r="N243" s="14">
        <v>-9.6999999999999993</v>
      </c>
      <c r="O243" s="15"/>
    </row>
    <row r="244" spans="1:15" ht="16" x14ac:dyDescent="0.2">
      <c r="A244" s="7">
        <v>243</v>
      </c>
      <c r="B244" s="8" t="s">
        <v>240</v>
      </c>
      <c r="C244" s="8" t="s">
        <v>367</v>
      </c>
      <c r="D244" s="9" t="s">
        <v>195</v>
      </c>
      <c r="E244" s="13">
        <v>282.8</v>
      </c>
      <c r="F244" s="11">
        <v>1</v>
      </c>
      <c r="G244" s="12">
        <v>0.98</v>
      </c>
      <c r="H244" s="13">
        <v>451</v>
      </c>
      <c r="I244" s="13"/>
      <c r="J244" s="14">
        <v>2.2000000000000002</v>
      </c>
      <c r="K244" s="15"/>
      <c r="L244" s="13">
        <v>2</v>
      </c>
      <c r="M244" s="13">
        <v>17</v>
      </c>
      <c r="N244" s="14">
        <v>-7</v>
      </c>
      <c r="O244" s="15"/>
    </row>
    <row r="245" spans="1:15" ht="16" x14ac:dyDescent="0.2">
      <c r="A245" s="7">
        <v>244</v>
      </c>
      <c r="B245" s="8" t="s">
        <v>1030</v>
      </c>
      <c r="C245" s="8" t="s">
        <v>322</v>
      </c>
      <c r="D245" s="9" t="s">
        <v>196</v>
      </c>
      <c r="E245" s="13">
        <v>543.9</v>
      </c>
      <c r="F245" s="11">
        <v>1</v>
      </c>
      <c r="G245" s="12">
        <v>0.01</v>
      </c>
      <c r="H245" s="13"/>
      <c r="I245" s="13">
        <v>170</v>
      </c>
      <c r="J245" s="14">
        <v>2.2000000000000002</v>
      </c>
      <c r="K245" s="15"/>
      <c r="L245" s="13">
        <v>16</v>
      </c>
      <c r="M245" s="13">
        <v>7</v>
      </c>
      <c r="N245" s="14">
        <v>-1.1000000000000001</v>
      </c>
      <c r="O245" s="15"/>
    </row>
    <row r="246" spans="1:15" ht="16" x14ac:dyDescent="0.2">
      <c r="A246" s="7">
        <v>245</v>
      </c>
      <c r="B246" s="8" t="s">
        <v>34</v>
      </c>
      <c r="C246" s="8" t="s">
        <v>354</v>
      </c>
      <c r="D246" s="9" t="s">
        <v>194</v>
      </c>
      <c r="E246" s="13">
        <v>239.2</v>
      </c>
      <c r="F246" s="11">
        <v>1</v>
      </c>
      <c r="G246" s="12">
        <v>0.93</v>
      </c>
      <c r="H246" s="13">
        <v>341</v>
      </c>
      <c r="I246" s="13"/>
      <c r="J246" s="14">
        <v>2.2000000000000002</v>
      </c>
      <c r="K246" s="15"/>
      <c r="L246" s="13">
        <v>3</v>
      </c>
      <c r="M246" s="13">
        <v>18</v>
      </c>
      <c r="N246" s="14">
        <v>0.8</v>
      </c>
      <c r="O246" s="15"/>
    </row>
    <row r="247" spans="1:15" ht="16" x14ac:dyDescent="0.2">
      <c r="A247" s="7">
        <v>246</v>
      </c>
      <c r="B247" s="8" t="s">
        <v>234</v>
      </c>
      <c r="C247" s="8" t="s">
        <v>305</v>
      </c>
      <c r="D247" s="9" t="s">
        <v>309</v>
      </c>
      <c r="E247" s="13">
        <v>278.3</v>
      </c>
      <c r="F247" s="11">
        <v>1</v>
      </c>
      <c r="G247" s="12">
        <v>0.88</v>
      </c>
      <c r="H247" s="13">
        <v>488</v>
      </c>
      <c r="I247" s="13"/>
      <c r="J247" s="14">
        <v>2.1</v>
      </c>
      <c r="K247" s="15"/>
      <c r="L247" s="13">
        <v>2</v>
      </c>
      <c r="M247" s="13">
        <v>10</v>
      </c>
      <c r="N247" s="14">
        <v>-1.6</v>
      </c>
      <c r="O247" s="15"/>
    </row>
    <row r="248" spans="1:15" ht="16" x14ac:dyDescent="0.2">
      <c r="A248" s="7">
        <v>247</v>
      </c>
      <c r="B248" s="8" t="s">
        <v>283</v>
      </c>
      <c r="C248" s="8" t="s">
        <v>346</v>
      </c>
      <c r="D248" s="9" t="s">
        <v>196</v>
      </c>
      <c r="E248" s="13">
        <v>192.9</v>
      </c>
      <c r="F248" s="11">
        <v>1</v>
      </c>
      <c r="G248" s="12">
        <v>0.99</v>
      </c>
      <c r="H248" s="13"/>
      <c r="I248" s="13">
        <v>138</v>
      </c>
      <c r="J248" s="14">
        <v>2.1</v>
      </c>
      <c r="K248" s="15"/>
      <c r="L248" s="13">
        <v>9</v>
      </c>
      <c r="M248" s="13">
        <v>3</v>
      </c>
      <c r="N248" s="14">
        <v>-2.9</v>
      </c>
      <c r="O248" s="15"/>
    </row>
    <row r="249" spans="1:15" ht="16" x14ac:dyDescent="0.2">
      <c r="A249" s="7">
        <v>248</v>
      </c>
      <c r="B249" s="8" t="s">
        <v>1031</v>
      </c>
      <c r="C249" s="8" t="s">
        <v>320</v>
      </c>
      <c r="D249" s="9" t="s">
        <v>197</v>
      </c>
      <c r="E249" s="13">
        <v>102.1</v>
      </c>
      <c r="F249" s="11">
        <v>1</v>
      </c>
      <c r="G249" s="12">
        <v>0.99</v>
      </c>
      <c r="H249" s="13"/>
      <c r="I249" s="13">
        <v>66</v>
      </c>
      <c r="J249" s="14">
        <v>2.1</v>
      </c>
      <c r="K249" s="15"/>
      <c r="L249" s="13">
        <v>2</v>
      </c>
      <c r="M249" s="13">
        <v>8</v>
      </c>
      <c r="N249" s="14">
        <v>-7.8</v>
      </c>
      <c r="O249" s="15"/>
    </row>
    <row r="250" spans="1:15" ht="16" x14ac:dyDescent="0.2">
      <c r="A250" s="7">
        <v>249</v>
      </c>
      <c r="B250" s="8" t="s">
        <v>241</v>
      </c>
      <c r="C250" s="8" t="s">
        <v>371</v>
      </c>
      <c r="D250" s="9" t="s">
        <v>309</v>
      </c>
      <c r="E250" s="13">
        <v>332.7</v>
      </c>
      <c r="F250" s="11">
        <v>1</v>
      </c>
      <c r="G250" s="12">
        <v>0.69</v>
      </c>
      <c r="H250" s="13">
        <v>400</v>
      </c>
      <c r="I250" s="13"/>
      <c r="J250" s="14">
        <v>2</v>
      </c>
      <c r="K250" s="15"/>
      <c r="L250" s="13">
        <v>14</v>
      </c>
      <c r="M250" s="13">
        <v>18</v>
      </c>
      <c r="N250" s="14">
        <v>-4</v>
      </c>
      <c r="O250" s="15"/>
    </row>
    <row r="251" spans="1:15" ht="16" x14ac:dyDescent="0.2">
      <c r="A251" s="7">
        <v>250</v>
      </c>
      <c r="B251" s="8" t="s">
        <v>1032</v>
      </c>
      <c r="C251" s="8" t="s">
        <v>367</v>
      </c>
      <c r="D251" s="9" t="s">
        <v>197</v>
      </c>
      <c r="E251" s="13">
        <v>154.69999999999999</v>
      </c>
      <c r="F251" s="11">
        <v>1</v>
      </c>
      <c r="G251" s="12">
        <v>1</v>
      </c>
      <c r="H251" s="13"/>
      <c r="I251" s="13">
        <v>54.1</v>
      </c>
      <c r="J251" s="14">
        <v>2</v>
      </c>
      <c r="K251" s="15"/>
      <c r="L251" s="13">
        <v>0</v>
      </c>
      <c r="M251" s="13">
        <v>10</v>
      </c>
      <c r="N251" s="14">
        <v>-10.6</v>
      </c>
      <c r="O251" s="15"/>
    </row>
    <row r="252" spans="1:15" ht="16" x14ac:dyDescent="0.2">
      <c r="A252" s="7">
        <v>251</v>
      </c>
      <c r="B252" s="8" t="s">
        <v>1033</v>
      </c>
      <c r="C252" s="8" t="s">
        <v>371</v>
      </c>
      <c r="D252" s="9" t="s">
        <v>197</v>
      </c>
      <c r="E252" s="13">
        <v>664.8</v>
      </c>
      <c r="F252" s="11">
        <v>0.93</v>
      </c>
      <c r="G252" s="12">
        <v>0</v>
      </c>
      <c r="H252" s="13"/>
      <c r="I252" s="13">
        <v>71</v>
      </c>
      <c r="J252" s="14">
        <v>1.9</v>
      </c>
      <c r="K252" s="15"/>
      <c r="L252" s="13">
        <v>6</v>
      </c>
      <c r="M252" s="13">
        <v>3</v>
      </c>
      <c r="N252" s="14">
        <v>-15.4</v>
      </c>
      <c r="O252" s="15"/>
    </row>
    <row r="253" spans="1:15" ht="16" x14ac:dyDescent="0.2">
      <c r="A253" s="7">
        <v>252</v>
      </c>
      <c r="B253" s="8" t="s">
        <v>440</v>
      </c>
      <c r="C253" s="8" t="s">
        <v>362</v>
      </c>
      <c r="D253" s="9" t="s">
        <v>192</v>
      </c>
      <c r="E253" s="13">
        <v>250.3</v>
      </c>
      <c r="F253" s="11">
        <v>1</v>
      </c>
      <c r="G253" s="12">
        <v>0.95</v>
      </c>
      <c r="H253" s="13">
        <v>556</v>
      </c>
      <c r="I253" s="13"/>
      <c r="J253" s="14">
        <v>1.9</v>
      </c>
      <c r="K253" s="15"/>
      <c r="L253" s="13">
        <v>11</v>
      </c>
      <c r="M253" s="13">
        <v>13</v>
      </c>
      <c r="N253" s="14">
        <v>-1.4</v>
      </c>
      <c r="O253" s="15"/>
    </row>
    <row r="254" spans="1:15" ht="16" x14ac:dyDescent="0.2">
      <c r="A254" s="7">
        <v>253</v>
      </c>
      <c r="B254" s="8" t="s">
        <v>1034</v>
      </c>
      <c r="C254" s="8" t="s">
        <v>307</v>
      </c>
      <c r="D254" s="9" t="s">
        <v>196</v>
      </c>
      <c r="E254" s="13">
        <v>535.70000000000005</v>
      </c>
      <c r="F254" s="11">
        <v>0.99</v>
      </c>
      <c r="G254" s="12">
        <v>0.03</v>
      </c>
      <c r="H254" s="13"/>
      <c r="I254" s="13">
        <v>130</v>
      </c>
      <c r="J254" s="14">
        <v>1.8</v>
      </c>
      <c r="K254" s="15"/>
      <c r="L254" s="13">
        <v>10</v>
      </c>
      <c r="M254" s="13">
        <v>8</v>
      </c>
      <c r="N254" s="14">
        <v>-9.1999999999999993</v>
      </c>
      <c r="O254" s="15"/>
    </row>
    <row r="255" spans="1:15" ht="16" x14ac:dyDescent="0.2">
      <c r="A255" s="7">
        <v>254</v>
      </c>
      <c r="B255" s="8" t="s">
        <v>1035</v>
      </c>
      <c r="C255" s="8" t="s">
        <v>367</v>
      </c>
      <c r="D255" s="9" t="s">
        <v>196</v>
      </c>
      <c r="E255" s="13">
        <v>331.3</v>
      </c>
      <c r="F255" s="11">
        <v>1</v>
      </c>
      <c r="G255" s="12">
        <v>0.55000000000000004</v>
      </c>
      <c r="H255" s="13"/>
      <c r="I255" s="13">
        <v>113</v>
      </c>
      <c r="J255" s="14">
        <v>1.8</v>
      </c>
      <c r="K255" s="15"/>
      <c r="L255" s="13">
        <v>3</v>
      </c>
      <c r="M255" s="13">
        <v>8</v>
      </c>
      <c r="N255" s="14">
        <v>-10.199999999999999</v>
      </c>
      <c r="O255" s="15"/>
    </row>
    <row r="256" spans="1:15" ht="16" x14ac:dyDescent="0.2">
      <c r="A256" s="7">
        <v>255</v>
      </c>
      <c r="B256" s="8" t="s">
        <v>428</v>
      </c>
      <c r="C256" s="8" t="s">
        <v>313</v>
      </c>
      <c r="D256" s="9" t="s">
        <v>191</v>
      </c>
      <c r="E256" s="13">
        <v>235.8</v>
      </c>
      <c r="F256" s="11">
        <v>1</v>
      </c>
      <c r="G256" s="12">
        <v>0.97</v>
      </c>
      <c r="H256" s="13">
        <v>507</v>
      </c>
      <c r="I256" s="13"/>
      <c r="J256" s="14">
        <v>1.8</v>
      </c>
      <c r="K256" s="15"/>
      <c r="L256" s="13">
        <v>23</v>
      </c>
      <c r="M256" s="13">
        <v>12</v>
      </c>
      <c r="N256" s="14">
        <v>0.9</v>
      </c>
      <c r="O256" s="15"/>
    </row>
    <row r="257" spans="1:15" ht="16" x14ac:dyDescent="0.2">
      <c r="A257" s="7">
        <v>256</v>
      </c>
      <c r="B257" s="8" t="s">
        <v>447</v>
      </c>
      <c r="C257" s="8" t="s">
        <v>350</v>
      </c>
      <c r="D257" s="9" t="s">
        <v>321</v>
      </c>
      <c r="E257" s="13">
        <v>264.2</v>
      </c>
      <c r="F257" s="11">
        <v>1</v>
      </c>
      <c r="G257" s="12">
        <v>0.97</v>
      </c>
      <c r="H257" s="13">
        <v>619</v>
      </c>
      <c r="I257" s="13"/>
      <c r="J257" s="14">
        <v>1.7</v>
      </c>
      <c r="K257" s="15"/>
      <c r="L257" s="13">
        <v>1</v>
      </c>
      <c r="M257" s="13">
        <v>0</v>
      </c>
      <c r="N257" s="14">
        <v>-22</v>
      </c>
      <c r="O257" s="15"/>
    </row>
    <row r="258" spans="1:15" ht="16" x14ac:dyDescent="0.2">
      <c r="A258" s="7">
        <v>257</v>
      </c>
      <c r="B258" s="8" t="s">
        <v>403</v>
      </c>
      <c r="C258" s="8" t="s">
        <v>316</v>
      </c>
      <c r="D258" s="9" t="s">
        <v>190</v>
      </c>
      <c r="E258" s="13">
        <v>187.8</v>
      </c>
      <c r="F258" s="11">
        <v>1</v>
      </c>
      <c r="G258" s="12">
        <v>1</v>
      </c>
      <c r="H258" s="13">
        <v>351</v>
      </c>
      <c r="I258" s="13"/>
      <c r="J258" s="14">
        <v>1.6</v>
      </c>
      <c r="K258" s="15"/>
      <c r="L258" s="13">
        <v>0</v>
      </c>
      <c r="M258" s="13">
        <v>11</v>
      </c>
      <c r="N258" s="14">
        <v>-8.1</v>
      </c>
      <c r="O258" s="15"/>
    </row>
    <row r="259" spans="1:15" ht="16" x14ac:dyDescent="0.2">
      <c r="A259" s="7">
        <v>258</v>
      </c>
      <c r="B259" s="8" t="s">
        <v>1036</v>
      </c>
      <c r="C259" s="9"/>
      <c r="D259" s="9" t="s">
        <v>1005</v>
      </c>
      <c r="E259" s="13">
        <v>675.4</v>
      </c>
      <c r="F259" s="11">
        <v>0.96</v>
      </c>
      <c r="G259" s="12">
        <v>0</v>
      </c>
      <c r="H259" s="13"/>
      <c r="I259" s="13">
        <v>54</v>
      </c>
      <c r="J259" s="14">
        <v>1.6</v>
      </c>
      <c r="K259" s="15"/>
      <c r="L259" s="13">
        <v>4</v>
      </c>
      <c r="M259" s="13">
        <v>14</v>
      </c>
      <c r="N259" s="14">
        <v>-6.8</v>
      </c>
      <c r="O259" s="15"/>
    </row>
    <row r="260" spans="1:15" ht="16" x14ac:dyDescent="0.2">
      <c r="A260" s="7">
        <v>259</v>
      </c>
      <c r="B260" s="8" t="s">
        <v>1037</v>
      </c>
      <c r="C260" s="8" t="s">
        <v>995</v>
      </c>
      <c r="D260" s="9" t="s">
        <v>1005</v>
      </c>
      <c r="E260" s="13">
        <v>439.1</v>
      </c>
      <c r="F260" s="11">
        <v>1</v>
      </c>
      <c r="G260" s="12">
        <v>0.05</v>
      </c>
      <c r="H260" s="13"/>
      <c r="I260" s="13">
        <v>63</v>
      </c>
      <c r="J260" s="14">
        <v>1.5</v>
      </c>
      <c r="K260" s="15"/>
      <c r="L260" s="13">
        <v>17</v>
      </c>
      <c r="M260" s="13">
        <v>12</v>
      </c>
      <c r="N260" s="14">
        <v>1.5</v>
      </c>
      <c r="O260" s="15"/>
    </row>
    <row r="261" spans="1:15" ht="16" x14ac:dyDescent="0.2">
      <c r="A261" s="7">
        <v>260</v>
      </c>
      <c r="B261" s="8" t="s">
        <v>541</v>
      </c>
      <c r="C261" s="8" t="s">
        <v>371</v>
      </c>
      <c r="D261" s="9" t="s">
        <v>195</v>
      </c>
      <c r="E261" s="13">
        <v>462.6</v>
      </c>
      <c r="F261" s="11">
        <v>1</v>
      </c>
      <c r="G261" s="12">
        <v>0.05</v>
      </c>
      <c r="H261" s="13">
        <v>437</v>
      </c>
      <c r="I261" s="13"/>
      <c r="J261" s="14">
        <v>1.5</v>
      </c>
      <c r="K261" s="15"/>
      <c r="L261" s="13">
        <v>1</v>
      </c>
      <c r="M261" s="13">
        <v>5</v>
      </c>
      <c r="N261" s="14">
        <v>-15.9</v>
      </c>
      <c r="O261" s="15"/>
    </row>
    <row r="262" spans="1:15" ht="16" x14ac:dyDescent="0.2">
      <c r="A262" s="7">
        <v>261</v>
      </c>
      <c r="B262" s="8" t="s">
        <v>1038</v>
      </c>
      <c r="C262" s="8" t="s">
        <v>310</v>
      </c>
      <c r="D262" s="9" t="s">
        <v>196</v>
      </c>
      <c r="E262" s="13">
        <v>507.2</v>
      </c>
      <c r="F262" s="11">
        <v>1</v>
      </c>
      <c r="G262" s="12">
        <v>0.04</v>
      </c>
      <c r="H262" s="13"/>
      <c r="I262" s="13">
        <v>138</v>
      </c>
      <c r="J262" s="14">
        <v>1.5</v>
      </c>
      <c r="K262" s="15"/>
      <c r="L262" s="13">
        <v>1</v>
      </c>
      <c r="M262" s="13">
        <v>4</v>
      </c>
      <c r="N262" s="14">
        <v>-7.5</v>
      </c>
      <c r="O262" s="15"/>
    </row>
    <row r="263" spans="1:15" ht="16" x14ac:dyDescent="0.2">
      <c r="A263" s="7">
        <v>262</v>
      </c>
      <c r="B263" s="8" t="s">
        <v>388</v>
      </c>
      <c r="C263" s="8" t="s">
        <v>314</v>
      </c>
      <c r="D263" s="9" t="s">
        <v>190</v>
      </c>
      <c r="E263" s="13">
        <v>155.19999999999999</v>
      </c>
      <c r="F263" s="11">
        <v>1</v>
      </c>
      <c r="G263" s="12">
        <v>1</v>
      </c>
      <c r="H263" s="13">
        <v>342</v>
      </c>
      <c r="I263" s="13"/>
      <c r="J263" s="14">
        <v>1.4</v>
      </c>
      <c r="K263" s="15"/>
      <c r="L263" s="13">
        <v>0</v>
      </c>
      <c r="M263" s="13">
        <v>9</v>
      </c>
      <c r="N263" s="14">
        <v>-0.7</v>
      </c>
      <c r="O263" s="15"/>
    </row>
    <row r="264" spans="1:15" ht="16" x14ac:dyDescent="0.2">
      <c r="A264" s="7">
        <v>263</v>
      </c>
      <c r="B264" s="8" t="s">
        <v>465</v>
      </c>
      <c r="C264" s="8" t="s">
        <v>354</v>
      </c>
      <c r="D264" s="9" t="s">
        <v>190</v>
      </c>
      <c r="E264" s="13">
        <v>307</v>
      </c>
      <c r="F264" s="11">
        <v>1</v>
      </c>
      <c r="G264" s="12">
        <v>0.94</v>
      </c>
      <c r="H264" s="13">
        <v>448</v>
      </c>
      <c r="I264" s="13"/>
      <c r="J264" s="14">
        <v>1.3</v>
      </c>
      <c r="K264" s="15"/>
      <c r="L264" s="13">
        <v>0</v>
      </c>
      <c r="M264" s="13">
        <v>0</v>
      </c>
      <c r="N264" s="14">
        <v>-20.7</v>
      </c>
      <c r="O264" s="15"/>
    </row>
    <row r="265" spans="1:15" ht="16" x14ac:dyDescent="0.2">
      <c r="A265" s="7">
        <v>264</v>
      </c>
      <c r="B265" s="8" t="s">
        <v>503</v>
      </c>
      <c r="C265" s="8" t="s">
        <v>320</v>
      </c>
      <c r="D265" s="9" t="s">
        <v>504</v>
      </c>
      <c r="E265" s="13">
        <v>390.7</v>
      </c>
      <c r="F265" s="11">
        <v>1</v>
      </c>
      <c r="G265" s="12">
        <v>0.14000000000000001</v>
      </c>
      <c r="H265" s="13">
        <v>452</v>
      </c>
      <c r="I265" s="13"/>
      <c r="J265" s="14">
        <v>1.1000000000000001</v>
      </c>
      <c r="K265" s="15"/>
      <c r="L265" s="13">
        <v>2</v>
      </c>
      <c r="M265" s="13">
        <v>4</v>
      </c>
      <c r="N265" s="14">
        <v>-18.399999999999999</v>
      </c>
      <c r="O265" s="15"/>
    </row>
    <row r="266" spans="1:15" ht="16" x14ac:dyDescent="0.2">
      <c r="A266" s="7">
        <v>265</v>
      </c>
      <c r="B266" s="8" t="s">
        <v>766</v>
      </c>
      <c r="C266" s="9"/>
      <c r="D266" s="9" t="s">
        <v>309</v>
      </c>
      <c r="E266" s="13"/>
      <c r="F266" s="11">
        <v>0.02</v>
      </c>
      <c r="G266" s="12">
        <v>0</v>
      </c>
      <c r="H266" s="13">
        <v>499</v>
      </c>
      <c r="I266" s="13"/>
      <c r="J266" s="14">
        <v>1.1000000000000001</v>
      </c>
      <c r="K266" s="15"/>
      <c r="L266" s="13">
        <v>0</v>
      </c>
      <c r="M266" s="13">
        <v>15</v>
      </c>
      <c r="N266" s="14">
        <v>-3.5</v>
      </c>
      <c r="O266" s="15"/>
    </row>
    <row r="267" spans="1:15" ht="16" x14ac:dyDescent="0.2">
      <c r="A267" s="7">
        <v>266</v>
      </c>
      <c r="B267" s="8" t="s">
        <v>496</v>
      </c>
      <c r="C267" s="8" t="s">
        <v>335</v>
      </c>
      <c r="D267" s="9" t="s">
        <v>190</v>
      </c>
      <c r="E267" s="13">
        <v>383</v>
      </c>
      <c r="F267" s="11">
        <v>1</v>
      </c>
      <c r="G267" s="12">
        <v>0.6</v>
      </c>
      <c r="H267" s="13">
        <v>263</v>
      </c>
      <c r="I267" s="13"/>
      <c r="J267" s="14">
        <v>1.1000000000000001</v>
      </c>
      <c r="K267" s="15"/>
      <c r="L267" s="13">
        <v>6</v>
      </c>
      <c r="M267" s="13">
        <v>7</v>
      </c>
      <c r="N267" s="14">
        <v>-6.5</v>
      </c>
      <c r="O267" s="15"/>
    </row>
    <row r="268" spans="1:15" ht="16" x14ac:dyDescent="0.2">
      <c r="A268" s="7">
        <v>267</v>
      </c>
      <c r="B268" s="8" t="s">
        <v>257</v>
      </c>
      <c r="C268" s="8" t="s">
        <v>315</v>
      </c>
      <c r="D268" s="9" t="s">
        <v>195</v>
      </c>
      <c r="E268" s="13">
        <v>138.69999999999999</v>
      </c>
      <c r="F268" s="11">
        <v>1</v>
      </c>
      <c r="G268" s="12">
        <v>1</v>
      </c>
      <c r="H268" s="13">
        <v>410</v>
      </c>
      <c r="I268" s="13"/>
      <c r="J268" s="14">
        <v>1.1000000000000001</v>
      </c>
      <c r="K268" s="15"/>
      <c r="L268" s="13">
        <v>5</v>
      </c>
      <c r="M268" s="13">
        <v>21</v>
      </c>
      <c r="N268" s="14">
        <v>3.5</v>
      </c>
      <c r="O268" s="15"/>
    </row>
    <row r="269" spans="1:15" ht="16" x14ac:dyDescent="0.2">
      <c r="A269" s="7">
        <v>268</v>
      </c>
      <c r="B269" s="8" t="s">
        <v>559</v>
      </c>
      <c r="C269" s="9"/>
      <c r="D269" s="9" t="s">
        <v>195</v>
      </c>
      <c r="E269" s="13">
        <v>498.4</v>
      </c>
      <c r="F269" s="11">
        <v>1</v>
      </c>
      <c r="G269" s="12">
        <v>0.04</v>
      </c>
      <c r="H269" s="13">
        <v>621</v>
      </c>
      <c r="I269" s="13"/>
      <c r="J269" s="14">
        <v>1</v>
      </c>
      <c r="K269" s="15"/>
      <c r="L269" s="13">
        <v>2</v>
      </c>
      <c r="M269" s="13">
        <v>24</v>
      </c>
      <c r="N269" s="14">
        <v>0</v>
      </c>
      <c r="O269" s="15"/>
    </row>
    <row r="270" spans="1:15" ht="16" x14ac:dyDescent="0.2">
      <c r="A270" s="7">
        <v>269</v>
      </c>
      <c r="B270" s="8" t="s">
        <v>493</v>
      </c>
      <c r="C270" s="8" t="s">
        <v>307</v>
      </c>
      <c r="D270" s="9" t="s">
        <v>329</v>
      </c>
      <c r="E270" s="13">
        <v>373.6</v>
      </c>
      <c r="F270" s="11">
        <v>1</v>
      </c>
      <c r="G270" s="12">
        <v>0.66</v>
      </c>
      <c r="H270" s="13">
        <v>368</v>
      </c>
      <c r="I270" s="13"/>
      <c r="J270" s="14">
        <v>1</v>
      </c>
      <c r="K270" s="15"/>
      <c r="L270" s="13">
        <v>1</v>
      </c>
      <c r="M270" s="13">
        <v>13</v>
      </c>
      <c r="N270" s="14">
        <v>-6.5</v>
      </c>
      <c r="O270" s="15"/>
    </row>
    <row r="271" spans="1:15" ht="16" x14ac:dyDescent="0.2">
      <c r="A271" s="7">
        <v>270</v>
      </c>
      <c r="B271" s="8" t="s">
        <v>456</v>
      </c>
      <c r="C271" s="8" t="s">
        <v>322</v>
      </c>
      <c r="D271" s="9" t="s">
        <v>193</v>
      </c>
      <c r="E271" s="13">
        <v>283.8</v>
      </c>
      <c r="F271" s="11">
        <v>1</v>
      </c>
      <c r="G271" s="12">
        <v>0.85</v>
      </c>
      <c r="H271" s="13">
        <v>511</v>
      </c>
      <c r="I271" s="13"/>
      <c r="J271" s="14">
        <v>1</v>
      </c>
      <c r="K271" s="15"/>
      <c r="L271" s="13">
        <v>2</v>
      </c>
      <c r="M271" s="13">
        <v>2</v>
      </c>
      <c r="N271" s="14">
        <v>-21.5</v>
      </c>
      <c r="O271" s="15"/>
    </row>
    <row r="272" spans="1:15" ht="16" x14ac:dyDescent="0.2">
      <c r="A272" s="7">
        <v>271</v>
      </c>
      <c r="B272" s="8" t="s">
        <v>472</v>
      </c>
      <c r="C272" s="8" t="s">
        <v>346</v>
      </c>
      <c r="D272" s="9" t="s">
        <v>194</v>
      </c>
      <c r="E272" s="13">
        <v>325.2</v>
      </c>
      <c r="F272" s="11">
        <v>1</v>
      </c>
      <c r="G272" s="12">
        <v>0.23</v>
      </c>
      <c r="H272" s="13">
        <v>470</v>
      </c>
      <c r="I272" s="13"/>
      <c r="J272" s="14">
        <v>1</v>
      </c>
      <c r="K272" s="15"/>
      <c r="L272" s="13">
        <v>7</v>
      </c>
      <c r="M272" s="13">
        <v>15</v>
      </c>
      <c r="N272" s="14">
        <v>-3</v>
      </c>
      <c r="O272" s="15"/>
    </row>
    <row r="273" spans="1:15" ht="16" x14ac:dyDescent="0.2">
      <c r="A273" s="7">
        <v>272</v>
      </c>
      <c r="B273" s="8" t="s">
        <v>415</v>
      </c>
      <c r="C273" s="8" t="s">
        <v>342</v>
      </c>
      <c r="D273" s="9" t="s">
        <v>192</v>
      </c>
      <c r="E273" s="13">
        <v>211.6</v>
      </c>
      <c r="F273" s="11">
        <v>1</v>
      </c>
      <c r="G273" s="12">
        <v>0.99</v>
      </c>
      <c r="H273" s="13">
        <v>547</v>
      </c>
      <c r="I273" s="13"/>
      <c r="J273" s="14">
        <v>1</v>
      </c>
      <c r="K273" s="15"/>
      <c r="L273" s="13">
        <v>3</v>
      </c>
      <c r="M273" s="13">
        <v>4</v>
      </c>
      <c r="N273" s="14">
        <v>-5.4</v>
      </c>
      <c r="O273" s="15"/>
    </row>
    <row r="274" spans="1:15" ht="16" x14ac:dyDescent="0.2">
      <c r="A274" s="7">
        <v>273</v>
      </c>
      <c r="B274" s="8" t="s">
        <v>468</v>
      </c>
      <c r="C274" s="8" t="s">
        <v>367</v>
      </c>
      <c r="D274" s="9" t="s">
        <v>191</v>
      </c>
      <c r="E274" s="13">
        <v>316.2</v>
      </c>
      <c r="F274" s="11">
        <v>1</v>
      </c>
      <c r="G274" s="12">
        <v>0.78</v>
      </c>
      <c r="H274" s="13">
        <v>607</v>
      </c>
      <c r="I274" s="13"/>
      <c r="J274" s="14">
        <v>1</v>
      </c>
      <c r="K274" s="15"/>
      <c r="L274" s="13">
        <v>4</v>
      </c>
      <c r="M274" s="13">
        <v>14</v>
      </c>
      <c r="N274" s="14">
        <v>6.8</v>
      </c>
      <c r="O274" s="15"/>
    </row>
    <row r="275" spans="1:15" ht="16" x14ac:dyDescent="0.2">
      <c r="A275" s="7">
        <v>274</v>
      </c>
      <c r="B275" s="8" t="s">
        <v>1039</v>
      </c>
      <c r="C275" s="8" t="s">
        <v>317</v>
      </c>
      <c r="D275" s="9" t="s">
        <v>196</v>
      </c>
      <c r="E275" s="13"/>
      <c r="F275" s="11">
        <v>0.03</v>
      </c>
      <c r="G275" s="12">
        <v>0.01</v>
      </c>
      <c r="H275" s="13"/>
      <c r="I275" s="13">
        <v>99.1</v>
      </c>
      <c r="J275" s="14">
        <v>1</v>
      </c>
      <c r="K275" s="15"/>
      <c r="L275" s="13">
        <v>1</v>
      </c>
      <c r="M275" s="13">
        <v>10</v>
      </c>
      <c r="N275" s="14">
        <v>-3.2</v>
      </c>
      <c r="O275" s="15"/>
    </row>
    <row r="276" spans="1:15" ht="16" x14ac:dyDescent="0.2">
      <c r="A276" s="7">
        <v>275</v>
      </c>
      <c r="B276" s="8" t="s">
        <v>1040</v>
      </c>
      <c r="C276" s="8" t="s">
        <v>371</v>
      </c>
      <c r="D276" s="9" t="s">
        <v>197</v>
      </c>
      <c r="E276" s="13">
        <v>66.099999999999994</v>
      </c>
      <c r="F276" s="11">
        <v>1</v>
      </c>
      <c r="G276" s="12">
        <v>1</v>
      </c>
      <c r="H276" s="13"/>
      <c r="I276" s="13">
        <v>54</v>
      </c>
      <c r="J276" s="14">
        <v>1</v>
      </c>
      <c r="K276" s="15"/>
      <c r="L276" s="13">
        <v>2</v>
      </c>
      <c r="M276" s="13">
        <v>13</v>
      </c>
      <c r="N276" s="14">
        <v>1</v>
      </c>
      <c r="O276" s="15"/>
    </row>
    <row r="277" spans="1:15" ht="16" x14ac:dyDescent="0.2">
      <c r="A277" s="7">
        <v>276</v>
      </c>
      <c r="B277" s="8" t="s">
        <v>211</v>
      </c>
      <c r="C277" s="8" t="s">
        <v>335</v>
      </c>
      <c r="D277" s="9" t="s">
        <v>195</v>
      </c>
      <c r="E277" s="13">
        <v>452</v>
      </c>
      <c r="F277" s="11">
        <v>1</v>
      </c>
      <c r="G277" s="12">
        <v>0.12</v>
      </c>
      <c r="H277" s="13">
        <v>529</v>
      </c>
      <c r="I277" s="13"/>
      <c r="J277" s="14">
        <v>0.9</v>
      </c>
      <c r="K277" s="15"/>
      <c r="L277" s="13">
        <v>0</v>
      </c>
      <c r="M277" s="13">
        <v>11</v>
      </c>
      <c r="N277" s="14">
        <v>-1.6</v>
      </c>
      <c r="O277" s="15"/>
    </row>
    <row r="278" spans="1:15" ht="16" x14ac:dyDescent="0.2">
      <c r="A278" s="7">
        <v>277</v>
      </c>
      <c r="B278" s="8" t="s">
        <v>433</v>
      </c>
      <c r="C278" s="8" t="s">
        <v>348</v>
      </c>
      <c r="D278" s="9" t="s">
        <v>190</v>
      </c>
      <c r="E278" s="13">
        <v>238.3</v>
      </c>
      <c r="F278" s="11">
        <v>1</v>
      </c>
      <c r="G278" s="12">
        <v>0.97</v>
      </c>
      <c r="H278" s="13">
        <v>259</v>
      </c>
      <c r="I278" s="13"/>
      <c r="J278" s="14">
        <v>0.8</v>
      </c>
      <c r="K278" s="15"/>
      <c r="L278" s="13">
        <v>19</v>
      </c>
      <c r="M278" s="13">
        <v>5</v>
      </c>
      <c r="N278" s="14">
        <v>-8.1999999999999993</v>
      </c>
      <c r="O278" s="15"/>
    </row>
    <row r="279" spans="1:15" ht="16" x14ac:dyDescent="0.2">
      <c r="A279" s="7">
        <v>278</v>
      </c>
      <c r="B279" s="8" t="s">
        <v>528</v>
      </c>
      <c r="C279" s="8" t="s">
        <v>354</v>
      </c>
      <c r="D279" s="9" t="s">
        <v>195</v>
      </c>
      <c r="E279" s="13">
        <v>437.2</v>
      </c>
      <c r="F279" s="11">
        <v>1</v>
      </c>
      <c r="G279" s="12">
        <v>7.0000000000000007E-2</v>
      </c>
      <c r="H279" s="13">
        <v>474</v>
      </c>
      <c r="I279" s="13"/>
      <c r="J279" s="14">
        <v>0.8</v>
      </c>
      <c r="K279" s="15"/>
      <c r="L279" s="13">
        <v>0</v>
      </c>
      <c r="M279" s="13">
        <v>1</v>
      </c>
      <c r="N279" s="14">
        <v>-15.7</v>
      </c>
      <c r="O279" s="15"/>
    </row>
    <row r="280" spans="1:15" ht="16" x14ac:dyDescent="0.2">
      <c r="A280" s="7">
        <v>279</v>
      </c>
      <c r="B280" s="8" t="s">
        <v>31</v>
      </c>
      <c r="C280" s="8" t="s">
        <v>362</v>
      </c>
      <c r="D280" s="9" t="s">
        <v>309</v>
      </c>
      <c r="E280" s="13">
        <v>207.8</v>
      </c>
      <c r="F280" s="11">
        <v>1</v>
      </c>
      <c r="G280" s="12">
        <v>1</v>
      </c>
      <c r="H280" s="13">
        <v>296</v>
      </c>
      <c r="I280" s="13"/>
      <c r="J280" s="14">
        <v>0.8</v>
      </c>
      <c r="K280" s="15"/>
      <c r="L280" s="13">
        <v>0</v>
      </c>
      <c r="M280" s="13">
        <v>6</v>
      </c>
      <c r="N280" s="14">
        <v>-1.8</v>
      </c>
      <c r="O280" s="15"/>
    </row>
    <row r="281" spans="1:15" ht="16" x14ac:dyDescent="0.2">
      <c r="A281" s="7">
        <v>280</v>
      </c>
      <c r="B281" s="8" t="s">
        <v>1041</v>
      </c>
      <c r="C281" s="8" t="s">
        <v>313</v>
      </c>
      <c r="D281" s="9" t="s">
        <v>196</v>
      </c>
      <c r="E281" s="13">
        <v>677.1</v>
      </c>
      <c r="F281" s="11">
        <v>0.91</v>
      </c>
      <c r="G281" s="12">
        <v>0.01</v>
      </c>
      <c r="H281" s="13"/>
      <c r="I281" s="13">
        <v>133.1</v>
      </c>
      <c r="J281" s="14">
        <v>0.5</v>
      </c>
      <c r="K281" s="15"/>
      <c r="L281" s="13">
        <v>4</v>
      </c>
      <c r="M281" s="13">
        <v>3</v>
      </c>
      <c r="N281" s="14">
        <v>-17.5</v>
      </c>
      <c r="O281" s="15"/>
    </row>
    <row r="282" spans="1:15" ht="16" x14ac:dyDescent="0.2">
      <c r="A282" s="7">
        <v>281</v>
      </c>
      <c r="B282" s="8" t="s">
        <v>278</v>
      </c>
      <c r="C282" s="8" t="s">
        <v>334</v>
      </c>
      <c r="D282" s="9" t="s">
        <v>196</v>
      </c>
      <c r="E282" s="13">
        <v>142.30000000000001</v>
      </c>
      <c r="F282" s="11">
        <v>1</v>
      </c>
      <c r="G282" s="12">
        <v>1</v>
      </c>
      <c r="H282" s="13"/>
      <c r="I282" s="13">
        <v>121.1</v>
      </c>
      <c r="J282" s="14">
        <v>0.4</v>
      </c>
      <c r="K282" s="15"/>
      <c r="L282" s="13">
        <v>5</v>
      </c>
      <c r="M282" s="13">
        <v>2</v>
      </c>
      <c r="N282" s="14">
        <v>-18.7</v>
      </c>
      <c r="O282" s="15"/>
    </row>
    <row r="283" spans="1:15" ht="16" x14ac:dyDescent="0.2">
      <c r="A283" s="7">
        <v>282</v>
      </c>
      <c r="B283" s="8" t="s">
        <v>1042</v>
      </c>
      <c r="C283" s="8" t="s">
        <v>367</v>
      </c>
      <c r="D283" s="9" t="s">
        <v>196</v>
      </c>
      <c r="E283" s="13">
        <v>499.7</v>
      </c>
      <c r="F283" s="11">
        <v>1</v>
      </c>
      <c r="G283" s="12">
        <v>0.09</v>
      </c>
      <c r="H283" s="13"/>
      <c r="I283" s="13">
        <v>179</v>
      </c>
      <c r="J283" s="14">
        <v>0.4</v>
      </c>
      <c r="K283" s="15"/>
      <c r="L283" s="13">
        <v>0</v>
      </c>
      <c r="M283" s="13">
        <v>9</v>
      </c>
      <c r="N283" s="14">
        <v>-6.7</v>
      </c>
      <c r="O283" s="15"/>
    </row>
    <row r="284" spans="1:15" ht="16" x14ac:dyDescent="0.2">
      <c r="A284" s="7">
        <v>283</v>
      </c>
      <c r="B284" s="8" t="s">
        <v>491</v>
      </c>
      <c r="C284" s="8" t="s">
        <v>350</v>
      </c>
      <c r="D284" s="9" t="s">
        <v>195</v>
      </c>
      <c r="E284" s="13">
        <v>368.7</v>
      </c>
      <c r="F284" s="11">
        <v>1</v>
      </c>
      <c r="G284" s="12">
        <v>0.39</v>
      </c>
      <c r="H284" s="13">
        <v>522</v>
      </c>
      <c r="I284" s="13"/>
      <c r="J284" s="14">
        <v>0.3</v>
      </c>
      <c r="K284" s="15"/>
      <c r="L284" s="13">
        <v>0</v>
      </c>
      <c r="M284" s="13">
        <v>3</v>
      </c>
      <c r="N284" s="14">
        <v>-17.8</v>
      </c>
      <c r="O284" s="15"/>
    </row>
    <row r="285" spans="1:15" ht="16" x14ac:dyDescent="0.2">
      <c r="A285" s="7">
        <v>284</v>
      </c>
      <c r="B285" s="8" t="s">
        <v>1043</v>
      </c>
      <c r="C285" s="8" t="s">
        <v>362</v>
      </c>
      <c r="D285" s="9" t="s">
        <v>196</v>
      </c>
      <c r="E285" s="13">
        <v>257.10000000000002</v>
      </c>
      <c r="F285" s="11">
        <v>1</v>
      </c>
      <c r="G285" s="12">
        <v>0.95</v>
      </c>
      <c r="H285" s="13"/>
      <c r="I285" s="13">
        <v>112</v>
      </c>
      <c r="J285" s="14">
        <v>0.2</v>
      </c>
      <c r="K285" s="15"/>
      <c r="L285" s="13">
        <v>0</v>
      </c>
      <c r="M285" s="13">
        <v>2</v>
      </c>
      <c r="N285" s="14">
        <v>-20.5</v>
      </c>
      <c r="O285" s="15"/>
    </row>
    <row r="286" spans="1:15" ht="16" x14ac:dyDescent="0.2">
      <c r="A286" s="7">
        <v>285</v>
      </c>
      <c r="B286" s="8" t="s">
        <v>1044</v>
      </c>
      <c r="C286" s="8" t="s">
        <v>315</v>
      </c>
      <c r="D286" s="9" t="s">
        <v>197</v>
      </c>
      <c r="E286" s="13">
        <v>749.4</v>
      </c>
      <c r="F286" s="11">
        <v>0.15</v>
      </c>
      <c r="G286" s="12">
        <v>0.02</v>
      </c>
      <c r="H286" s="13"/>
      <c r="I286" s="13">
        <v>62</v>
      </c>
      <c r="J286" s="14">
        <v>0.2</v>
      </c>
      <c r="K286" s="15"/>
      <c r="L286" s="13">
        <v>0</v>
      </c>
      <c r="M286" s="13">
        <v>11</v>
      </c>
      <c r="N286" s="14">
        <v>-2.7</v>
      </c>
      <c r="O286" s="15"/>
    </row>
    <row r="287" spans="1:15" ht="16" x14ac:dyDescent="0.2">
      <c r="A287" s="7">
        <v>286</v>
      </c>
      <c r="B287" s="8" t="s">
        <v>1045</v>
      </c>
      <c r="C287" s="8" t="s">
        <v>315</v>
      </c>
      <c r="D287" s="9" t="s">
        <v>196</v>
      </c>
      <c r="E287" s="13">
        <v>598</v>
      </c>
      <c r="F287" s="11">
        <v>0.97</v>
      </c>
      <c r="G287" s="12">
        <v>7.0000000000000007E-2</v>
      </c>
      <c r="H287" s="13"/>
      <c r="I287" s="13">
        <v>167.1</v>
      </c>
      <c r="J287" s="14">
        <v>0.1</v>
      </c>
      <c r="K287" s="15"/>
      <c r="L287" s="13">
        <v>0</v>
      </c>
      <c r="M287" s="13">
        <v>2</v>
      </c>
      <c r="N287" s="14">
        <v>-19</v>
      </c>
      <c r="O287" s="15"/>
    </row>
    <row r="288" spans="1:15" ht="16" x14ac:dyDescent="0.2">
      <c r="A288" s="7">
        <v>287</v>
      </c>
      <c r="B288" s="8" t="s">
        <v>1046</v>
      </c>
      <c r="C288" s="8" t="s">
        <v>385</v>
      </c>
      <c r="D288" s="9" t="s">
        <v>196</v>
      </c>
      <c r="E288" s="13">
        <v>355.8</v>
      </c>
      <c r="F288" s="11">
        <v>1</v>
      </c>
      <c r="G288" s="12">
        <v>0.35</v>
      </c>
      <c r="H288" s="13"/>
      <c r="I288" s="13">
        <v>86.1</v>
      </c>
      <c r="J288" s="14">
        <v>0.1</v>
      </c>
      <c r="K288" s="15"/>
      <c r="L288" s="13">
        <v>0</v>
      </c>
      <c r="M288" s="13">
        <v>9</v>
      </c>
      <c r="N288" s="14">
        <v>-2.1</v>
      </c>
      <c r="O288" s="15"/>
    </row>
    <row r="289" spans="1:15" ht="16" x14ac:dyDescent="0.2">
      <c r="A289" s="7">
        <v>288</v>
      </c>
      <c r="B289" s="8" t="s">
        <v>1047</v>
      </c>
      <c r="C289" s="8" t="s">
        <v>305</v>
      </c>
      <c r="D289" s="9" t="s">
        <v>197</v>
      </c>
      <c r="E289" s="13">
        <v>482.1</v>
      </c>
      <c r="F289" s="11">
        <v>1</v>
      </c>
      <c r="G289" s="12">
        <v>0.33</v>
      </c>
      <c r="H289" s="13"/>
      <c r="I289" s="13">
        <v>67.099999999999994</v>
      </c>
      <c r="J289" s="14">
        <v>0.1</v>
      </c>
      <c r="K289" s="15"/>
      <c r="L289" s="13">
        <v>7</v>
      </c>
      <c r="M289" s="13">
        <v>7</v>
      </c>
      <c r="N289" s="14">
        <v>-8</v>
      </c>
      <c r="O289" s="15"/>
    </row>
    <row r="290" spans="1:15" ht="16" x14ac:dyDescent="0.2">
      <c r="A290" s="7">
        <v>289</v>
      </c>
      <c r="B290" s="8" t="s">
        <v>1048</v>
      </c>
      <c r="C290" s="8" t="s">
        <v>313</v>
      </c>
      <c r="D290" s="9" t="s">
        <v>196</v>
      </c>
      <c r="E290" s="13">
        <v>433.5</v>
      </c>
      <c r="F290" s="11">
        <v>1</v>
      </c>
      <c r="G290" s="12">
        <v>0.09</v>
      </c>
      <c r="H290" s="13"/>
      <c r="I290" s="13">
        <v>129.1</v>
      </c>
      <c r="J290" s="14">
        <v>0.1</v>
      </c>
      <c r="K290" s="15"/>
      <c r="L290" s="13">
        <v>11</v>
      </c>
      <c r="M290" s="13">
        <v>8</v>
      </c>
      <c r="N290" s="14">
        <v>-2.7</v>
      </c>
      <c r="O290" s="15"/>
    </row>
    <row r="291" spans="1:15" ht="16" x14ac:dyDescent="0.2">
      <c r="A291" s="7">
        <v>290</v>
      </c>
      <c r="B291" s="8" t="s">
        <v>36</v>
      </c>
      <c r="C291" s="8" t="s">
        <v>385</v>
      </c>
      <c r="D291" s="9" t="s">
        <v>194</v>
      </c>
      <c r="E291" s="13">
        <v>151.80000000000001</v>
      </c>
      <c r="F291" s="11">
        <v>1</v>
      </c>
      <c r="G291" s="12">
        <v>0.98</v>
      </c>
      <c r="H291" s="13">
        <v>303</v>
      </c>
      <c r="I291" s="13"/>
      <c r="J291" s="14">
        <v>0</v>
      </c>
      <c r="K291" s="15"/>
      <c r="L291" s="13">
        <v>0</v>
      </c>
      <c r="M291" s="13">
        <v>7</v>
      </c>
      <c r="N291" s="14">
        <v>-18.2</v>
      </c>
      <c r="O291" s="15"/>
    </row>
    <row r="292" spans="1:15" ht="16" x14ac:dyDescent="0.2">
      <c r="A292" s="7">
        <v>291</v>
      </c>
      <c r="B292" s="8" t="s">
        <v>1049</v>
      </c>
      <c r="C292" s="8" t="s">
        <v>314</v>
      </c>
      <c r="D292" s="9" t="s">
        <v>197</v>
      </c>
      <c r="E292" s="13">
        <v>279.39999999999998</v>
      </c>
      <c r="F292" s="11">
        <v>1</v>
      </c>
      <c r="G292" s="12">
        <v>0.88</v>
      </c>
      <c r="H292" s="13"/>
      <c r="I292" s="13">
        <v>63</v>
      </c>
      <c r="J292" s="14">
        <v>0</v>
      </c>
      <c r="K292" s="15"/>
      <c r="L292" s="13">
        <v>0</v>
      </c>
      <c r="M292" s="13">
        <v>2</v>
      </c>
      <c r="N292" s="14">
        <v>-19.600000000000001</v>
      </c>
      <c r="O292" s="15"/>
    </row>
    <row r="293" spans="1:15" ht="16" x14ac:dyDescent="0.2">
      <c r="A293" s="7">
        <v>292</v>
      </c>
      <c r="B293" s="8" t="s">
        <v>549</v>
      </c>
      <c r="C293" s="8" t="s">
        <v>337</v>
      </c>
      <c r="D293" s="9" t="s">
        <v>504</v>
      </c>
      <c r="E293" s="13">
        <v>479.3</v>
      </c>
      <c r="F293" s="11">
        <v>1</v>
      </c>
      <c r="G293" s="12">
        <v>0.05</v>
      </c>
      <c r="H293" s="13">
        <v>482</v>
      </c>
      <c r="I293" s="13"/>
      <c r="J293" s="14">
        <v>0</v>
      </c>
      <c r="K293" s="15"/>
      <c r="L293" s="13">
        <v>1</v>
      </c>
      <c r="M293" s="13">
        <v>15</v>
      </c>
      <c r="N293" s="14">
        <v>-4.3</v>
      </c>
      <c r="O293" s="15"/>
    </row>
    <row r="294" spans="1:15" ht="16" x14ac:dyDescent="0.2">
      <c r="A294" s="7">
        <v>293</v>
      </c>
      <c r="B294" s="8" t="s">
        <v>1050</v>
      </c>
      <c r="C294" s="8" t="s">
        <v>305</v>
      </c>
      <c r="D294" s="9" t="s">
        <v>197</v>
      </c>
      <c r="E294" s="13">
        <v>458.8</v>
      </c>
      <c r="F294" s="11">
        <v>1</v>
      </c>
      <c r="G294" s="12">
        <v>0.33</v>
      </c>
      <c r="H294" s="13"/>
      <c r="I294" s="13">
        <v>46.1</v>
      </c>
      <c r="J294" s="14">
        <v>-0.1</v>
      </c>
      <c r="K294" s="15"/>
      <c r="L294" s="13">
        <v>10</v>
      </c>
      <c r="M294" s="13">
        <v>8</v>
      </c>
      <c r="N294" s="14">
        <v>-8.1</v>
      </c>
      <c r="O294" s="15"/>
    </row>
    <row r="295" spans="1:15" ht="16" x14ac:dyDescent="0.2">
      <c r="A295" s="7">
        <v>294</v>
      </c>
      <c r="B295" s="8" t="s">
        <v>1051</v>
      </c>
      <c r="C295" s="9"/>
      <c r="D295" s="9" t="s">
        <v>197</v>
      </c>
      <c r="E295" s="13">
        <v>750.9</v>
      </c>
      <c r="F295" s="11">
        <v>0.11</v>
      </c>
      <c r="G295" s="12">
        <v>0</v>
      </c>
      <c r="H295" s="13"/>
      <c r="I295" s="13">
        <v>63</v>
      </c>
      <c r="J295" s="14">
        <v>-0.1</v>
      </c>
      <c r="K295" s="15"/>
      <c r="L295" s="13">
        <v>13</v>
      </c>
      <c r="M295" s="13">
        <v>3</v>
      </c>
      <c r="N295" s="14">
        <v>-7.5</v>
      </c>
      <c r="O295" s="15"/>
    </row>
    <row r="296" spans="1:15" ht="16" x14ac:dyDescent="0.2">
      <c r="A296" s="7">
        <v>295</v>
      </c>
      <c r="B296" s="8" t="s">
        <v>1052</v>
      </c>
      <c r="C296" s="8" t="s">
        <v>337</v>
      </c>
      <c r="D296" s="9" t="s">
        <v>197</v>
      </c>
      <c r="E296" s="13">
        <v>314.39999999999998</v>
      </c>
      <c r="F296" s="11">
        <v>1</v>
      </c>
      <c r="G296" s="12">
        <v>0.61</v>
      </c>
      <c r="H296" s="13"/>
      <c r="I296" s="13">
        <v>63.1</v>
      </c>
      <c r="J296" s="14">
        <v>-0.1</v>
      </c>
      <c r="K296" s="15"/>
      <c r="L296" s="13">
        <v>9</v>
      </c>
      <c r="M296" s="13">
        <v>9</v>
      </c>
      <c r="N296" s="14">
        <v>-4.4000000000000004</v>
      </c>
      <c r="O296" s="15"/>
    </row>
    <row r="297" spans="1:15" ht="16" x14ac:dyDescent="0.2">
      <c r="A297" s="7">
        <v>296</v>
      </c>
      <c r="B297" s="8" t="s">
        <v>1053</v>
      </c>
      <c r="C297" s="8" t="s">
        <v>311</v>
      </c>
      <c r="D297" s="9" t="s">
        <v>197</v>
      </c>
      <c r="E297" s="13">
        <v>750.6</v>
      </c>
      <c r="F297" s="11">
        <v>0.02</v>
      </c>
      <c r="G297" s="12">
        <v>0</v>
      </c>
      <c r="H297" s="13"/>
      <c r="I297" s="13">
        <v>65.099999999999994</v>
      </c>
      <c r="J297" s="14">
        <v>-0.2</v>
      </c>
      <c r="K297" s="15"/>
      <c r="L297" s="13">
        <v>0</v>
      </c>
      <c r="M297" s="13">
        <v>8</v>
      </c>
      <c r="N297" s="14">
        <v>-1.9</v>
      </c>
      <c r="O297" s="15"/>
    </row>
    <row r="298" spans="1:15" ht="16" x14ac:dyDescent="0.2">
      <c r="A298" s="7">
        <v>297</v>
      </c>
      <c r="B298" s="8" t="s">
        <v>601</v>
      </c>
      <c r="C298" s="8" t="s">
        <v>334</v>
      </c>
      <c r="D298" s="9" t="s">
        <v>306</v>
      </c>
      <c r="E298" s="13">
        <v>603.6</v>
      </c>
      <c r="F298" s="11">
        <v>0.79</v>
      </c>
      <c r="G298" s="12">
        <v>0.05</v>
      </c>
      <c r="H298" s="13">
        <v>515</v>
      </c>
      <c r="I298" s="13"/>
      <c r="J298" s="14">
        <v>-0.2</v>
      </c>
      <c r="K298" s="15"/>
      <c r="L298" s="13">
        <v>1</v>
      </c>
      <c r="M298" s="13">
        <v>13</v>
      </c>
      <c r="N298" s="14">
        <v>2.2999999999999998</v>
      </c>
      <c r="O298" s="15"/>
    </row>
    <row r="299" spans="1:15" ht="16" x14ac:dyDescent="0.2">
      <c r="A299" s="7">
        <v>298</v>
      </c>
      <c r="B299" s="8" t="s">
        <v>267</v>
      </c>
      <c r="C299" s="8" t="s">
        <v>310</v>
      </c>
      <c r="D299" s="9" t="s">
        <v>196</v>
      </c>
      <c r="E299" s="13">
        <v>240.9</v>
      </c>
      <c r="F299" s="11">
        <v>1</v>
      </c>
      <c r="G299" s="12">
        <v>0.99</v>
      </c>
      <c r="H299" s="13"/>
      <c r="I299" s="13">
        <v>115</v>
      </c>
      <c r="J299" s="14">
        <v>-0.2</v>
      </c>
      <c r="K299" s="15"/>
      <c r="L299" s="13">
        <v>3</v>
      </c>
      <c r="M299" s="13">
        <v>6</v>
      </c>
      <c r="N299" s="14">
        <v>-15.3</v>
      </c>
      <c r="O299" s="15"/>
    </row>
    <row r="300" spans="1:15" ht="16" x14ac:dyDescent="0.2">
      <c r="A300" s="7">
        <v>299</v>
      </c>
      <c r="B300" s="8" t="s">
        <v>1054</v>
      </c>
      <c r="C300" s="8" t="s">
        <v>316</v>
      </c>
      <c r="D300" s="9" t="s">
        <v>196</v>
      </c>
      <c r="E300" s="13">
        <v>396.8</v>
      </c>
      <c r="F300" s="11">
        <v>1</v>
      </c>
      <c r="G300" s="12">
        <v>0.25</v>
      </c>
      <c r="H300" s="13"/>
      <c r="I300" s="13">
        <v>150.1</v>
      </c>
      <c r="J300" s="14">
        <v>-0.3</v>
      </c>
      <c r="K300" s="15"/>
      <c r="L300" s="13">
        <v>0</v>
      </c>
      <c r="M300" s="13">
        <v>12</v>
      </c>
      <c r="N300" s="14">
        <v>-2.2999999999999998</v>
      </c>
      <c r="O300" s="15"/>
    </row>
    <row r="301" spans="1:15" ht="16" x14ac:dyDescent="0.2">
      <c r="A301" s="7">
        <v>300</v>
      </c>
      <c r="B301" s="8" t="s">
        <v>1055</v>
      </c>
      <c r="C301" s="8" t="s">
        <v>305</v>
      </c>
      <c r="D301" s="9" t="s">
        <v>196</v>
      </c>
      <c r="E301" s="13">
        <v>610</v>
      </c>
      <c r="F301" s="11">
        <v>1</v>
      </c>
      <c r="G301" s="12">
        <v>0.04</v>
      </c>
      <c r="H301" s="13"/>
      <c r="I301" s="13">
        <v>69</v>
      </c>
      <c r="J301" s="14">
        <v>-0.3</v>
      </c>
      <c r="K301" s="15"/>
      <c r="L301" s="13">
        <v>25</v>
      </c>
      <c r="M301" s="13">
        <v>3</v>
      </c>
      <c r="N301" s="14">
        <v>-3.6</v>
      </c>
      <c r="O301" s="15"/>
    </row>
    <row r="302" spans="1:15" ht="16" x14ac:dyDescent="0.2">
      <c r="A302" s="7">
        <v>301</v>
      </c>
      <c r="B302" s="8" t="s">
        <v>281</v>
      </c>
      <c r="C302" s="8" t="s">
        <v>317</v>
      </c>
      <c r="D302" s="9" t="s">
        <v>384</v>
      </c>
      <c r="E302" s="13">
        <v>150.80000000000001</v>
      </c>
      <c r="F302" s="11">
        <v>1</v>
      </c>
      <c r="G302" s="12">
        <v>1</v>
      </c>
      <c r="H302" s="13">
        <v>463</v>
      </c>
      <c r="I302" s="13"/>
      <c r="J302" s="14">
        <v>-0.4</v>
      </c>
      <c r="K302" s="15"/>
      <c r="L302" s="13">
        <v>3</v>
      </c>
      <c r="M302" s="13">
        <v>0</v>
      </c>
      <c r="N302" s="14">
        <v>-23.3</v>
      </c>
      <c r="O302" s="15"/>
    </row>
    <row r="303" spans="1:15" ht="16" x14ac:dyDescent="0.2">
      <c r="A303" s="7">
        <v>302</v>
      </c>
      <c r="B303" s="8" t="s">
        <v>1056</v>
      </c>
      <c r="C303" s="8" t="s">
        <v>313</v>
      </c>
      <c r="D303" s="9" t="s">
        <v>196</v>
      </c>
      <c r="E303" s="13">
        <v>663.4</v>
      </c>
      <c r="F303" s="11">
        <v>0.85</v>
      </c>
      <c r="G303" s="12">
        <v>0</v>
      </c>
      <c r="H303" s="13"/>
      <c r="I303" s="13">
        <v>39</v>
      </c>
      <c r="J303" s="14">
        <v>-0.4</v>
      </c>
      <c r="K303" s="15"/>
      <c r="L303" s="13">
        <v>6</v>
      </c>
      <c r="M303" s="13">
        <v>7</v>
      </c>
      <c r="N303" s="14">
        <v>-12.3</v>
      </c>
      <c r="O303" s="15"/>
    </row>
    <row r="304" spans="1:15" ht="16" x14ac:dyDescent="0.2">
      <c r="A304" s="7">
        <v>303</v>
      </c>
      <c r="B304" s="8" t="s">
        <v>600</v>
      </c>
      <c r="C304" s="8" t="s">
        <v>322</v>
      </c>
      <c r="D304" s="9" t="s">
        <v>195</v>
      </c>
      <c r="E304" s="13">
        <v>589.4</v>
      </c>
      <c r="F304" s="11">
        <v>0.98</v>
      </c>
      <c r="G304" s="12">
        <v>0</v>
      </c>
      <c r="H304" s="13">
        <v>434</v>
      </c>
      <c r="I304" s="13"/>
      <c r="J304" s="14">
        <v>-0.4</v>
      </c>
      <c r="K304" s="15"/>
      <c r="L304" s="13">
        <v>2</v>
      </c>
      <c r="M304" s="13">
        <v>0</v>
      </c>
      <c r="N304" s="14">
        <v>-22.4</v>
      </c>
      <c r="O304" s="15"/>
    </row>
    <row r="305" spans="1:15" ht="16" x14ac:dyDescent="0.2">
      <c r="A305" s="7">
        <v>304</v>
      </c>
      <c r="B305" s="8" t="s">
        <v>1057</v>
      </c>
      <c r="C305" s="8" t="s">
        <v>337</v>
      </c>
      <c r="D305" s="9" t="s">
        <v>196</v>
      </c>
      <c r="E305" s="13">
        <v>429.6</v>
      </c>
      <c r="F305" s="11">
        <v>1</v>
      </c>
      <c r="G305" s="12">
        <v>7.0000000000000007E-2</v>
      </c>
      <c r="H305" s="13"/>
      <c r="I305" s="13">
        <v>187.1</v>
      </c>
      <c r="J305" s="14">
        <v>-0.5</v>
      </c>
      <c r="K305" s="15"/>
      <c r="L305" s="13">
        <v>2</v>
      </c>
      <c r="M305" s="13">
        <v>7</v>
      </c>
      <c r="N305" s="14">
        <v>-5.8</v>
      </c>
      <c r="O305" s="15"/>
    </row>
    <row r="306" spans="1:15" ht="16" x14ac:dyDescent="0.2">
      <c r="A306" s="7">
        <v>305</v>
      </c>
      <c r="B306" s="8" t="s">
        <v>1058</v>
      </c>
      <c r="C306" s="8" t="s">
        <v>362</v>
      </c>
      <c r="D306" s="9" t="s">
        <v>197</v>
      </c>
      <c r="E306" s="13">
        <v>293.8</v>
      </c>
      <c r="F306" s="11">
        <v>1</v>
      </c>
      <c r="G306" s="12">
        <v>0.73</v>
      </c>
      <c r="H306" s="13"/>
      <c r="I306" s="13">
        <v>60</v>
      </c>
      <c r="J306" s="14">
        <v>-0.6</v>
      </c>
      <c r="K306" s="15"/>
      <c r="L306" s="13">
        <v>6</v>
      </c>
      <c r="M306" s="13">
        <v>8</v>
      </c>
      <c r="N306" s="14">
        <v>-13.9</v>
      </c>
      <c r="O306" s="15"/>
    </row>
    <row r="307" spans="1:15" ht="16" x14ac:dyDescent="0.2">
      <c r="A307" s="7">
        <v>306</v>
      </c>
      <c r="B307" s="8" t="s">
        <v>522</v>
      </c>
      <c r="C307" s="8" t="s">
        <v>305</v>
      </c>
      <c r="D307" s="9" t="s">
        <v>195</v>
      </c>
      <c r="E307" s="13">
        <v>419.2</v>
      </c>
      <c r="F307" s="11">
        <v>1</v>
      </c>
      <c r="G307" s="12">
        <v>0.34</v>
      </c>
      <c r="H307" s="13">
        <v>443</v>
      </c>
      <c r="I307" s="13"/>
      <c r="J307" s="14">
        <v>-0.6</v>
      </c>
      <c r="K307" s="15"/>
      <c r="L307" s="13">
        <v>0</v>
      </c>
      <c r="M307" s="13">
        <v>2</v>
      </c>
      <c r="N307" s="14">
        <v>-17.8</v>
      </c>
      <c r="O307" s="15"/>
    </row>
    <row r="308" spans="1:15" ht="16" x14ac:dyDescent="0.2">
      <c r="A308" s="7">
        <v>307</v>
      </c>
      <c r="B308" s="8" t="s">
        <v>390</v>
      </c>
      <c r="C308" s="8" t="s">
        <v>367</v>
      </c>
      <c r="D308" s="9" t="s">
        <v>352</v>
      </c>
      <c r="E308" s="13">
        <v>158.30000000000001</v>
      </c>
      <c r="F308" s="11">
        <v>1</v>
      </c>
      <c r="G308" s="12">
        <v>0.99</v>
      </c>
      <c r="H308" s="13">
        <v>304</v>
      </c>
      <c r="I308" s="13"/>
      <c r="J308" s="14">
        <v>-0.6</v>
      </c>
      <c r="K308" s="15"/>
      <c r="L308" s="13">
        <v>5</v>
      </c>
      <c r="M308" s="13">
        <v>2</v>
      </c>
      <c r="N308" s="14">
        <v>-19.2</v>
      </c>
      <c r="O308" s="15"/>
    </row>
    <row r="309" spans="1:15" ht="16" x14ac:dyDescent="0.2">
      <c r="A309" s="7">
        <v>308</v>
      </c>
      <c r="B309" s="8" t="s">
        <v>473</v>
      </c>
      <c r="C309" s="8" t="s">
        <v>385</v>
      </c>
      <c r="D309" s="9" t="s">
        <v>192</v>
      </c>
      <c r="E309" s="13">
        <v>327.3</v>
      </c>
      <c r="F309" s="11">
        <v>1</v>
      </c>
      <c r="G309" s="12">
        <v>0.61</v>
      </c>
      <c r="H309" s="13">
        <v>434</v>
      </c>
      <c r="I309" s="13"/>
      <c r="J309" s="14">
        <v>-0.6</v>
      </c>
      <c r="K309" s="15"/>
      <c r="L309" s="13">
        <v>0</v>
      </c>
      <c r="M309" s="13">
        <v>0</v>
      </c>
      <c r="N309" s="14">
        <v>-23.7</v>
      </c>
      <c r="O309" s="15"/>
    </row>
    <row r="310" spans="1:15" ht="16" x14ac:dyDescent="0.2">
      <c r="A310" s="7">
        <v>309</v>
      </c>
      <c r="B310" s="8" t="s">
        <v>513</v>
      </c>
      <c r="C310" s="8" t="s">
        <v>325</v>
      </c>
      <c r="D310" s="9" t="s">
        <v>384</v>
      </c>
      <c r="E310" s="13">
        <v>403.6</v>
      </c>
      <c r="F310" s="11">
        <v>1</v>
      </c>
      <c r="G310" s="12">
        <v>0.19</v>
      </c>
      <c r="H310" s="13">
        <v>317</v>
      </c>
      <c r="I310" s="13"/>
      <c r="J310" s="14">
        <v>-0.7</v>
      </c>
      <c r="K310" s="15"/>
      <c r="L310" s="13">
        <v>4</v>
      </c>
      <c r="M310" s="13">
        <v>4</v>
      </c>
      <c r="N310" s="14">
        <v>-15.1</v>
      </c>
      <c r="O310" s="15"/>
    </row>
    <row r="311" spans="1:15" ht="16" x14ac:dyDescent="0.2">
      <c r="A311" s="7">
        <v>310</v>
      </c>
      <c r="B311" s="8" t="s">
        <v>1059</v>
      </c>
      <c r="C311" s="8" t="s">
        <v>334</v>
      </c>
      <c r="D311" s="9" t="s">
        <v>196</v>
      </c>
      <c r="E311" s="13">
        <v>297</v>
      </c>
      <c r="F311" s="11">
        <v>1</v>
      </c>
      <c r="G311" s="12">
        <v>0.94</v>
      </c>
      <c r="H311" s="13"/>
      <c r="I311" s="13">
        <v>178</v>
      </c>
      <c r="J311" s="14">
        <v>-0.7</v>
      </c>
      <c r="K311" s="15"/>
      <c r="L311" s="13">
        <v>0</v>
      </c>
      <c r="M311" s="13">
        <v>4</v>
      </c>
      <c r="N311" s="14">
        <v>-17.7</v>
      </c>
      <c r="O311" s="15"/>
    </row>
    <row r="312" spans="1:15" ht="16" x14ac:dyDescent="0.2">
      <c r="A312" s="7">
        <v>311</v>
      </c>
      <c r="B312" s="8" t="s">
        <v>543</v>
      </c>
      <c r="C312" s="8" t="s">
        <v>349</v>
      </c>
      <c r="D312" s="9" t="s">
        <v>190</v>
      </c>
      <c r="E312" s="13">
        <v>473.4</v>
      </c>
      <c r="F312" s="11">
        <v>0.98</v>
      </c>
      <c r="G312" s="12">
        <v>0.18</v>
      </c>
      <c r="H312" s="13">
        <v>281</v>
      </c>
      <c r="I312" s="13"/>
      <c r="J312" s="14">
        <v>-0.7</v>
      </c>
      <c r="K312" s="15"/>
      <c r="L312" s="13">
        <v>4</v>
      </c>
      <c r="M312" s="13">
        <v>8</v>
      </c>
      <c r="N312" s="14">
        <v>-6.3</v>
      </c>
      <c r="O312" s="15"/>
    </row>
    <row r="313" spans="1:15" ht="16" x14ac:dyDescent="0.2">
      <c r="A313" s="7">
        <v>312</v>
      </c>
      <c r="B313" s="8" t="s">
        <v>1060</v>
      </c>
      <c r="C313" s="8" t="s">
        <v>315</v>
      </c>
      <c r="D313" s="9" t="s">
        <v>197</v>
      </c>
      <c r="E313" s="13">
        <v>296.10000000000002</v>
      </c>
      <c r="F313" s="11">
        <v>1</v>
      </c>
      <c r="G313" s="12">
        <v>0.76</v>
      </c>
      <c r="H313" s="13"/>
      <c r="I313" s="13">
        <v>43</v>
      </c>
      <c r="J313" s="14">
        <v>-1</v>
      </c>
      <c r="K313" s="15"/>
      <c r="L313" s="13">
        <v>0</v>
      </c>
      <c r="M313" s="13">
        <v>1</v>
      </c>
      <c r="N313" s="14">
        <v>-14.8</v>
      </c>
      <c r="O313" s="15"/>
    </row>
    <row r="314" spans="1:15" ht="16" x14ac:dyDescent="0.2">
      <c r="A314" s="7">
        <v>313</v>
      </c>
      <c r="B314" s="8" t="s">
        <v>1061</v>
      </c>
      <c r="C314" s="8" t="s">
        <v>316</v>
      </c>
      <c r="D314" s="9" t="s">
        <v>196</v>
      </c>
      <c r="E314" s="13">
        <v>171.5</v>
      </c>
      <c r="F314" s="11">
        <v>1</v>
      </c>
      <c r="G314" s="12">
        <v>0.99</v>
      </c>
      <c r="H314" s="13"/>
      <c r="I314" s="13">
        <v>181.1</v>
      </c>
      <c r="J314" s="14">
        <v>-1</v>
      </c>
      <c r="K314" s="15"/>
      <c r="L314" s="13">
        <v>6</v>
      </c>
      <c r="M314" s="13">
        <v>12</v>
      </c>
      <c r="N314" s="14">
        <v>-2.1</v>
      </c>
      <c r="O314" s="15"/>
    </row>
    <row r="315" spans="1:15" ht="16" x14ac:dyDescent="0.2">
      <c r="A315" s="7">
        <v>314</v>
      </c>
      <c r="B315" s="8" t="s">
        <v>488</v>
      </c>
      <c r="C315" s="8" t="s">
        <v>334</v>
      </c>
      <c r="D315" s="9" t="s">
        <v>475</v>
      </c>
      <c r="E315" s="13">
        <v>357.4</v>
      </c>
      <c r="F315" s="11">
        <v>1</v>
      </c>
      <c r="G315" s="12">
        <v>0.27</v>
      </c>
      <c r="H315" s="13">
        <v>496</v>
      </c>
      <c r="I315" s="13"/>
      <c r="J315" s="14">
        <v>-1</v>
      </c>
      <c r="K315" s="15"/>
      <c r="L315" s="13">
        <v>8</v>
      </c>
      <c r="M315" s="13">
        <v>14</v>
      </c>
      <c r="N315" s="14">
        <v>-3.6</v>
      </c>
      <c r="O315" s="15"/>
    </row>
    <row r="316" spans="1:15" ht="16" x14ac:dyDescent="0.2">
      <c r="A316" s="7">
        <v>315</v>
      </c>
      <c r="B316" s="8" t="s">
        <v>1062</v>
      </c>
      <c r="C316" s="8" t="s">
        <v>995</v>
      </c>
      <c r="D316" s="9" t="s">
        <v>196</v>
      </c>
      <c r="E316" s="13">
        <v>495.8</v>
      </c>
      <c r="F316" s="11">
        <v>1</v>
      </c>
      <c r="G316" s="12">
        <v>0.05</v>
      </c>
      <c r="H316" s="13"/>
      <c r="I316" s="13">
        <v>180.1</v>
      </c>
      <c r="J316" s="14">
        <v>-1.1000000000000001</v>
      </c>
      <c r="K316" s="15"/>
      <c r="L316" s="13">
        <v>8</v>
      </c>
      <c r="M316" s="13">
        <v>11</v>
      </c>
      <c r="N316" s="14">
        <v>-5.6</v>
      </c>
      <c r="O316" s="15"/>
    </row>
    <row r="317" spans="1:15" ht="16" x14ac:dyDescent="0.2">
      <c r="A317" s="7">
        <v>316</v>
      </c>
      <c r="B317" s="8" t="s">
        <v>1063</v>
      </c>
      <c r="C317" s="8" t="s">
        <v>348</v>
      </c>
      <c r="D317" s="9" t="s">
        <v>196</v>
      </c>
      <c r="E317" s="13">
        <v>492.3</v>
      </c>
      <c r="F317" s="11">
        <v>1</v>
      </c>
      <c r="G317" s="12">
        <v>0.03</v>
      </c>
      <c r="H317" s="13"/>
      <c r="I317" s="13">
        <v>121</v>
      </c>
      <c r="J317" s="14">
        <v>-1.1000000000000001</v>
      </c>
      <c r="K317" s="15"/>
      <c r="L317" s="13">
        <v>23</v>
      </c>
      <c r="M317" s="13">
        <v>6</v>
      </c>
      <c r="N317" s="14">
        <v>-0.4</v>
      </c>
      <c r="O317" s="15"/>
    </row>
    <row r="318" spans="1:15" ht="16" x14ac:dyDescent="0.2">
      <c r="A318" s="7">
        <v>317</v>
      </c>
      <c r="B318" s="8" t="s">
        <v>527</v>
      </c>
      <c r="C318" s="8" t="s">
        <v>314</v>
      </c>
      <c r="D318" s="9" t="s">
        <v>195</v>
      </c>
      <c r="E318" s="13">
        <v>435.3</v>
      </c>
      <c r="F318" s="11">
        <v>1</v>
      </c>
      <c r="G318" s="12">
        <v>0.25</v>
      </c>
      <c r="H318" s="13">
        <v>370</v>
      </c>
      <c r="I318" s="13"/>
      <c r="J318" s="14">
        <v>-1.1000000000000001</v>
      </c>
      <c r="K318" s="15"/>
      <c r="L318" s="13">
        <v>3</v>
      </c>
      <c r="M318" s="13">
        <v>20</v>
      </c>
      <c r="N318" s="14">
        <v>-0.2</v>
      </c>
      <c r="O318" s="15"/>
    </row>
    <row r="319" spans="1:15" ht="16" x14ac:dyDescent="0.2">
      <c r="A319" s="7">
        <v>318</v>
      </c>
      <c r="B319" s="8" t="s">
        <v>497</v>
      </c>
      <c r="C319" s="8" t="s">
        <v>322</v>
      </c>
      <c r="D319" s="9" t="s">
        <v>195</v>
      </c>
      <c r="E319" s="13">
        <v>383.4</v>
      </c>
      <c r="F319" s="11">
        <v>1</v>
      </c>
      <c r="G319" s="12">
        <v>0.24</v>
      </c>
      <c r="H319" s="13">
        <v>524</v>
      </c>
      <c r="I319" s="13"/>
      <c r="J319" s="14">
        <v>-1.1000000000000001</v>
      </c>
      <c r="K319" s="15"/>
      <c r="L319" s="13">
        <v>5</v>
      </c>
      <c r="M319" s="13">
        <v>10</v>
      </c>
      <c r="N319" s="14">
        <v>-9.9</v>
      </c>
      <c r="O319" s="15"/>
    </row>
    <row r="320" spans="1:15" ht="16" x14ac:dyDescent="0.2">
      <c r="A320" s="7">
        <v>319</v>
      </c>
      <c r="B320" s="8" t="s">
        <v>1064</v>
      </c>
      <c r="C320" s="8" t="s">
        <v>317</v>
      </c>
      <c r="D320" s="9" t="s">
        <v>197</v>
      </c>
      <c r="E320" s="13">
        <v>436.3</v>
      </c>
      <c r="F320" s="11">
        <v>1</v>
      </c>
      <c r="G320" s="12">
        <v>7.0000000000000007E-2</v>
      </c>
      <c r="H320" s="13"/>
      <c r="I320" s="13">
        <v>61</v>
      </c>
      <c r="J320" s="14">
        <v>-1.2</v>
      </c>
      <c r="K320" s="15"/>
      <c r="L320" s="13">
        <v>20</v>
      </c>
      <c r="M320" s="13">
        <v>2</v>
      </c>
      <c r="N320" s="14">
        <v>-8.9</v>
      </c>
      <c r="O320" s="15"/>
    </row>
    <row r="321" spans="1:15" ht="16" x14ac:dyDescent="0.2">
      <c r="A321" s="7">
        <v>320</v>
      </c>
      <c r="B321" s="8" t="s">
        <v>286</v>
      </c>
      <c r="C321" s="8" t="s">
        <v>337</v>
      </c>
      <c r="D321" s="9" t="s">
        <v>196</v>
      </c>
      <c r="E321" s="13">
        <v>203.2</v>
      </c>
      <c r="F321" s="11">
        <v>1</v>
      </c>
      <c r="G321" s="12">
        <v>0.99</v>
      </c>
      <c r="H321" s="13"/>
      <c r="I321" s="13">
        <v>166</v>
      </c>
      <c r="J321" s="14">
        <v>-1.2</v>
      </c>
      <c r="K321" s="15"/>
      <c r="L321" s="13">
        <v>8</v>
      </c>
      <c r="M321" s="13">
        <v>9</v>
      </c>
      <c r="N321" s="14">
        <v>-8.4</v>
      </c>
      <c r="O321" s="15"/>
    </row>
    <row r="322" spans="1:15" ht="16" x14ac:dyDescent="0.2">
      <c r="A322" s="7">
        <v>321</v>
      </c>
      <c r="B322" s="8" t="s">
        <v>1065</v>
      </c>
      <c r="C322" s="8" t="s">
        <v>325</v>
      </c>
      <c r="D322" s="9" t="s">
        <v>196</v>
      </c>
      <c r="E322" s="13">
        <v>332.9</v>
      </c>
      <c r="F322" s="11">
        <v>1</v>
      </c>
      <c r="G322" s="12">
        <v>0.62</v>
      </c>
      <c r="H322" s="13"/>
      <c r="I322" s="13">
        <v>162</v>
      </c>
      <c r="J322" s="14">
        <v>-1.2</v>
      </c>
      <c r="K322" s="15"/>
      <c r="L322" s="13">
        <v>16</v>
      </c>
      <c r="M322" s="13">
        <v>4</v>
      </c>
      <c r="N322" s="14">
        <v>-12.4</v>
      </c>
      <c r="O322" s="15"/>
    </row>
    <row r="323" spans="1:15" ht="16" x14ac:dyDescent="0.2">
      <c r="A323" s="7">
        <v>322</v>
      </c>
      <c r="B323" s="8" t="s">
        <v>1066</v>
      </c>
      <c r="C323" s="8" t="s">
        <v>331</v>
      </c>
      <c r="D323" s="9" t="s">
        <v>197</v>
      </c>
      <c r="E323" s="13">
        <v>734.5</v>
      </c>
      <c r="F323" s="11">
        <v>0.22</v>
      </c>
      <c r="G323" s="12">
        <v>0.01</v>
      </c>
      <c r="H323" s="13"/>
      <c r="I323" s="13">
        <v>59</v>
      </c>
      <c r="J323" s="14">
        <v>-1.2</v>
      </c>
      <c r="K323" s="15"/>
      <c r="L323" s="13">
        <v>0</v>
      </c>
      <c r="M323" s="13">
        <v>5</v>
      </c>
      <c r="N323" s="14">
        <v>-16.399999999999999</v>
      </c>
      <c r="O323" s="15"/>
    </row>
    <row r="324" spans="1:15" ht="16" x14ac:dyDescent="0.2">
      <c r="A324" s="7">
        <v>323</v>
      </c>
      <c r="B324" s="8" t="s">
        <v>458</v>
      </c>
      <c r="C324" s="8" t="s">
        <v>311</v>
      </c>
      <c r="D324" s="9" t="s">
        <v>190</v>
      </c>
      <c r="E324" s="13">
        <v>289.10000000000002</v>
      </c>
      <c r="F324" s="11">
        <v>1</v>
      </c>
      <c r="G324" s="12">
        <v>0.97</v>
      </c>
      <c r="H324" s="13">
        <v>389</v>
      </c>
      <c r="I324" s="13"/>
      <c r="J324" s="14">
        <v>-1.4</v>
      </c>
      <c r="K324" s="15"/>
      <c r="L324" s="13">
        <v>0</v>
      </c>
      <c r="M324" s="13">
        <v>1</v>
      </c>
      <c r="N324" s="14">
        <v>-22.7</v>
      </c>
      <c r="O324" s="15"/>
    </row>
    <row r="325" spans="1:15" ht="16" x14ac:dyDescent="0.2">
      <c r="A325" s="7">
        <v>324</v>
      </c>
      <c r="B325" s="8" t="s">
        <v>1067</v>
      </c>
      <c r="C325" s="8" t="s">
        <v>315</v>
      </c>
      <c r="D325" s="9" t="s">
        <v>196</v>
      </c>
      <c r="E325" s="13">
        <v>312.3</v>
      </c>
      <c r="F325" s="11">
        <v>1</v>
      </c>
      <c r="G325" s="12">
        <v>0.77</v>
      </c>
      <c r="H325" s="13"/>
      <c r="I325" s="13">
        <v>39.1</v>
      </c>
      <c r="J325" s="14">
        <v>-1.4</v>
      </c>
      <c r="K325" s="15"/>
      <c r="L325" s="13">
        <v>3</v>
      </c>
      <c r="M325" s="13">
        <v>4</v>
      </c>
      <c r="N325" s="14">
        <v>-8.6</v>
      </c>
      <c r="O325" s="15"/>
    </row>
    <row r="326" spans="1:15" ht="16" x14ac:dyDescent="0.2">
      <c r="A326" s="7">
        <v>325</v>
      </c>
      <c r="B326" s="8" t="s">
        <v>489</v>
      </c>
      <c r="C326" s="8" t="s">
        <v>371</v>
      </c>
      <c r="D326" s="9" t="s">
        <v>312</v>
      </c>
      <c r="E326" s="13">
        <v>359</v>
      </c>
      <c r="F326" s="11">
        <v>1</v>
      </c>
      <c r="G326" s="12">
        <v>0.28000000000000003</v>
      </c>
      <c r="H326" s="13">
        <v>429</v>
      </c>
      <c r="I326" s="13"/>
      <c r="J326" s="14">
        <v>-1.4</v>
      </c>
      <c r="K326" s="15"/>
      <c r="L326" s="13">
        <v>2</v>
      </c>
      <c r="M326" s="13">
        <v>8</v>
      </c>
      <c r="N326" s="14">
        <v>-6.9</v>
      </c>
      <c r="O326" s="15"/>
    </row>
    <row r="327" spans="1:15" ht="16" x14ac:dyDescent="0.2">
      <c r="A327" s="7">
        <v>326</v>
      </c>
      <c r="B327" s="8" t="s">
        <v>443</v>
      </c>
      <c r="C327" s="8" t="s">
        <v>320</v>
      </c>
      <c r="D327" s="9" t="s">
        <v>190</v>
      </c>
      <c r="E327" s="13">
        <v>256.5</v>
      </c>
      <c r="F327" s="11">
        <v>1</v>
      </c>
      <c r="G327" s="12">
        <v>0.99</v>
      </c>
      <c r="H327" s="13">
        <v>386</v>
      </c>
      <c r="I327" s="13"/>
      <c r="J327" s="14">
        <v>-1.4</v>
      </c>
      <c r="K327" s="15"/>
      <c r="L327" s="13">
        <v>0</v>
      </c>
      <c r="M327" s="13">
        <v>0</v>
      </c>
      <c r="N327" s="14">
        <v>-24.7</v>
      </c>
      <c r="O327" s="15"/>
    </row>
    <row r="328" spans="1:15" ht="16" x14ac:dyDescent="0.2">
      <c r="A328" s="7">
        <v>327</v>
      </c>
      <c r="B328" s="8" t="s">
        <v>1068</v>
      </c>
      <c r="C328" s="8" t="s">
        <v>323</v>
      </c>
      <c r="D328" s="9" t="s">
        <v>197</v>
      </c>
      <c r="E328" s="13">
        <v>749.8</v>
      </c>
      <c r="F328" s="11">
        <v>0.01</v>
      </c>
      <c r="G328" s="12">
        <v>0</v>
      </c>
      <c r="H328" s="13"/>
      <c r="I328" s="13">
        <v>68.099999999999994</v>
      </c>
      <c r="J328" s="14">
        <v>-1.4</v>
      </c>
      <c r="K328" s="15"/>
      <c r="L328" s="13">
        <v>0</v>
      </c>
      <c r="M328" s="13">
        <v>4</v>
      </c>
      <c r="N328" s="14">
        <v>-6.9</v>
      </c>
      <c r="O328" s="15"/>
    </row>
    <row r="329" spans="1:15" ht="16" x14ac:dyDescent="0.2">
      <c r="A329" s="7">
        <v>328</v>
      </c>
      <c r="B329" s="8" t="s">
        <v>535</v>
      </c>
      <c r="C329" s="8" t="s">
        <v>323</v>
      </c>
      <c r="D329" s="9" t="s">
        <v>195</v>
      </c>
      <c r="E329" s="13">
        <v>449</v>
      </c>
      <c r="F329" s="11">
        <v>1</v>
      </c>
      <c r="G329" s="12">
        <v>7.0000000000000007E-2</v>
      </c>
      <c r="H329" s="13">
        <v>513</v>
      </c>
      <c r="I329" s="13"/>
      <c r="J329" s="14">
        <v>-1.4</v>
      </c>
      <c r="K329" s="15"/>
      <c r="L329" s="13">
        <v>14</v>
      </c>
      <c r="M329" s="13">
        <v>7</v>
      </c>
      <c r="N329" s="14">
        <v>-6.8</v>
      </c>
      <c r="O329" s="15"/>
    </row>
    <row r="330" spans="1:15" ht="16" x14ac:dyDescent="0.2">
      <c r="A330" s="7">
        <v>329</v>
      </c>
      <c r="B330" s="8" t="s">
        <v>1069</v>
      </c>
      <c r="C330" s="8" t="s">
        <v>362</v>
      </c>
      <c r="D330" s="9" t="s">
        <v>1005</v>
      </c>
      <c r="E330" s="13">
        <v>495.7</v>
      </c>
      <c r="F330" s="11">
        <v>1</v>
      </c>
      <c r="G330" s="12">
        <v>0.08</v>
      </c>
      <c r="H330" s="13"/>
      <c r="I330" s="13">
        <v>67.099999999999994</v>
      </c>
      <c r="J330" s="14">
        <v>-1.5</v>
      </c>
      <c r="K330" s="15"/>
      <c r="L330" s="13">
        <v>2</v>
      </c>
      <c r="M330" s="13">
        <v>6</v>
      </c>
      <c r="N330" s="14">
        <v>-10.7</v>
      </c>
      <c r="O330" s="15"/>
    </row>
    <row r="331" spans="1:15" ht="16" x14ac:dyDescent="0.2">
      <c r="A331" s="7">
        <v>330</v>
      </c>
      <c r="B331" s="8" t="s">
        <v>462</v>
      </c>
      <c r="C331" s="8" t="s">
        <v>310</v>
      </c>
      <c r="D331" s="9" t="s">
        <v>365</v>
      </c>
      <c r="E331" s="13">
        <v>302.3</v>
      </c>
      <c r="F331" s="11">
        <v>1</v>
      </c>
      <c r="G331" s="12">
        <v>0.87</v>
      </c>
      <c r="H331" s="13">
        <v>463</v>
      </c>
      <c r="I331" s="13"/>
      <c r="J331" s="14">
        <v>-1.5</v>
      </c>
      <c r="K331" s="15"/>
      <c r="L331" s="13">
        <v>16</v>
      </c>
      <c r="M331" s="13">
        <v>14</v>
      </c>
      <c r="N331" s="14">
        <v>-6</v>
      </c>
      <c r="O331" s="15"/>
    </row>
    <row r="332" spans="1:15" ht="16" x14ac:dyDescent="0.2">
      <c r="A332" s="7">
        <v>331</v>
      </c>
      <c r="B332" s="8" t="s">
        <v>484</v>
      </c>
      <c r="C332" s="8" t="s">
        <v>319</v>
      </c>
      <c r="D332" s="9" t="s">
        <v>424</v>
      </c>
      <c r="E332" s="13">
        <v>344.3</v>
      </c>
      <c r="F332" s="11">
        <v>1</v>
      </c>
      <c r="G332" s="12">
        <v>0.43</v>
      </c>
      <c r="H332" s="13">
        <v>441</v>
      </c>
      <c r="I332" s="13"/>
      <c r="J332" s="14">
        <v>-1.5</v>
      </c>
      <c r="K332" s="15"/>
      <c r="L332" s="13">
        <v>3</v>
      </c>
      <c r="M332" s="13">
        <v>5</v>
      </c>
      <c r="N332" s="14">
        <v>-15.2</v>
      </c>
      <c r="O332" s="15"/>
    </row>
    <row r="333" spans="1:15" ht="16" x14ac:dyDescent="0.2">
      <c r="A333" s="7">
        <v>332</v>
      </c>
      <c r="B333" s="8" t="s">
        <v>1070</v>
      </c>
      <c r="C333" s="8" t="s">
        <v>307</v>
      </c>
      <c r="D333" s="9" t="s">
        <v>196</v>
      </c>
      <c r="E333" s="13">
        <v>610.20000000000005</v>
      </c>
      <c r="F333" s="11">
        <v>1</v>
      </c>
      <c r="G333" s="12">
        <v>0.01</v>
      </c>
      <c r="H333" s="13"/>
      <c r="I333" s="13">
        <v>129</v>
      </c>
      <c r="J333" s="14">
        <v>-1.5</v>
      </c>
      <c r="K333" s="15"/>
      <c r="L333" s="13">
        <v>1</v>
      </c>
      <c r="M333" s="13">
        <v>8</v>
      </c>
      <c r="N333" s="14">
        <v>-5.6</v>
      </c>
      <c r="O333" s="15"/>
    </row>
    <row r="334" spans="1:15" ht="16" x14ac:dyDescent="0.2">
      <c r="A334" s="7">
        <v>333</v>
      </c>
      <c r="B334" s="8" t="s">
        <v>1071</v>
      </c>
      <c r="C334" s="8" t="s">
        <v>320</v>
      </c>
      <c r="D334" s="9" t="s">
        <v>197</v>
      </c>
      <c r="E334" s="13">
        <v>497.4</v>
      </c>
      <c r="F334" s="11">
        <v>1</v>
      </c>
      <c r="G334" s="12">
        <v>0.18</v>
      </c>
      <c r="H334" s="13"/>
      <c r="I334" s="13">
        <v>53</v>
      </c>
      <c r="J334" s="14">
        <v>-1.5</v>
      </c>
      <c r="K334" s="15"/>
      <c r="L334" s="13">
        <v>0</v>
      </c>
      <c r="M334" s="13">
        <v>4</v>
      </c>
      <c r="N334" s="14">
        <v>-18.399999999999999</v>
      </c>
      <c r="O334" s="15"/>
    </row>
    <row r="335" spans="1:15" ht="16" x14ac:dyDescent="0.2">
      <c r="A335" s="7">
        <v>334</v>
      </c>
      <c r="B335" s="8" t="s">
        <v>344</v>
      </c>
      <c r="C335" s="8" t="s">
        <v>331</v>
      </c>
      <c r="D335" s="9" t="s">
        <v>192</v>
      </c>
      <c r="E335" s="13">
        <v>68.3</v>
      </c>
      <c r="F335" s="11">
        <v>1</v>
      </c>
      <c r="G335" s="12">
        <v>1</v>
      </c>
      <c r="H335" s="13">
        <v>435</v>
      </c>
      <c r="I335" s="13"/>
      <c r="J335" s="14">
        <v>-1.5</v>
      </c>
      <c r="K335" s="15"/>
      <c r="L335" s="13">
        <v>0</v>
      </c>
      <c r="M335" s="13">
        <v>12</v>
      </c>
      <c r="N335" s="14">
        <v>-7.3</v>
      </c>
      <c r="O335" s="15"/>
    </row>
    <row r="336" spans="1:15" ht="16" x14ac:dyDescent="0.2">
      <c r="A336" s="7">
        <v>335</v>
      </c>
      <c r="B336" s="8" t="s">
        <v>529</v>
      </c>
      <c r="C336" s="8" t="s">
        <v>325</v>
      </c>
      <c r="D336" s="9" t="s">
        <v>306</v>
      </c>
      <c r="E336" s="13">
        <v>441.1</v>
      </c>
      <c r="F336" s="11">
        <v>1</v>
      </c>
      <c r="G336" s="12">
        <v>0.15</v>
      </c>
      <c r="H336" s="13">
        <v>421</v>
      </c>
      <c r="I336" s="13"/>
      <c r="J336" s="14">
        <v>-1.6</v>
      </c>
      <c r="K336" s="15"/>
      <c r="L336" s="13">
        <v>0</v>
      </c>
      <c r="M336" s="13">
        <v>12</v>
      </c>
      <c r="N336" s="14">
        <v>-9.1999999999999993</v>
      </c>
      <c r="O336" s="15"/>
    </row>
    <row r="337" spans="1:15" ht="16" x14ac:dyDescent="0.2">
      <c r="A337" s="7">
        <v>336</v>
      </c>
      <c r="B337" s="8" t="s">
        <v>1072</v>
      </c>
      <c r="C337" s="8" t="s">
        <v>316</v>
      </c>
      <c r="D337" s="9" t="s">
        <v>196</v>
      </c>
      <c r="E337" s="13">
        <v>304.5</v>
      </c>
      <c r="F337" s="11">
        <v>1</v>
      </c>
      <c r="G337" s="12">
        <v>0.92</v>
      </c>
      <c r="H337" s="13"/>
      <c r="I337" s="13">
        <v>73.099999999999994</v>
      </c>
      <c r="J337" s="14">
        <v>-1.6</v>
      </c>
      <c r="K337" s="15"/>
      <c r="L337" s="13">
        <v>0</v>
      </c>
      <c r="M337" s="13">
        <v>0</v>
      </c>
      <c r="N337" s="14">
        <v>-22.1</v>
      </c>
      <c r="O337" s="15"/>
    </row>
    <row r="338" spans="1:15" ht="16" x14ac:dyDescent="0.2">
      <c r="A338" s="7">
        <v>337</v>
      </c>
      <c r="B338" s="8" t="s">
        <v>560</v>
      </c>
      <c r="C338" s="8" t="s">
        <v>315</v>
      </c>
      <c r="D338" s="9" t="s">
        <v>321</v>
      </c>
      <c r="E338" s="13">
        <v>498.9</v>
      </c>
      <c r="F338" s="11">
        <v>1</v>
      </c>
      <c r="G338" s="12">
        <v>0.08</v>
      </c>
      <c r="H338" s="13">
        <v>539</v>
      </c>
      <c r="I338" s="13"/>
      <c r="J338" s="14">
        <v>-1.6</v>
      </c>
      <c r="K338" s="15"/>
      <c r="L338" s="13">
        <v>7</v>
      </c>
      <c r="M338" s="13">
        <v>7</v>
      </c>
      <c r="N338" s="14">
        <v>-5.7</v>
      </c>
      <c r="O338" s="15"/>
    </row>
    <row r="339" spans="1:15" ht="16" x14ac:dyDescent="0.2">
      <c r="A339" s="7">
        <v>338</v>
      </c>
      <c r="B339" s="8" t="s">
        <v>1073</v>
      </c>
      <c r="C339" s="8" t="s">
        <v>337</v>
      </c>
      <c r="D339" s="9" t="s">
        <v>197</v>
      </c>
      <c r="E339" s="13">
        <v>692.4</v>
      </c>
      <c r="F339" s="11">
        <v>0.71</v>
      </c>
      <c r="G339" s="12">
        <v>0.01</v>
      </c>
      <c r="H339" s="13"/>
      <c r="I339" s="13">
        <v>90</v>
      </c>
      <c r="J339" s="14">
        <v>-1.6</v>
      </c>
      <c r="K339" s="15"/>
      <c r="L339" s="13">
        <v>0</v>
      </c>
      <c r="M339" s="13">
        <v>0</v>
      </c>
      <c r="N339" s="14">
        <v>-14.8</v>
      </c>
      <c r="O339" s="15"/>
    </row>
    <row r="340" spans="1:15" ht="16" x14ac:dyDescent="0.2">
      <c r="A340" s="7">
        <v>339</v>
      </c>
      <c r="B340" s="8" t="s">
        <v>338</v>
      </c>
      <c r="C340" s="8" t="s">
        <v>337</v>
      </c>
      <c r="D340" s="9" t="s">
        <v>195</v>
      </c>
      <c r="E340" s="13">
        <v>56.4</v>
      </c>
      <c r="F340" s="11">
        <v>1</v>
      </c>
      <c r="G340" s="12">
        <v>1</v>
      </c>
      <c r="H340" s="13">
        <v>336</v>
      </c>
      <c r="I340" s="13"/>
      <c r="J340" s="14">
        <v>-1.7</v>
      </c>
      <c r="K340" s="15"/>
      <c r="L340" s="13">
        <v>2</v>
      </c>
      <c r="M340" s="13">
        <v>9</v>
      </c>
      <c r="N340" s="14">
        <v>-7.8</v>
      </c>
      <c r="O340" s="15"/>
    </row>
    <row r="341" spans="1:15" ht="16" x14ac:dyDescent="0.2">
      <c r="A341" s="7">
        <v>340</v>
      </c>
      <c r="B341" s="8" t="s">
        <v>492</v>
      </c>
      <c r="C341" s="8" t="s">
        <v>315</v>
      </c>
      <c r="D341" s="9" t="s">
        <v>190</v>
      </c>
      <c r="E341" s="13">
        <v>371</v>
      </c>
      <c r="F341" s="11">
        <v>1</v>
      </c>
      <c r="G341" s="12">
        <v>0.69</v>
      </c>
      <c r="H341" s="13">
        <v>363</v>
      </c>
      <c r="I341" s="13"/>
      <c r="J341" s="14">
        <v>-1.7</v>
      </c>
      <c r="K341" s="15"/>
      <c r="L341" s="13">
        <v>11</v>
      </c>
      <c r="M341" s="13">
        <v>6</v>
      </c>
      <c r="N341" s="14">
        <v>-9.5</v>
      </c>
      <c r="O341" s="15"/>
    </row>
    <row r="342" spans="1:15" ht="16" x14ac:dyDescent="0.2">
      <c r="A342" s="7">
        <v>341</v>
      </c>
      <c r="B342" s="8" t="s">
        <v>230</v>
      </c>
      <c r="C342" s="8" t="s">
        <v>350</v>
      </c>
      <c r="D342" s="9" t="s">
        <v>195</v>
      </c>
      <c r="E342" s="13">
        <v>84.7</v>
      </c>
      <c r="F342" s="11">
        <v>1</v>
      </c>
      <c r="G342" s="12">
        <v>1</v>
      </c>
      <c r="H342" s="13">
        <v>425</v>
      </c>
      <c r="I342" s="13"/>
      <c r="J342" s="14">
        <v>-1.7</v>
      </c>
      <c r="K342" s="15"/>
      <c r="L342" s="13">
        <v>1</v>
      </c>
      <c r="M342" s="13">
        <v>3</v>
      </c>
      <c r="N342" s="14">
        <v>-15</v>
      </c>
      <c r="O342" s="15"/>
    </row>
    <row r="343" spans="1:15" ht="16" x14ac:dyDescent="0.2">
      <c r="A343" s="7">
        <v>342</v>
      </c>
      <c r="B343" s="8" t="s">
        <v>1074</v>
      </c>
      <c r="C343" s="8" t="s">
        <v>322</v>
      </c>
      <c r="D343" s="9" t="s">
        <v>197</v>
      </c>
      <c r="E343" s="13">
        <v>127.3</v>
      </c>
      <c r="F343" s="11">
        <v>1</v>
      </c>
      <c r="G343" s="12">
        <v>0.97</v>
      </c>
      <c r="H343" s="13"/>
      <c r="I343" s="13">
        <v>46</v>
      </c>
      <c r="J343" s="14">
        <v>-1.7</v>
      </c>
      <c r="K343" s="15"/>
      <c r="L343" s="13">
        <v>4</v>
      </c>
      <c r="M343" s="13">
        <v>0</v>
      </c>
      <c r="N343" s="14">
        <v>-21.3</v>
      </c>
      <c r="O343" s="15"/>
    </row>
    <row r="344" spans="1:15" ht="16" x14ac:dyDescent="0.2">
      <c r="A344" s="7">
        <v>343</v>
      </c>
      <c r="B344" s="8" t="s">
        <v>1075</v>
      </c>
      <c r="C344" s="8" t="s">
        <v>995</v>
      </c>
      <c r="D344" s="9" t="s">
        <v>196</v>
      </c>
      <c r="E344" s="13"/>
      <c r="F344" s="11">
        <v>0.01</v>
      </c>
      <c r="G344" s="12">
        <v>0</v>
      </c>
      <c r="H344" s="13"/>
      <c r="I344" s="13">
        <v>72</v>
      </c>
      <c r="J344" s="14">
        <v>-1.7</v>
      </c>
      <c r="K344" s="15"/>
      <c r="L344" s="13">
        <v>3</v>
      </c>
      <c r="M344" s="13">
        <v>7</v>
      </c>
      <c r="N344" s="14">
        <v>-5.6</v>
      </c>
      <c r="O344" s="15"/>
    </row>
    <row r="345" spans="1:15" ht="16" x14ac:dyDescent="0.2">
      <c r="A345" s="7">
        <v>344</v>
      </c>
      <c r="B345" s="8" t="s">
        <v>477</v>
      </c>
      <c r="C345" s="8" t="s">
        <v>310</v>
      </c>
      <c r="D345" s="9" t="s">
        <v>192</v>
      </c>
      <c r="E345" s="13">
        <v>333.6</v>
      </c>
      <c r="F345" s="11">
        <v>1</v>
      </c>
      <c r="G345" s="12">
        <v>0.44</v>
      </c>
      <c r="H345" s="13">
        <v>487</v>
      </c>
      <c r="I345" s="13"/>
      <c r="J345" s="14">
        <v>-1.7</v>
      </c>
      <c r="K345" s="15"/>
      <c r="L345" s="13">
        <v>0</v>
      </c>
      <c r="M345" s="13">
        <v>3</v>
      </c>
      <c r="N345" s="14">
        <v>-19.5</v>
      </c>
      <c r="O345" s="15"/>
    </row>
    <row r="346" spans="1:15" ht="16" x14ac:dyDescent="0.2">
      <c r="A346" s="7">
        <v>345</v>
      </c>
      <c r="B346" s="8" t="s">
        <v>1076</v>
      </c>
      <c r="C346" s="8" t="s">
        <v>316</v>
      </c>
      <c r="D346" s="9" t="s">
        <v>197</v>
      </c>
      <c r="E346" s="13">
        <v>609.9</v>
      </c>
      <c r="F346" s="11">
        <v>0.97</v>
      </c>
      <c r="G346" s="12">
        <v>0.02</v>
      </c>
      <c r="H346" s="13"/>
      <c r="I346" s="13">
        <v>70</v>
      </c>
      <c r="J346" s="14">
        <v>-1.7</v>
      </c>
      <c r="K346" s="15"/>
      <c r="L346" s="13">
        <v>1</v>
      </c>
      <c r="M346" s="13">
        <v>3</v>
      </c>
      <c r="N346" s="14">
        <v>-19.8</v>
      </c>
      <c r="O346" s="15"/>
    </row>
    <row r="347" spans="1:15" ht="16" x14ac:dyDescent="0.2">
      <c r="A347" s="7">
        <v>346</v>
      </c>
      <c r="B347" s="8" t="s">
        <v>1077</v>
      </c>
      <c r="C347" s="8" t="s">
        <v>346</v>
      </c>
      <c r="D347" s="9" t="s">
        <v>197</v>
      </c>
      <c r="E347" s="13">
        <v>750.9</v>
      </c>
      <c r="F347" s="11">
        <v>0.06</v>
      </c>
      <c r="G347" s="12">
        <v>0</v>
      </c>
      <c r="H347" s="13"/>
      <c r="I347" s="13">
        <v>70.099999999999994</v>
      </c>
      <c r="J347" s="14">
        <v>-1.8</v>
      </c>
      <c r="K347" s="15"/>
      <c r="L347" s="13">
        <v>0</v>
      </c>
      <c r="M347" s="13">
        <v>0</v>
      </c>
      <c r="N347" s="14">
        <v>-23.2</v>
      </c>
      <c r="O347" s="15"/>
    </row>
    <row r="348" spans="1:15" ht="16" x14ac:dyDescent="0.2">
      <c r="A348" s="7">
        <v>347</v>
      </c>
      <c r="B348" s="8" t="s">
        <v>563</v>
      </c>
      <c r="C348" s="8" t="s">
        <v>317</v>
      </c>
      <c r="D348" s="9" t="s">
        <v>190</v>
      </c>
      <c r="E348" s="13">
        <v>508.3</v>
      </c>
      <c r="F348" s="11">
        <v>0.92</v>
      </c>
      <c r="G348" s="12">
        <v>0.12</v>
      </c>
      <c r="H348" s="13">
        <v>351</v>
      </c>
      <c r="I348" s="13"/>
      <c r="J348" s="14">
        <v>-1.8</v>
      </c>
      <c r="K348" s="15"/>
      <c r="L348" s="13">
        <v>0</v>
      </c>
      <c r="M348" s="13">
        <v>3</v>
      </c>
      <c r="N348" s="14">
        <v>-20.399999999999999</v>
      </c>
      <c r="O348" s="15"/>
    </row>
    <row r="349" spans="1:15" ht="16" x14ac:dyDescent="0.2">
      <c r="A349" s="7">
        <v>348</v>
      </c>
      <c r="B349" s="8" t="s">
        <v>1078</v>
      </c>
      <c r="C349" s="8" t="s">
        <v>346</v>
      </c>
      <c r="D349" s="9" t="s">
        <v>197</v>
      </c>
      <c r="E349" s="13">
        <v>330.4</v>
      </c>
      <c r="F349" s="11">
        <v>1</v>
      </c>
      <c r="G349" s="12">
        <v>0.53</v>
      </c>
      <c r="H349" s="13"/>
      <c r="I349" s="13">
        <v>41.1</v>
      </c>
      <c r="J349" s="14">
        <v>-1.8</v>
      </c>
      <c r="K349" s="15"/>
      <c r="L349" s="13">
        <v>3</v>
      </c>
      <c r="M349" s="13">
        <v>1</v>
      </c>
      <c r="N349" s="14">
        <v>-20</v>
      </c>
      <c r="O349" s="15"/>
    </row>
    <row r="350" spans="1:15" ht="16" x14ac:dyDescent="0.2">
      <c r="A350" s="7">
        <v>349</v>
      </c>
      <c r="B350" s="8" t="s">
        <v>1079</v>
      </c>
      <c r="C350" s="9"/>
      <c r="D350" s="9" t="s">
        <v>196</v>
      </c>
      <c r="E350" s="13">
        <v>595.9</v>
      </c>
      <c r="F350" s="11">
        <v>0.99</v>
      </c>
      <c r="G350" s="12">
        <v>0.01</v>
      </c>
      <c r="H350" s="13"/>
      <c r="I350" s="13">
        <v>117</v>
      </c>
      <c r="J350" s="14">
        <v>-1.8</v>
      </c>
      <c r="K350" s="15"/>
      <c r="L350" s="13">
        <v>31</v>
      </c>
      <c r="M350" s="13">
        <v>4</v>
      </c>
      <c r="N350" s="14">
        <v>-5</v>
      </c>
      <c r="O350" s="15"/>
    </row>
    <row r="351" spans="1:15" ht="16" x14ac:dyDescent="0.2">
      <c r="A351" s="7">
        <v>350</v>
      </c>
      <c r="B351" s="8" t="s">
        <v>580</v>
      </c>
      <c r="C351" s="8" t="s">
        <v>323</v>
      </c>
      <c r="D351" s="9" t="s">
        <v>190</v>
      </c>
      <c r="E351" s="13">
        <v>548.6</v>
      </c>
      <c r="F351" s="11">
        <v>1</v>
      </c>
      <c r="G351" s="12">
        <v>0.08</v>
      </c>
      <c r="H351" s="13">
        <v>274</v>
      </c>
      <c r="I351" s="13"/>
      <c r="J351" s="14">
        <v>-1.9</v>
      </c>
      <c r="K351" s="15"/>
      <c r="L351" s="13">
        <v>11</v>
      </c>
      <c r="M351" s="13">
        <v>9</v>
      </c>
      <c r="N351" s="14">
        <v>-6.1</v>
      </c>
      <c r="O351" s="15"/>
    </row>
    <row r="352" spans="1:15" ht="16" x14ac:dyDescent="0.2">
      <c r="A352" s="7">
        <v>351</v>
      </c>
      <c r="B352" s="8" t="s">
        <v>507</v>
      </c>
      <c r="C352" s="8" t="s">
        <v>317</v>
      </c>
      <c r="D352" s="9" t="s">
        <v>190</v>
      </c>
      <c r="E352" s="13">
        <v>396.1</v>
      </c>
      <c r="F352" s="11">
        <v>1</v>
      </c>
      <c r="G352" s="12">
        <v>0.48</v>
      </c>
      <c r="H352" s="13">
        <v>299</v>
      </c>
      <c r="I352" s="13"/>
      <c r="J352" s="14">
        <v>-1.9</v>
      </c>
      <c r="K352" s="15"/>
      <c r="L352" s="13">
        <v>9</v>
      </c>
      <c r="M352" s="13">
        <v>9</v>
      </c>
      <c r="N352" s="14">
        <v>-13</v>
      </c>
      <c r="O352" s="15"/>
    </row>
    <row r="353" spans="1:15" ht="16" x14ac:dyDescent="0.2">
      <c r="A353" s="7">
        <v>352</v>
      </c>
      <c r="B353" s="8" t="s">
        <v>1080</v>
      </c>
      <c r="C353" s="8" t="s">
        <v>323</v>
      </c>
      <c r="D353" s="9" t="s">
        <v>1005</v>
      </c>
      <c r="E353" s="13">
        <v>412.7</v>
      </c>
      <c r="F353" s="11">
        <v>0.96</v>
      </c>
      <c r="G353" s="12">
        <v>0.06</v>
      </c>
      <c r="H353" s="13"/>
      <c r="I353" s="13">
        <v>67.099999999999994</v>
      </c>
      <c r="J353" s="14">
        <v>-1.9</v>
      </c>
      <c r="K353" s="15"/>
      <c r="L353" s="13">
        <v>0</v>
      </c>
      <c r="M353" s="13">
        <v>16</v>
      </c>
      <c r="N353" s="14">
        <v>-2.2999999999999998</v>
      </c>
      <c r="O353" s="15"/>
    </row>
    <row r="354" spans="1:15" ht="16" x14ac:dyDescent="0.2">
      <c r="A354" s="7">
        <v>353</v>
      </c>
      <c r="B354" s="8" t="s">
        <v>266</v>
      </c>
      <c r="C354" s="8" t="s">
        <v>305</v>
      </c>
      <c r="D354" s="9" t="s">
        <v>197</v>
      </c>
      <c r="E354" s="13">
        <v>626.4</v>
      </c>
      <c r="F354" s="11">
        <v>0.97</v>
      </c>
      <c r="G354" s="12">
        <v>0.1</v>
      </c>
      <c r="H354" s="13"/>
      <c r="I354" s="13">
        <v>54.1</v>
      </c>
      <c r="J354" s="14">
        <v>-1.9</v>
      </c>
      <c r="K354" s="15"/>
      <c r="L354" s="13">
        <v>4</v>
      </c>
      <c r="M354" s="13">
        <v>8</v>
      </c>
      <c r="N354" s="14">
        <v>-7.5</v>
      </c>
      <c r="O354" s="15"/>
    </row>
    <row r="355" spans="1:15" ht="16" x14ac:dyDescent="0.2">
      <c r="A355" s="7">
        <v>354</v>
      </c>
      <c r="B355" s="8" t="s">
        <v>1081</v>
      </c>
      <c r="C355" s="8" t="s">
        <v>354</v>
      </c>
      <c r="D355" s="9" t="s">
        <v>1005</v>
      </c>
      <c r="E355" s="13"/>
      <c r="F355" s="11">
        <v>0.04</v>
      </c>
      <c r="G355" s="12">
        <v>0</v>
      </c>
      <c r="H355" s="13"/>
      <c r="I355" s="13">
        <v>67</v>
      </c>
      <c r="J355" s="14">
        <v>-2</v>
      </c>
      <c r="K355" s="15"/>
      <c r="L355" s="13">
        <v>2</v>
      </c>
      <c r="M355" s="13">
        <v>7</v>
      </c>
      <c r="N355" s="14">
        <v>-15.4</v>
      </c>
      <c r="O355" s="15"/>
    </row>
    <row r="356" spans="1:15" ht="16" x14ac:dyDescent="0.2">
      <c r="A356" s="7">
        <v>355</v>
      </c>
      <c r="B356" s="8" t="s">
        <v>597</v>
      </c>
      <c r="C356" s="8" t="s">
        <v>350</v>
      </c>
      <c r="D356" s="9" t="s">
        <v>190</v>
      </c>
      <c r="E356" s="13">
        <v>586.70000000000005</v>
      </c>
      <c r="F356" s="11">
        <v>0.99</v>
      </c>
      <c r="G356" s="12">
        <v>0.08</v>
      </c>
      <c r="H356" s="13">
        <v>394</v>
      </c>
      <c r="I356" s="13"/>
      <c r="J356" s="14">
        <v>-2.1</v>
      </c>
      <c r="K356" s="15"/>
      <c r="L356" s="13">
        <v>8</v>
      </c>
      <c r="M356" s="13">
        <v>3</v>
      </c>
      <c r="N356" s="14">
        <v>-7.9</v>
      </c>
      <c r="O356" s="15"/>
    </row>
    <row r="357" spans="1:15" ht="16" x14ac:dyDescent="0.2">
      <c r="A357" s="7">
        <v>356</v>
      </c>
      <c r="B357" s="8" t="s">
        <v>265</v>
      </c>
      <c r="C357" s="8" t="s">
        <v>326</v>
      </c>
      <c r="D357" s="9" t="s">
        <v>197</v>
      </c>
      <c r="E357" s="13">
        <v>306.5</v>
      </c>
      <c r="F357" s="11">
        <v>1</v>
      </c>
      <c r="G357" s="12">
        <v>0.63</v>
      </c>
      <c r="H357" s="13"/>
      <c r="I357" s="13">
        <v>63</v>
      </c>
      <c r="J357" s="14">
        <v>-2.1</v>
      </c>
      <c r="K357" s="15"/>
      <c r="L357" s="13">
        <v>5</v>
      </c>
      <c r="M357" s="13">
        <v>10</v>
      </c>
      <c r="N357" s="14">
        <v>-9.1999999999999993</v>
      </c>
      <c r="O357" s="15"/>
    </row>
    <row r="358" spans="1:15" ht="16" x14ac:dyDescent="0.2">
      <c r="A358" s="7">
        <v>357</v>
      </c>
      <c r="B358" s="8" t="s">
        <v>1082</v>
      </c>
      <c r="C358" s="8" t="s">
        <v>316</v>
      </c>
      <c r="D358" s="9" t="s">
        <v>197</v>
      </c>
      <c r="E358" s="13">
        <v>184.8</v>
      </c>
      <c r="F358" s="11">
        <v>1</v>
      </c>
      <c r="G358" s="12">
        <v>0.98</v>
      </c>
      <c r="H358" s="13"/>
      <c r="I358" s="13">
        <v>72.099999999999994</v>
      </c>
      <c r="J358" s="14">
        <v>-2.1</v>
      </c>
      <c r="K358" s="15"/>
      <c r="L358" s="13">
        <v>11</v>
      </c>
      <c r="M358" s="13">
        <v>7</v>
      </c>
      <c r="N358" s="14">
        <v>-4.8</v>
      </c>
      <c r="O358" s="15"/>
    </row>
    <row r="359" spans="1:15" ht="16" x14ac:dyDescent="0.2">
      <c r="A359" s="7">
        <v>358</v>
      </c>
      <c r="B359" s="8" t="s">
        <v>571</v>
      </c>
      <c r="C359" s="8" t="s">
        <v>315</v>
      </c>
      <c r="D359" s="9" t="s">
        <v>190</v>
      </c>
      <c r="E359" s="13">
        <v>518.70000000000005</v>
      </c>
      <c r="F359" s="11">
        <v>1</v>
      </c>
      <c r="G359" s="12">
        <v>0.14000000000000001</v>
      </c>
      <c r="H359" s="13">
        <v>313</v>
      </c>
      <c r="I359" s="13"/>
      <c r="J359" s="14">
        <v>-2.1</v>
      </c>
      <c r="K359" s="15"/>
      <c r="L359" s="13">
        <v>8</v>
      </c>
      <c r="M359" s="13">
        <v>6</v>
      </c>
      <c r="N359" s="14">
        <v>-14.5</v>
      </c>
      <c r="O359" s="15"/>
    </row>
    <row r="360" spans="1:15" ht="16" x14ac:dyDescent="0.2">
      <c r="A360" s="7">
        <v>359</v>
      </c>
      <c r="B360" s="8" t="s">
        <v>1083</v>
      </c>
      <c r="C360" s="8" t="s">
        <v>315</v>
      </c>
      <c r="D360" s="9" t="s">
        <v>1005</v>
      </c>
      <c r="E360" s="13">
        <v>421.2</v>
      </c>
      <c r="F360" s="11">
        <v>1</v>
      </c>
      <c r="G360" s="12">
        <v>0.15</v>
      </c>
      <c r="H360" s="13"/>
      <c r="I360" s="13">
        <v>55</v>
      </c>
      <c r="J360" s="14">
        <v>-2.2000000000000002</v>
      </c>
      <c r="K360" s="15"/>
      <c r="L360" s="13">
        <v>5</v>
      </c>
      <c r="M360" s="13">
        <v>1</v>
      </c>
      <c r="N360" s="14">
        <v>-19.2</v>
      </c>
      <c r="O360" s="15"/>
    </row>
    <row r="361" spans="1:15" ht="16" x14ac:dyDescent="0.2">
      <c r="A361" s="7">
        <v>360</v>
      </c>
      <c r="B361" s="8" t="s">
        <v>583</v>
      </c>
      <c r="C361" s="8" t="s">
        <v>316</v>
      </c>
      <c r="D361" s="9" t="s">
        <v>309</v>
      </c>
      <c r="E361" s="13">
        <v>556.70000000000005</v>
      </c>
      <c r="F361" s="11">
        <v>0.98</v>
      </c>
      <c r="G361" s="12">
        <v>0.03</v>
      </c>
      <c r="H361" s="13">
        <v>279</v>
      </c>
      <c r="I361" s="13"/>
      <c r="J361" s="14">
        <v>-2.2999999999999998</v>
      </c>
      <c r="K361" s="15"/>
      <c r="L361" s="13">
        <v>1</v>
      </c>
      <c r="M361" s="13">
        <v>11</v>
      </c>
      <c r="N361" s="14">
        <v>-6.7</v>
      </c>
      <c r="O361" s="15"/>
    </row>
    <row r="362" spans="1:15" ht="16" x14ac:dyDescent="0.2">
      <c r="A362" s="7">
        <v>361</v>
      </c>
      <c r="B362" s="8" t="s">
        <v>1084</v>
      </c>
      <c r="C362" s="8" t="s">
        <v>346</v>
      </c>
      <c r="D362" s="9" t="s">
        <v>1005</v>
      </c>
      <c r="E362" s="13"/>
      <c r="F362" s="11">
        <v>0.01</v>
      </c>
      <c r="G362" s="12">
        <v>0</v>
      </c>
      <c r="H362" s="13"/>
      <c r="I362" s="13">
        <v>57</v>
      </c>
      <c r="J362" s="14">
        <v>-2.2999999999999998</v>
      </c>
      <c r="K362" s="15"/>
      <c r="L362" s="13">
        <v>1</v>
      </c>
      <c r="M362" s="13">
        <v>4</v>
      </c>
      <c r="N362" s="14">
        <v>-22.3</v>
      </c>
      <c r="O362" s="15"/>
    </row>
    <row r="363" spans="1:15" ht="16" x14ac:dyDescent="0.2">
      <c r="A363" s="7">
        <v>362</v>
      </c>
      <c r="B363" s="8" t="s">
        <v>637</v>
      </c>
      <c r="C363" s="9"/>
      <c r="D363" s="9" t="s">
        <v>306</v>
      </c>
      <c r="E363" s="13">
        <v>664.2</v>
      </c>
      <c r="F363" s="11">
        <v>0.93</v>
      </c>
      <c r="G363" s="12">
        <v>0.01</v>
      </c>
      <c r="H363" s="13">
        <v>495</v>
      </c>
      <c r="I363" s="13"/>
      <c r="J363" s="14">
        <v>-2.2999999999999998</v>
      </c>
      <c r="K363" s="15"/>
      <c r="L363" s="13">
        <v>1</v>
      </c>
      <c r="M363" s="13">
        <v>0</v>
      </c>
      <c r="N363" s="14">
        <v>-24.1</v>
      </c>
      <c r="O363" s="15"/>
    </row>
    <row r="364" spans="1:15" ht="16" x14ac:dyDescent="0.2">
      <c r="A364" s="7">
        <v>363</v>
      </c>
      <c r="B364" s="8" t="s">
        <v>1085</v>
      </c>
      <c r="C364" s="8" t="s">
        <v>331</v>
      </c>
      <c r="D364" s="9" t="s">
        <v>1005</v>
      </c>
      <c r="E364" s="13">
        <v>298.89999999999998</v>
      </c>
      <c r="F364" s="11">
        <v>1</v>
      </c>
      <c r="G364" s="12">
        <v>0.62</v>
      </c>
      <c r="H364" s="13"/>
      <c r="I364" s="13">
        <v>68</v>
      </c>
      <c r="J364" s="14">
        <v>-2.4</v>
      </c>
      <c r="K364" s="15"/>
      <c r="L364" s="13">
        <v>4</v>
      </c>
      <c r="M364" s="13">
        <v>3</v>
      </c>
      <c r="N364" s="14">
        <v>-14.7</v>
      </c>
      <c r="O364" s="15"/>
    </row>
    <row r="365" spans="1:15" ht="16" x14ac:dyDescent="0.2">
      <c r="A365" s="7">
        <v>364</v>
      </c>
      <c r="B365" s="8" t="s">
        <v>1086</v>
      </c>
      <c r="C365" s="8" t="s">
        <v>337</v>
      </c>
      <c r="D365" s="9" t="s">
        <v>196</v>
      </c>
      <c r="E365" s="13">
        <v>320.39999999999998</v>
      </c>
      <c r="F365" s="11">
        <v>1</v>
      </c>
      <c r="G365" s="12">
        <v>0.67</v>
      </c>
      <c r="H365" s="13"/>
      <c r="I365" s="13">
        <v>88.1</v>
      </c>
      <c r="J365" s="14">
        <v>-2.5</v>
      </c>
      <c r="K365" s="15"/>
      <c r="L365" s="13">
        <v>0</v>
      </c>
      <c r="M365" s="13">
        <v>0</v>
      </c>
      <c r="N365" s="14">
        <v>-23.1</v>
      </c>
      <c r="O365" s="15"/>
    </row>
    <row r="366" spans="1:15" ht="16" x14ac:dyDescent="0.2">
      <c r="A366" s="7">
        <v>365</v>
      </c>
      <c r="B366" s="8" t="s">
        <v>386</v>
      </c>
      <c r="C366" s="8" t="s">
        <v>346</v>
      </c>
      <c r="D366" s="9" t="s">
        <v>195</v>
      </c>
      <c r="E366" s="13">
        <v>153.69999999999999</v>
      </c>
      <c r="F366" s="11">
        <v>1</v>
      </c>
      <c r="G366" s="12">
        <v>0.98</v>
      </c>
      <c r="H366" s="13">
        <v>387</v>
      </c>
      <c r="I366" s="13"/>
      <c r="J366" s="14">
        <v>-2.6</v>
      </c>
      <c r="K366" s="15"/>
      <c r="L366" s="13">
        <v>13</v>
      </c>
      <c r="M366" s="13">
        <v>5</v>
      </c>
      <c r="N366" s="14">
        <v>-12</v>
      </c>
      <c r="O366" s="15"/>
    </row>
    <row r="367" spans="1:15" ht="16" x14ac:dyDescent="0.2">
      <c r="A367" s="7">
        <v>366</v>
      </c>
      <c r="B367" s="8" t="s">
        <v>499</v>
      </c>
      <c r="C367" s="8" t="s">
        <v>310</v>
      </c>
      <c r="D367" s="9" t="s">
        <v>195</v>
      </c>
      <c r="E367" s="13">
        <v>383.9</v>
      </c>
      <c r="F367" s="11">
        <v>1</v>
      </c>
      <c r="G367" s="12">
        <v>0.3</v>
      </c>
      <c r="H367" s="13">
        <v>382</v>
      </c>
      <c r="I367" s="13"/>
      <c r="J367" s="14">
        <v>-2.6</v>
      </c>
      <c r="K367" s="15"/>
      <c r="L367" s="13">
        <v>4</v>
      </c>
      <c r="M367" s="13">
        <v>2</v>
      </c>
      <c r="N367" s="14">
        <v>-20.6</v>
      </c>
      <c r="O367" s="15"/>
    </row>
    <row r="368" spans="1:15" ht="16" x14ac:dyDescent="0.2">
      <c r="A368" s="7">
        <v>367</v>
      </c>
      <c r="B368" s="8" t="s">
        <v>1087</v>
      </c>
      <c r="C368" s="8" t="s">
        <v>313</v>
      </c>
      <c r="D368" s="9" t="s">
        <v>196</v>
      </c>
      <c r="E368" s="13">
        <v>402.9</v>
      </c>
      <c r="F368" s="11">
        <v>1</v>
      </c>
      <c r="G368" s="12">
        <v>0.17</v>
      </c>
      <c r="H368" s="13"/>
      <c r="I368" s="13">
        <v>165</v>
      </c>
      <c r="J368" s="14">
        <v>-2.6</v>
      </c>
      <c r="K368" s="15"/>
      <c r="L368" s="13">
        <v>5</v>
      </c>
      <c r="M368" s="13">
        <v>2</v>
      </c>
      <c r="N368" s="14">
        <v>-16.2</v>
      </c>
      <c r="O368" s="15"/>
    </row>
    <row r="369" spans="1:15" ht="16" x14ac:dyDescent="0.2">
      <c r="A369" s="7">
        <v>368</v>
      </c>
      <c r="B369" s="8" t="s">
        <v>1088</v>
      </c>
      <c r="C369" s="8" t="s">
        <v>313</v>
      </c>
      <c r="D369" s="9" t="s">
        <v>197</v>
      </c>
      <c r="E369" s="13">
        <v>695.9</v>
      </c>
      <c r="F369" s="11">
        <v>0.75</v>
      </c>
      <c r="G369" s="12">
        <v>0.01</v>
      </c>
      <c r="H369" s="13"/>
      <c r="I369" s="13">
        <v>78.099999999999994</v>
      </c>
      <c r="J369" s="14">
        <v>-2.7</v>
      </c>
      <c r="K369" s="15"/>
      <c r="L369" s="13">
        <v>2</v>
      </c>
      <c r="M369" s="13">
        <v>10</v>
      </c>
      <c r="N369" s="14">
        <v>-8.5</v>
      </c>
      <c r="O369" s="15"/>
    </row>
    <row r="370" spans="1:15" ht="16" x14ac:dyDescent="0.2">
      <c r="A370" s="7">
        <v>369</v>
      </c>
      <c r="B370" s="8" t="s">
        <v>569</v>
      </c>
      <c r="C370" s="8" t="s">
        <v>313</v>
      </c>
      <c r="D370" s="9" t="s">
        <v>329</v>
      </c>
      <c r="E370" s="13">
        <v>513.4</v>
      </c>
      <c r="F370" s="11">
        <v>1</v>
      </c>
      <c r="G370" s="12">
        <v>0.09</v>
      </c>
      <c r="H370" s="13">
        <v>280</v>
      </c>
      <c r="I370" s="13"/>
      <c r="J370" s="14">
        <v>-2.7</v>
      </c>
      <c r="K370" s="15"/>
      <c r="L370" s="13">
        <v>1</v>
      </c>
      <c r="M370" s="13">
        <v>8</v>
      </c>
      <c r="N370" s="14">
        <v>-16.100000000000001</v>
      </c>
      <c r="O370" s="15"/>
    </row>
    <row r="371" spans="1:15" ht="16" x14ac:dyDescent="0.2">
      <c r="A371" s="7">
        <v>370</v>
      </c>
      <c r="B371" s="8" t="s">
        <v>1089</v>
      </c>
      <c r="C371" s="8" t="s">
        <v>325</v>
      </c>
      <c r="D371" s="9" t="s">
        <v>197</v>
      </c>
      <c r="E371" s="13">
        <v>466.6</v>
      </c>
      <c r="F371" s="11">
        <v>1</v>
      </c>
      <c r="G371" s="12">
        <v>0.06</v>
      </c>
      <c r="H371" s="13"/>
      <c r="I371" s="13">
        <v>55</v>
      </c>
      <c r="J371" s="14">
        <v>-2.7</v>
      </c>
      <c r="K371" s="15"/>
      <c r="L371" s="13">
        <v>1</v>
      </c>
      <c r="M371" s="13">
        <v>2</v>
      </c>
      <c r="N371" s="14">
        <v>-23.6</v>
      </c>
      <c r="O371" s="15"/>
    </row>
    <row r="372" spans="1:15" ht="16" x14ac:dyDescent="0.2">
      <c r="A372" s="7">
        <v>371</v>
      </c>
      <c r="B372" s="8" t="s">
        <v>572</v>
      </c>
      <c r="C372" s="8" t="s">
        <v>307</v>
      </c>
      <c r="D372" s="9" t="s">
        <v>195</v>
      </c>
      <c r="E372" s="13">
        <v>522.29999999999995</v>
      </c>
      <c r="F372" s="11">
        <v>1</v>
      </c>
      <c r="G372" s="12">
        <v>0.03</v>
      </c>
      <c r="H372" s="13">
        <v>426</v>
      </c>
      <c r="I372" s="13"/>
      <c r="J372" s="14">
        <v>-2.7</v>
      </c>
      <c r="K372" s="15"/>
      <c r="L372" s="13">
        <v>0</v>
      </c>
      <c r="M372" s="13">
        <v>8</v>
      </c>
      <c r="N372" s="14">
        <v>-12</v>
      </c>
      <c r="O372" s="15"/>
    </row>
    <row r="373" spans="1:15" ht="16" x14ac:dyDescent="0.2">
      <c r="A373" s="7">
        <v>372</v>
      </c>
      <c r="B373" s="8" t="s">
        <v>1090</v>
      </c>
      <c r="C373" s="8" t="s">
        <v>346</v>
      </c>
      <c r="D373" s="9" t="s">
        <v>197</v>
      </c>
      <c r="E373" s="13">
        <v>145.19999999999999</v>
      </c>
      <c r="F373" s="11">
        <v>1</v>
      </c>
      <c r="G373" s="12">
        <v>0.99</v>
      </c>
      <c r="H373" s="13"/>
      <c r="I373" s="13">
        <v>45</v>
      </c>
      <c r="J373" s="14">
        <v>-2.7</v>
      </c>
      <c r="K373" s="15"/>
      <c r="L373" s="13">
        <v>2</v>
      </c>
      <c r="M373" s="13">
        <v>4</v>
      </c>
      <c r="N373" s="14">
        <v>-21</v>
      </c>
      <c r="O373" s="15"/>
    </row>
    <row r="374" spans="1:15" ht="16" x14ac:dyDescent="0.2">
      <c r="A374" s="7">
        <v>373</v>
      </c>
      <c r="B374" s="8" t="s">
        <v>1091</v>
      </c>
      <c r="C374" s="8" t="s">
        <v>314</v>
      </c>
      <c r="D374" s="9" t="s">
        <v>196</v>
      </c>
      <c r="E374" s="13">
        <v>429.9</v>
      </c>
      <c r="F374" s="11">
        <v>1</v>
      </c>
      <c r="G374" s="12">
        <v>0.11</v>
      </c>
      <c r="H374" s="13"/>
      <c r="I374" s="13">
        <v>78</v>
      </c>
      <c r="J374" s="14">
        <v>-2.9</v>
      </c>
      <c r="K374" s="15"/>
      <c r="L374" s="13">
        <v>6</v>
      </c>
      <c r="M374" s="13">
        <v>13</v>
      </c>
      <c r="N374" s="14">
        <v>-8.6999999999999993</v>
      </c>
      <c r="O374" s="15"/>
    </row>
    <row r="375" spans="1:15" ht="16" x14ac:dyDescent="0.2">
      <c r="A375" s="7">
        <v>374</v>
      </c>
      <c r="B375" s="8" t="s">
        <v>530</v>
      </c>
      <c r="C375" s="8" t="s">
        <v>316</v>
      </c>
      <c r="D375" s="9" t="s">
        <v>194</v>
      </c>
      <c r="E375" s="13">
        <v>441.2</v>
      </c>
      <c r="F375" s="11">
        <v>1</v>
      </c>
      <c r="G375" s="12">
        <v>0.03</v>
      </c>
      <c r="H375" s="13">
        <v>388</v>
      </c>
      <c r="I375" s="13"/>
      <c r="J375" s="14">
        <v>-2.9</v>
      </c>
      <c r="K375" s="15"/>
      <c r="L375" s="13">
        <v>0</v>
      </c>
      <c r="M375" s="13">
        <v>3</v>
      </c>
      <c r="N375" s="14">
        <v>-17.3</v>
      </c>
      <c r="O375" s="15"/>
    </row>
    <row r="376" spans="1:15" ht="16" x14ac:dyDescent="0.2">
      <c r="A376" s="7">
        <v>375</v>
      </c>
      <c r="B376" s="8" t="s">
        <v>1092</v>
      </c>
      <c r="C376" s="8" t="s">
        <v>331</v>
      </c>
      <c r="D376" s="9" t="s">
        <v>197</v>
      </c>
      <c r="E376" s="13">
        <v>747.3</v>
      </c>
      <c r="F376" s="11">
        <v>0.18</v>
      </c>
      <c r="G376" s="12">
        <v>0</v>
      </c>
      <c r="H376" s="13"/>
      <c r="I376" s="13">
        <v>59.1</v>
      </c>
      <c r="J376" s="14">
        <v>-3</v>
      </c>
      <c r="K376" s="15"/>
      <c r="L376" s="13">
        <v>16</v>
      </c>
      <c r="M376" s="13">
        <v>1</v>
      </c>
      <c r="N376" s="14">
        <v>-16.7</v>
      </c>
      <c r="O376" s="15"/>
    </row>
    <row r="377" spans="1:15" ht="16" x14ac:dyDescent="0.2">
      <c r="A377" s="7">
        <v>376</v>
      </c>
      <c r="B377" s="8" t="s">
        <v>553</v>
      </c>
      <c r="C377" s="8" t="s">
        <v>331</v>
      </c>
      <c r="D377" s="9" t="s">
        <v>195</v>
      </c>
      <c r="E377" s="13">
        <v>488.5</v>
      </c>
      <c r="F377" s="11">
        <v>1</v>
      </c>
      <c r="G377" s="12">
        <v>7.0000000000000007E-2</v>
      </c>
      <c r="H377" s="13">
        <v>449</v>
      </c>
      <c r="I377" s="13"/>
      <c r="J377" s="14">
        <v>-3</v>
      </c>
      <c r="K377" s="15"/>
      <c r="L377" s="13">
        <v>2</v>
      </c>
      <c r="M377" s="13">
        <v>1</v>
      </c>
      <c r="N377" s="14">
        <v>-20.7</v>
      </c>
      <c r="O377" s="15"/>
    </row>
    <row r="378" spans="1:15" ht="16" x14ac:dyDescent="0.2">
      <c r="A378" s="7">
        <v>377</v>
      </c>
      <c r="B378" s="8" t="s">
        <v>1093</v>
      </c>
      <c r="C378" s="8" t="s">
        <v>362</v>
      </c>
      <c r="D378" s="9" t="s">
        <v>197</v>
      </c>
      <c r="E378" s="13">
        <v>565.79999999999995</v>
      </c>
      <c r="F378" s="11">
        <v>1</v>
      </c>
      <c r="G378" s="12">
        <v>0.01</v>
      </c>
      <c r="H378" s="13"/>
      <c r="I378" s="13">
        <v>45</v>
      </c>
      <c r="J378" s="14">
        <v>-3.1</v>
      </c>
      <c r="K378" s="15"/>
      <c r="L378" s="13">
        <v>0</v>
      </c>
      <c r="M378" s="13">
        <v>0</v>
      </c>
      <c r="N378" s="14">
        <v>-22.6</v>
      </c>
      <c r="O378" s="15"/>
    </row>
    <row r="379" spans="1:15" ht="16" x14ac:dyDescent="0.2">
      <c r="A379" s="7">
        <v>378</v>
      </c>
      <c r="B379" s="8" t="s">
        <v>1094</v>
      </c>
      <c r="C379" s="8" t="s">
        <v>307</v>
      </c>
      <c r="D379" s="9" t="s">
        <v>197</v>
      </c>
      <c r="E379" s="13">
        <v>216.6</v>
      </c>
      <c r="F379" s="11">
        <v>1</v>
      </c>
      <c r="G379" s="12">
        <v>0.88</v>
      </c>
      <c r="H379" s="13"/>
      <c r="I379" s="13">
        <v>61.1</v>
      </c>
      <c r="J379" s="14">
        <v>-3.1</v>
      </c>
      <c r="K379" s="15"/>
      <c r="L379" s="13">
        <v>8</v>
      </c>
      <c r="M379" s="13">
        <v>6</v>
      </c>
      <c r="N379" s="14">
        <v>-5</v>
      </c>
      <c r="O379" s="15"/>
    </row>
    <row r="380" spans="1:15" ht="16" x14ac:dyDescent="0.2">
      <c r="A380" s="7">
        <v>379</v>
      </c>
      <c r="B380" s="8" t="s">
        <v>558</v>
      </c>
      <c r="C380" s="8" t="s">
        <v>362</v>
      </c>
      <c r="D380" s="9" t="s">
        <v>190</v>
      </c>
      <c r="E380" s="13">
        <v>495.6</v>
      </c>
      <c r="F380" s="11">
        <v>1</v>
      </c>
      <c r="G380" s="12">
        <v>0.11</v>
      </c>
      <c r="H380" s="13">
        <v>337</v>
      </c>
      <c r="I380" s="13"/>
      <c r="J380" s="14">
        <v>-3.2</v>
      </c>
      <c r="K380" s="15"/>
      <c r="L380" s="13">
        <v>13</v>
      </c>
      <c r="M380" s="13">
        <v>12</v>
      </c>
      <c r="N380" s="14">
        <v>-6.7</v>
      </c>
      <c r="O380" s="15"/>
    </row>
    <row r="381" spans="1:15" ht="16" x14ac:dyDescent="0.2">
      <c r="A381" s="7">
        <v>380</v>
      </c>
      <c r="B381" s="8" t="s">
        <v>1095</v>
      </c>
      <c r="C381" s="9"/>
      <c r="D381" s="9" t="s">
        <v>197</v>
      </c>
      <c r="E381" s="13">
        <v>682.6</v>
      </c>
      <c r="F381" s="11">
        <v>0.82</v>
      </c>
      <c r="G381" s="12">
        <v>0.01</v>
      </c>
      <c r="H381" s="13"/>
      <c r="I381" s="13">
        <v>52</v>
      </c>
      <c r="J381" s="14">
        <v>-3.2</v>
      </c>
      <c r="K381" s="15"/>
      <c r="L381" s="13">
        <v>0</v>
      </c>
      <c r="M381" s="13">
        <v>1</v>
      </c>
      <c r="N381" s="14">
        <v>-22.4</v>
      </c>
      <c r="O381" s="15"/>
    </row>
    <row r="382" spans="1:15" ht="16" x14ac:dyDescent="0.2">
      <c r="A382" s="7">
        <v>381</v>
      </c>
      <c r="B382" s="8" t="s">
        <v>445</v>
      </c>
      <c r="C382" s="8" t="s">
        <v>305</v>
      </c>
      <c r="D382" s="9" t="s">
        <v>193</v>
      </c>
      <c r="E382" s="13">
        <v>260.10000000000002</v>
      </c>
      <c r="F382" s="11">
        <v>1</v>
      </c>
      <c r="G382" s="12">
        <v>0.98</v>
      </c>
      <c r="H382" s="13">
        <v>293</v>
      </c>
      <c r="I382" s="13"/>
      <c r="J382" s="14">
        <v>-3.3</v>
      </c>
      <c r="K382" s="15"/>
      <c r="L382" s="13">
        <v>0</v>
      </c>
      <c r="M382" s="13">
        <v>5</v>
      </c>
      <c r="N382" s="14">
        <v>-9.4</v>
      </c>
      <c r="O382" s="15"/>
    </row>
    <row r="383" spans="1:15" ht="16" x14ac:dyDescent="0.2">
      <c r="A383" s="7">
        <v>382</v>
      </c>
      <c r="B383" s="8" t="s">
        <v>449</v>
      </c>
      <c r="C383" s="8" t="s">
        <v>346</v>
      </c>
      <c r="D383" s="9" t="s">
        <v>450</v>
      </c>
      <c r="E383" s="13">
        <v>271.5</v>
      </c>
      <c r="F383" s="11">
        <v>1</v>
      </c>
      <c r="G383" s="12">
        <v>0.92</v>
      </c>
      <c r="H383" s="13">
        <v>611</v>
      </c>
      <c r="I383" s="13"/>
      <c r="J383" s="14">
        <v>-3.4</v>
      </c>
      <c r="K383" s="15"/>
      <c r="L383" s="13">
        <v>1</v>
      </c>
      <c r="M383" s="13">
        <v>3</v>
      </c>
      <c r="N383" s="14">
        <v>-6.7</v>
      </c>
      <c r="O383" s="15"/>
    </row>
    <row r="384" spans="1:15" ht="16" x14ac:dyDescent="0.2">
      <c r="A384" s="7">
        <v>383</v>
      </c>
      <c r="B384" s="8" t="s">
        <v>1096</v>
      </c>
      <c r="C384" s="8" t="s">
        <v>334</v>
      </c>
      <c r="D384" s="9" t="s">
        <v>196</v>
      </c>
      <c r="E384" s="13">
        <v>467.7</v>
      </c>
      <c r="F384" s="11">
        <v>1</v>
      </c>
      <c r="G384" s="12">
        <v>0.05</v>
      </c>
      <c r="H384" s="13"/>
      <c r="I384" s="13">
        <v>160</v>
      </c>
      <c r="J384" s="14">
        <v>-3.4</v>
      </c>
      <c r="K384" s="15"/>
      <c r="L384" s="13">
        <v>6</v>
      </c>
      <c r="M384" s="13">
        <v>4</v>
      </c>
      <c r="N384" s="14">
        <v>-4.7</v>
      </c>
      <c r="O384" s="15"/>
    </row>
    <row r="385" spans="1:15" ht="16" x14ac:dyDescent="0.2">
      <c r="A385" s="7">
        <v>384</v>
      </c>
      <c r="B385" s="8" t="s">
        <v>546</v>
      </c>
      <c r="C385" s="8" t="s">
        <v>319</v>
      </c>
      <c r="D385" s="9" t="s">
        <v>329</v>
      </c>
      <c r="E385" s="13">
        <v>476.1</v>
      </c>
      <c r="F385" s="11">
        <v>1</v>
      </c>
      <c r="G385" s="12">
        <v>0.27</v>
      </c>
      <c r="H385" s="13">
        <v>430</v>
      </c>
      <c r="I385" s="13"/>
      <c r="J385" s="14">
        <v>-3.5</v>
      </c>
      <c r="K385" s="15"/>
      <c r="L385" s="13">
        <v>5</v>
      </c>
      <c r="M385" s="13">
        <v>4</v>
      </c>
      <c r="N385" s="14">
        <v>-15.6</v>
      </c>
      <c r="O385" s="15"/>
    </row>
    <row r="386" spans="1:15" ht="16" x14ac:dyDescent="0.2">
      <c r="A386" s="7">
        <v>385</v>
      </c>
      <c r="B386" s="8" t="s">
        <v>1097</v>
      </c>
      <c r="C386" s="8" t="s">
        <v>325</v>
      </c>
      <c r="D386" s="9" t="s">
        <v>197</v>
      </c>
      <c r="E386" s="13">
        <v>286.89999999999998</v>
      </c>
      <c r="F386" s="11">
        <v>1</v>
      </c>
      <c r="G386" s="12">
        <v>0.79</v>
      </c>
      <c r="H386" s="13"/>
      <c r="I386" s="13">
        <v>61.1</v>
      </c>
      <c r="J386" s="14">
        <v>-3.5</v>
      </c>
      <c r="K386" s="15"/>
      <c r="L386" s="13">
        <v>12</v>
      </c>
      <c r="M386" s="13">
        <v>5</v>
      </c>
      <c r="N386" s="14">
        <v>-13.1</v>
      </c>
      <c r="O386" s="15"/>
    </row>
    <row r="387" spans="1:15" ht="16" x14ac:dyDescent="0.2">
      <c r="A387" s="7">
        <v>386</v>
      </c>
      <c r="B387" s="8" t="s">
        <v>442</v>
      </c>
      <c r="C387" s="8" t="s">
        <v>310</v>
      </c>
      <c r="D387" s="9" t="s">
        <v>195</v>
      </c>
      <c r="E387" s="13">
        <v>254.3</v>
      </c>
      <c r="F387" s="11">
        <v>1</v>
      </c>
      <c r="G387" s="12">
        <v>0.99</v>
      </c>
      <c r="H387" s="13">
        <v>341</v>
      </c>
      <c r="I387" s="13"/>
      <c r="J387" s="14">
        <v>-3.5</v>
      </c>
      <c r="K387" s="15"/>
      <c r="L387" s="13">
        <v>0</v>
      </c>
      <c r="M387" s="13">
        <v>1</v>
      </c>
      <c r="N387" s="14">
        <v>-22.8</v>
      </c>
      <c r="O387" s="15"/>
    </row>
    <row r="388" spans="1:15" ht="16" x14ac:dyDescent="0.2">
      <c r="A388" s="7">
        <v>387</v>
      </c>
      <c r="B388" s="8" t="s">
        <v>500</v>
      </c>
      <c r="C388" s="8" t="s">
        <v>307</v>
      </c>
      <c r="D388" s="9" t="s">
        <v>192</v>
      </c>
      <c r="E388" s="13">
        <v>385.1</v>
      </c>
      <c r="F388" s="11">
        <v>1</v>
      </c>
      <c r="G388" s="12">
        <v>0.24</v>
      </c>
      <c r="H388" s="13">
        <v>356</v>
      </c>
      <c r="I388" s="13"/>
      <c r="J388" s="14">
        <v>-3.6</v>
      </c>
      <c r="K388" s="15"/>
      <c r="L388" s="13">
        <v>1</v>
      </c>
      <c r="M388" s="13">
        <v>13</v>
      </c>
      <c r="N388" s="14">
        <v>-5.5</v>
      </c>
      <c r="O388" s="15"/>
    </row>
    <row r="389" spans="1:15" ht="16" x14ac:dyDescent="0.2">
      <c r="A389" s="7">
        <v>388</v>
      </c>
      <c r="B389" s="8" t="s">
        <v>584</v>
      </c>
      <c r="C389" s="8" t="s">
        <v>326</v>
      </c>
      <c r="D389" s="9" t="s">
        <v>195</v>
      </c>
      <c r="E389" s="13">
        <v>557.6</v>
      </c>
      <c r="F389" s="11">
        <v>1</v>
      </c>
      <c r="G389" s="12">
        <v>0.01</v>
      </c>
      <c r="H389" s="13">
        <v>363</v>
      </c>
      <c r="I389" s="13"/>
      <c r="J389" s="14">
        <v>-3.6</v>
      </c>
      <c r="K389" s="15"/>
      <c r="L389" s="13">
        <v>3</v>
      </c>
      <c r="M389" s="13">
        <v>1</v>
      </c>
      <c r="N389" s="14">
        <v>-19.899999999999999</v>
      </c>
      <c r="O389" s="15"/>
    </row>
    <row r="390" spans="1:15" ht="16" x14ac:dyDescent="0.2">
      <c r="A390" s="7">
        <v>389</v>
      </c>
      <c r="B390" s="8" t="s">
        <v>506</v>
      </c>
      <c r="C390" s="8" t="s">
        <v>314</v>
      </c>
      <c r="D390" s="9" t="s">
        <v>431</v>
      </c>
      <c r="E390" s="13">
        <v>395.4</v>
      </c>
      <c r="F390" s="11">
        <v>1</v>
      </c>
      <c r="G390" s="12">
        <v>0.16</v>
      </c>
      <c r="H390" s="13">
        <v>472</v>
      </c>
      <c r="I390" s="13"/>
      <c r="J390" s="14">
        <v>-3.6</v>
      </c>
      <c r="K390" s="15"/>
      <c r="L390" s="13">
        <v>2</v>
      </c>
      <c r="M390" s="13">
        <v>11</v>
      </c>
      <c r="N390" s="14">
        <v>-4.8</v>
      </c>
      <c r="O390" s="15"/>
    </row>
    <row r="391" spans="1:15" ht="16" x14ac:dyDescent="0.2">
      <c r="A391" s="7">
        <v>390</v>
      </c>
      <c r="B391" s="8" t="s">
        <v>598</v>
      </c>
      <c r="C391" s="8" t="s">
        <v>367</v>
      </c>
      <c r="D391" s="9" t="s">
        <v>195</v>
      </c>
      <c r="E391" s="13">
        <v>586.9</v>
      </c>
      <c r="F391" s="11">
        <v>0.99</v>
      </c>
      <c r="G391" s="12">
        <v>0.01</v>
      </c>
      <c r="H391" s="13">
        <v>418</v>
      </c>
      <c r="I391" s="13"/>
      <c r="J391" s="14">
        <v>-3.6</v>
      </c>
      <c r="K391" s="15"/>
      <c r="L391" s="13">
        <v>3</v>
      </c>
      <c r="M391" s="13">
        <v>10</v>
      </c>
      <c r="N391" s="14">
        <v>-17.100000000000001</v>
      </c>
      <c r="O391" s="15"/>
    </row>
    <row r="392" spans="1:15" ht="16" x14ac:dyDescent="0.2">
      <c r="A392" s="7">
        <v>391</v>
      </c>
      <c r="B392" s="8" t="s">
        <v>1098</v>
      </c>
      <c r="C392" s="8" t="s">
        <v>322</v>
      </c>
      <c r="D392" s="9" t="s">
        <v>197</v>
      </c>
      <c r="E392" s="13">
        <v>500.3</v>
      </c>
      <c r="F392" s="11">
        <v>1</v>
      </c>
      <c r="G392" s="12">
        <v>0.01</v>
      </c>
      <c r="H392" s="13"/>
      <c r="I392" s="13">
        <v>59</v>
      </c>
      <c r="J392" s="14">
        <v>-3.6</v>
      </c>
      <c r="K392" s="15"/>
      <c r="L392" s="13">
        <v>5</v>
      </c>
      <c r="M392" s="13">
        <v>3</v>
      </c>
      <c r="N392" s="14">
        <v>-13.6</v>
      </c>
      <c r="O392" s="15"/>
    </row>
    <row r="393" spans="1:15" ht="16" x14ac:dyDescent="0.2">
      <c r="A393" s="7">
        <v>392</v>
      </c>
      <c r="B393" s="8" t="s">
        <v>1099</v>
      </c>
      <c r="C393" s="8" t="s">
        <v>320</v>
      </c>
      <c r="D393" s="9" t="s">
        <v>197</v>
      </c>
      <c r="E393" s="13">
        <v>748.9</v>
      </c>
      <c r="F393" s="11">
        <v>0.05</v>
      </c>
      <c r="G393" s="12">
        <v>0</v>
      </c>
      <c r="H393" s="13"/>
      <c r="I393" s="13">
        <v>98.1</v>
      </c>
      <c r="J393" s="14">
        <v>-3.7</v>
      </c>
      <c r="K393" s="15"/>
      <c r="L393" s="13">
        <v>0</v>
      </c>
      <c r="M393" s="13">
        <v>0</v>
      </c>
      <c r="N393" s="14">
        <v>-24.8</v>
      </c>
      <c r="O393" s="15"/>
    </row>
    <row r="394" spans="1:15" ht="16" x14ac:dyDescent="0.2">
      <c r="A394" s="7">
        <v>393</v>
      </c>
      <c r="B394" s="8" t="s">
        <v>1100</v>
      </c>
      <c r="C394" s="9"/>
      <c r="D394" s="9" t="s">
        <v>197</v>
      </c>
      <c r="E394" s="13">
        <v>424</v>
      </c>
      <c r="F394" s="11">
        <v>1</v>
      </c>
      <c r="G394" s="12">
        <v>0.06</v>
      </c>
      <c r="H394" s="13"/>
      <c r="I394" s="13">
        <v>72</v>
      </c>
      <c r="J394" s="14">
        <v>-3.7</v>
      </c>
      <c r="K394" s="15"/>
      <c r="L394" s="13">
        <v>0</v>
      </c>
      <c r="M394" s="13">
        <v>4</v>
      </c>
      <c r="N394" s="14">
        <v>-21.3</v>
      </c>
      <c r="O394" s="15"/>
    </row>
    <row r="395" spans="1:15" ht="16" x14ac:dyDescent="0.2">
      <c r="A395" s="7">
        <v>394</v>
      </c>
      <c r="B395" s="8" t="s">
        <v>1101</v>
      </c>
      <c r="C395" s="8" t="s">
        <v>316</v>
      </c>
      <c r="D395" s="9" t="s">
        <v>197</v>
      </c>
      <c r="E395" s="13">
        <v>249.5</v>
      </c>
      <c r="F395" s="11">
        <v>1</v>
      </c>
      <c r="G395" s="12">
        <v>0.87</v>
      </c>
      <c r="H395" s="13"/>
      <c r="I395" s="13">
        <v>71</v>
      </c>
      <c r="J395" s="14">
        <v>-3.8</v>
      </c>
      <c r="K395" s="15"/>
      <c r="L395" s="13">
        <v>0</v>
      </c>
      <c r="M395" s="13">
        <v>13</v>
      </c>
      <c r="N395" s="14">
        <v>-7.4</v>
      </c>
      <c r="O395" s="15"/>
    </row>
    <row r="396" spans="1:15" ht="16" x14ac:dyDescent="0.2">
      <c r="A396" s="7">
        <v>395</v>
      </c>
      <c r="B396" s="8" t="s">
        <v>1102</v>
      </c>
      <c r="C396" s="8" t="s">
        <v>331</v>
      </c>
      <c r="D396" s="9" t="s">
        <v>197</v>
      </c>
      <c r="E396" s="13"/>
      <c r="F396" s="11">
        <v>7.0000000000000007E-2</v>
      </c>
      <c r="G396" s="12">
        <v>0</v>
      </c>
      <c r="H396" s="13"/>
      <c r="I396" s="13">
        <v>68.099999999999994</v>
      </c>
      <c r="J396" s="14">
        <v>-3.8</v>
      </c>
      <c r="K396" s="15"/>
      <c r="L396" s="13">
        <v>2</v>
      </c>
      <c r="M396" s="13">
        <v>8</v>
      </c>
      <c r="N396" s="14">
        <v>-12.9</v>
      </c>
      <c r="O396" s="15"/>
    </row>
    <row r="397" spans="1:15" ht="16" x14ac:dyDescent="0.2">
      <c r="A397" s="7">
        <v>396</v>
      </c>
      <c r="B397" s="8" t="s">
        <v>1103</v>
      </c>
      <c r="C397" s="8" t="s">
        <v>322</v>
      </c>
      <c r="D397" s="9" t="s">
        <v>196</v>
      </c>
      <c r="E397" s="13">
        <v>364.1</v>
      </c>
      <c r="F397" s="11">
        <v>1</v>
      </c>
      <c r="G397" s="12">
        <v>0.35</v>
      </c>
      <c r="H397" s="13"/>
      <c r="I397" s="13">
        <v>161</v>
      </c>
      <c r="J397" s="14">
        <v>-3.8</v>
      </c>
      <c r="K397" s="15"/>
      <c r="L397" s="13">
        <v>5</v>
      </c>
      <c r="M397" s="13">
        <v>3</v>
      </c>
      <c r="N397" s="14">
        <v>-17.2</v>
      </c>
      <c r="O397" s="15"/>
    </row>
    <row r="398" spans="1:15" ht="16" x14ac:dyDescent="0.2">
      <c r="A398" s="7">
        <v>397</v>
      </c>
      <c r="B398" s="8" t="s">
        <v>515</v>
      </c>
      <c r="C398" s="8" t="s">
        <v>334</v>
      </c>
      <c r="D398" s="9" t="s">
        <v>192</v>
      </c>
      <c r="E398" s="13">
        <v>403.7</v>
      </c>
      <c r="F398" s="11">
        <v>1</v>
      </c>
      <c r="G398" s="12">
        <v>0.25</v>
      </c>
      <c r="H398" s="13">
        <v>387</v>
      </c>
      <c r="I398" s="13"/>
      <c r="J398" s="14">
        <v>-3.9</v>
      </c>
      <c r="K398" s="15"/>
      <c r="L398" s="13">
        <v>0</v>
      </c>
      <c r="M398" s="13">
        <v>0</v>
      </c>
      <c r="N398" s="14">
        <v>-22</v>
      </c>
      <c r="O398" s="15"/>
    </row>
    <row r="399" spans="1:15" ht="16" x14ac:dyDescent="0.2">
      <c r="A399" s="7">
        <v>398</v>
      </c>
      <c r="B399" s="8" t="s">
        <v>1104</v>
      </c>
      <c r="C399" s="8" t="s">
        <v>320</v>
      </c>
      <c r="D399" s="9" t="s">
        <v>196</v>
      </c>
      <c r="E399" s="13">
        <v>296.5</v>
      </c>
      <c r="F399" s="11">
        <v>1</v>
      </c>
      <c r="G399" s="12">
        <v>0.54</v>
      </c>
      <c r="H399" s="13"/>
      <c r="I399" s="13">
        <v>43</v>
      </c>
      <c r="J399" s="14">
        <v>-4</v>
      </c>
      <c r="K399" s="15"/>
      <c r="L399" s="13">
        <v>2</v>
      </c>
      <c r="M399" s="13">
        <v>5</v>
      </c>
      <c r="N399" s="14">
        <v>-17.2</v>
      </c>
      <c r="O399" s="15"/>
    </row>
    <row r="400" spans="1:15" ht="16" x14ac:dyDescent="0.2">
      <c r="A400" s="7">
        <v>399</v>
      </c>
      <c r="B400" s="8" t="s">
        <v>699</v>
      </c>
      <c r="C400" s="9"/>
      <c r="D400" s="9" t="s">
        <v>190</v>
      </c>
      <c r="E400" s="13">
        <v>743.1</v>
      </c>
      <c r="F400" s="11">
        <v>0.23</v>
      </c>
      <c r="G400" s="12">
        <v>0</v>
      </c>
      <c r="H400" s="13">
        <v>233</v>
      </c>
      <c r="I400" s="13"/>
      <c r="J400" s="14">
        <v>-4</v>
      </c>
      <c r="K400" s="15"/>
      <c r="L400" s="13">
        <v>0</v>
      </c>
      <c r="M400" s="13">
        <v>0</v>
      </c>
      <c r="N400" s="14">
        <v>-15.4</v>
      </c>
      <c r="O400" s="15"/>
    </row>
    <row r="401" spans="1:15" ht="16" x14ac:dyDescent="0.2">
      <c r="A401" s="7">
        <v>400</v>
      </c>
      <c r="B401" s="8" t="s">
        <v>1105</v>
      </c>
      <c r="C401" s="8" t="s">
        <v>350</v>
      </c>
      <c r="D401" s="9" t="s">
        <v>196</v>
      </c>
      <c r="E401" s="13">
        <v>745.2</v>
      </c>
      <c r="F401" s="11">
        <v>7.0000000000000007E-2</v>
      </c>
      <c r="G401" s="12">
        <v>0</v>
      </c>
      <c r="H401" s="13"/>
      <c r="I401" s="13">
        <v>104.1</v>
      </c>
      <c r="J401" s="14">
        <v>-4</v>
      </c>
      <c r="K401" s="15"/>
      <c r="L401" s="13">
        <v>11</v>
      </c>
      <c r="M401" s="13">
        <v>7</v>
      </c>
      <c r="N401" s="14">
        <v>-8.3000000000000007</v>
      </c>
      <c r="O401" s="15"/>
    </row>
    <row r="402" spans="1:15" ht="16" x14ac:dyDescent="0.2">
      <c r="A402" s="7">
        <v>401</v>
      </c>
      <c r="B402" s="8" t="s">
        <v>532</v>
      </c>
      <c r="C402" s="8" t="s">
        <v>314</v>
      </c>
      <c r="D402" s="9" t="s">
        <v>195</v>
      </c>
      <c r="E402" s="13">
        <v>443</v>
      </c>
      <c r="F402" s="11">
        <v>1</v>
      </c>
      <c r="G402" s="12">
        <v>0.05</v>
      </c>
      <c r="H402" s="13">
        <v>448</v>
      </c>
      <c r="I402" s="13"/>
      <c r="J402" s="14">
        <v>-4</v>
      </c>
      <c r="K402" s="15"/>
      <c r="L402" s="13">
        <v>0</v>
      </c>
      <c r="M402" s="13">
        <v>3</v>
      </c>
      <c r="N402" s="14">
        <v>-11.5</v>
      </c>
      <c r="O402" s="15"/>
    </row>
    <row r="403" spans="1:15" ht="16" x14ac:dyDescent="0.2">
      <c r="A403" s="7">
        <v>402</v>
      </c>
      <c r="B403" s="8" t="s">
        <v>1106</v>
      </c>
      <c r="C403" s="8" t="s">
        <v>310</v>
      </c>
      <c r="D403" s="9" t="s">
        <v>197</v>
      </c>
      <c r="E403" s="13">
        <v>145.6</v>
      </c>
      <c r="F403" s="11">
        <v>1</v>
      </c>
      <c r="G403" s="12">
        <v>1</v>
      </c>
      <c r="H403" s="13"/>
      <c r="I403" s="13">
        <v>56</v>
      </c>
      <c r="J403" s="14">
        <v>-4.0999999999999996</v>
      </c>
      <c r="K403" s="15"/>
      <c r="L403" s="13">
        <v>1</v>
      </c>
      <c r="M403" s="13">
        <v>9</v>
      </c>
      <c r="N403" s="14">
        <v>-4.7</v>
      </c>
      <c r="O403" s="15"/>
    </row>
    <row r="404" spans="1:15" ht="16" x14ac:dyDescent="0.2">
      <c r="A404" s="7">
        <v>403</v>
      </c>
      <c r="B404" s="8" t="s">
        <v>225</v>
      </c>
      <c r="C404" s="8" t="s">
        <v>348</v>
      </c>
      <c r="D404" s="9" t="s">
        <v>195</v>
      </c>
      <c r="E404" s="13">
        <v>259.5</v>
      </c>
      <c r="F404" s="11">
        <v>1</v>
      </c>
      <c r="G404" s="12">
        <v>0.98</v>
      </c>
      <c r="H404" s="13">
        <v>405</v>
      </c>
      <c r="I404" s="13"/>
      <c r="J404" s="14">
        <v>-4.0999999999999996</v>
      </c>
      <c r="K404" s="15"/>
      <c r="L404" s="13">
        <v>3</v>
      </c>
      <c r="M404" s="13">
        <v>1</v>
      </c>
      <c r="N404" s="14">
        <v>-10.199999999999999</v>
      </c>
      <c r="O404" s="15"/>
    </row>
    <row r="405" spans="1:15" ht="16" x14ac:dyDescent="0.2">
      <c r="A405" s="7">
        <v>404</v>
      </c>
      <c r="B405" s="8" t="s">
        <v>479</v>
      </c>
      <c r="C405" s="8" t="s">
        <v>349</v>
      </c>
      <c r="D405" s="9" t="s">
        <v>480</v>
      </c>
      <c r="E405" s="13">
        <v>338.5</v>
      </c>
      <c r="F405" s="11">
        <v>1</v>
      </c>
      <c r="G405" s="12">
        <v>0.73</v>
      </c>
      <c r="H405" s="13">
        <v>224</v>
      </c>
      <c r="I405" s="13"/>
      <c r="J405" s="14">
        <v>-4.2</v>
      </c>
      <c r="K405" s="15"/>
      <c r="L405" s="13">
        <v>0</v>
      </c>
      <c r="M405" s="13">
        <v>4</v>
      </c>
      <c r="N405" s="14">
        <v>-18.8</v>
      </c>
      <c r="O405" s="15"/>
    </row>
    <row r="406" spans="1:15" ht="16" x14ac:dyDescent="0.2">
      <c r="A406" s="7">
        <v>405</v>
      </c>
      <c r="B406" s="8" t="s">
        <v>1107</v>
      </c>
      <c r="C406" s="8" t="s">
        <v>315</v>
      </c>
      <c r="D406" s="9" t="s">
        <v>196</v>
      </c>
      <c r="E406" s="13">
        <v>622.4</v>
      </c>
      <c r="F406" s="11">
        <v>0.99</v>
      </c>
      <c r="G406" s="12">
        <v>0.02</v>
      </c>
      <c r="H406" s="13"/>
      <c r="I406" s="13">
        <v>147</v>
      </c>
      <c r="J406" s="14">
        <v>-4.2</v>
      </c>
      <c r="K406" s="15"/>
      <c r="L406" s="13">
        <v>2</v>
      </c>
      <c r="M406" s="13">
        <v>3</v>
      </c>
      <c r="N406" s="14">
        <v>-17</v>
      </c>
      <c r="O406" s="15"/>
    </row>
    <row r="407" spans="1:15" ht="16" x14ac:dyDescent="0.2">
      <c r="A407" s="7">
        <v>406</v>
      </c>
      <c r="B407" s="8" t="s">
        <v>1108</v>
      </c>
      <c r="C407" s="8" t="s">
        <v>313</v>
      </c>
      <c r="D407" s="9" t="s">
        <v>197</v>
      </c>
      <c r="E407" s="13">
        <v>578.9</v>
      </c>
      <c r="F407" s="11">
        <v>0.81</v>
      </c>
      <c r="G407" s="12">
        <v>0.03</v>
      </c>
      <c r="H407" s="13"/>
      <c r="I407" s="13">
        <v>70.099999999999994</v>
      </c>
      <c r="J407" s="14">
        <v>-4.3</v>
      </c>
      <c r="K407" s="15"/>
      <c r="L407" s="13">
        <v>17</v>
      </c>
      <c r="M407" s="13">
        <v>4</v>
      </c>
      <c r="N407" s="14">
        <v>-10.8</v>
      </c>
      <c r="O407" s="15"/>
    </row>
    <row r="408" spans="1:15" ht="16" x14ac:dyDescent="0.2">
      <c r="A408" s="7">
        <v>407</v>
      </c>
      <c r="B408" s="8" t="s">
        <v>575</v>
      </c>
      <c r="C408" s="8" t="s">
        <v>307</v>
      </c>
      <c r="D408" s="9" t="s">
        <v>195</v>
      </c>
      <c r="E408" s="13">
        <v>536.20000000000005</v>
      </c>
      <c r="F408" s="11">
        <v>1</v>
      </c>
      <c r="G408" s="12">
        <v>0.05</v>
      </c>
      <c r="H408" s="13">
        <v>424</v>
      </c>
      <c r="I408" s="13"/>
      <c r="J408" s="14">
        <v>-4.3</v>
      </c>
      <c r="K408" s="15"/>
      <c r="L408" s="13">
        <v>1</v>
      </c>
      <c r="M408" s="13">
        <v>2</v>
      </c>
      <c r="N408" s="14">
        <v>-22.2</v>
      </c>
      <c r="O408" s="15"/>
    </row>
    <row r="409" spans="1:15" ht="16" x14ac:dyDescent="0.2">
      <c r="A409" s="7">
        <v>408</v>
      </c>
      <c r="B409" s="8" t="s">
        <v>579</v>
      </c>
      <c r="C409" s="8" t="s">
        <v>362</v>
      </c>
      <c r="D409" s="9" t="s">
        <v>195</v>
      </c>
      <c r="E409" s="13">
        <v>548.5</v>
      </c>
      <c r="F409" s="11">
        <v>1</v>
      </c>
      <c r="G409" s="12">
        <v>0.05</v>
      </c>
      <c r="H409" s="13">
        <v>425</v>
      </c>
      <c r="I409" s="13"/>
      <c r="J409" s="14">
        <v>-4.4000000000000004</v>
      </c>
      <c r="K409" s="15"/>
      <c r="L409" s="13">
        <v>1</v>
      </c>
      <c r="M409" s="13">
        <v>1</v>
      </c>
      <c r="N409" s="14">
        <v>-17.600000000000001</v>
      </c>
      <c r="O409" s="15"/>
    </row>
    <row r="410" spans="1:15" ht="16" x14ac:dyDescent="0.2">
      <c r="A410" s="7">
        <v>409</v>
      </c>
      <c r="B410" s="8" t="s">
        <v>1109</v>
      </c>
      <c r="C410" s="8" t="s">
        <v>337</v>
      </c>
      <c r="D410" s="9" t="s">
        <v>196</v>
      </c>
      <c r="E410" s="13">
        <v>485.2</v>
      </c>
      <c r="F410" s="11">
        <v>1</v>
      </c>
      <c r="G410" s="12">
        <v>0.02</v>
      </c>
      <c r="H410" s="13"/>
      <c r="I410" s="13">
        <v>151</v>
      </c>
      <c r="J410" s="14">
        <v>-4.4000000000000004</v>
      </c>
      <c r="K410" s="15"/>
      <c r="L410" s="13">
        <v>1</v>
      </c>
      <c r="M410" s="13">
        <v>0</v>
      </c>
      <c r="N410" s="14">
        <v>-23</v>
      </c>
      <c r="O410" s="15"/>
    </row>
    <row r="411" spans="1:15" ht="16" x14ac:dyDescent="0.2">
      <c r="A411" s="7">
        <v>410</v>
      </c>
      <c r="B411" s="8" t="s">
        <v>524</v>
      </c>
      <c r="C411" s="8" t="s">
        <v>334</v>
      </c>
      <c r="D411" s="9" t="s">
        <v>195</v>
      </c>
      <c r="E411" s="13">
        <v>420.5</v>
      </c>
      <c r="F411" s="11">
        <v>1</v>
      </c>
      <c r="G411" s="12">
        <v>0.13</v>
      </c>
      <c r="H411" s="13">
        <v>478</v>
      </c>
      <c r="I411" s="13"/>
      <c r="J411" s="14">
        <v>-4.5</v>
      </c>
      <c r="K411" s="15"/>
      <c r="L411" s="13">
        <v>5</v>
      </c>
      <c r="M411" s="13">
        <v>5</v>
      </c>
      <c r="N411" s="14">
        <v>-17.8</v>
      </c>
      <c r="O411" s="15"/>
    </row>
    <row r="412" spans="1:15" ht="16" x14ac:dyDescent="0.2">
      <c r="A412" s="7">
        <v>411</v>
      </c>
      <c r="B412" s="8" t="s">
        <v>1110</v>
      </c>
      <c r="C412" s="8" t="s">
        <v>314</v>
      </c>
      <c r="D412" s="9" t="s">
        <v>196</v>
      </c>
      <c r="E412" s="13"/>
      <c r="F412" s="13"/>
      <c r="G412" s="16"/>
      <c r="H412" s="13"/>
      <c r="I412" s="13">
        <v>109</v>
      </c>
      <c r="J412" s="14">
        <v>-4.5999999999999996</v>
      </c>
      <c r="K412" s="15"/>
      <c r="L412" s="13">
        <v>9</v>
      </c>
      <c r="M412" s="13">
        <v>10</v>
      </c>
      <c r="N412" s="14">
        <v>-12</v>
      </c>
      <c r="O412" s="15"/>
    </row>
    <row r="413" spans="1:15" ht="16" x14ac:dyDescent="0.2">
      <c r="A413" s="7">
        <v>412</v>
      </c>
      <c r="B413" s="8" t="s">
        <v>670</v>
      </c>
      <c r="C413" s="9"/>
      <c r="D413" s="9" t="s">
        <v>352</v>
      </c>
      <c r="E413" s="13">
        <v>724.7</v>
      </c>
      <c r="F413" s="11">
        <v>0.63</v>
      </c>
      <c r="G413" s="12">
        <v>0</v>
      </c>
      <c r="H413" s="13">
        <v>291</v>
      </c>
      <c r="I413" s="13"/>
      <c r="J413" s="14">
        <v>-4.7</v>
      </c>
      <c r="K413" s="15"/>
      <c r="L413" s="13">
        <v>1</v>
      </c>
      <c r="M413" s="13">
        <v>8</v>
      </c>
      <c r="N413" s="14">
        <v>-4</v>
      </c>
      <c r="O413" s="15"/>
    </row>
    <row r="414" spans="1:15" ht="16" x14ac:dyDescent="0.2">
      <c r="A414" s="7">
        <v>413</v>
      </c>
      <c r="B414" s="8" t="s">
        <v>495</v>
      </c>
      <c r="C414" s="8" t="s">
        <v>334</v>
      </c>
      <c r="D414" s="9" t="s">
        <v>460</v>
      </c>
      <c r="E414" s="13">
        <v>377.8</v>
      </c>
      <c r="F414" s="11">
        <v>1</v>
      </c>
      <c r="G414" s="12">
        <v>0.38</v>
      </c>
      <c r="H414" s="13">
        <v>381</v>
      </c>
      <c r="I414" s="13"/>
      <c r="J414" s="14">
        <v>-4.7</v>
      </c>
      <c r="K414" s="15"/>
      <c r="L414" s="13">
        <v>5</v>
      </c>
      <c r="M414" s="13">
        <v>4</v>
      </c>
      <c r="N414" s="14">
        <v>-10.5</v>
      </c>
      <c r="O414" s="15"/>
    </row>
    <row r="415" spans="1:15" ht="16" x14ac:dyDescent="0.2">
      <c r="A415" s="7">
        <v>414</v>
      </c>
      <c r="B415" s="8" t="s">
        <v>689</v>
      </c>
      <c r="C415" s="9"/>
      <c r="D415" s="9" t="s">
        <v>190</v>
      </c>
      <c r="E415" s="13">
        <v>739.2</v>
      </c>
      <c r="F415" s="11">
        <v>0.31</v>
      </c>
      <c r="G415" s="12">
        <v>0.01</v>
      </c>
      <c r="H415" s="13">
        <v>243</v>
      </c>
      <c r="I415" s="13"/>
      <c r="J415" s="14">
        <v>-4.7</v>
      </c>
      <c r="K415" s="15"/>
      <c r="L415" s="13">
        <v>3</v>
      </c>
      <c r="M415" s="13">
        <v>4</v>
      </c>
      <c r="N415" s="14">
        <v>-15.8</v>
      </c>
      <c r="O415" s="15"/>
    </row>
    <row r="416" spans="1:15" ht="16" x14ac:dyDescent="0.2">
      <c r="A416" s="7">
        <v>415</v>
      </c>
      <c r="B416" s="8" t="s">
        <v>642</v>
      </c>
      <c r="C416" s="8" t="s">
        <v>314</v>
      </c>
      <c r="D416" s="9" t="s">
        <v>195</v>
      </c>
      <c r="E416" s="13">
        <v>674.2</v>
      </c>
      <c r="F416" s="11">
        <v>0.87</v>
      </c>
      <c r="G416" s="12">
        <v>0</v>
      </c>
      <c r="H416" s="13">
        <v>345</v>
      </c>
      <c r="I416" s="13"/>
      <c r="J416" s="14">
        <v>-4.8</v>
      </c>
      <c r="K416" s="15"/>
      <c r="L416" s="13">
        <v>0</v>
      </c>
      <c r="M416" s="13">
        <v>3</v>
      </c>
      <c r="N416" s="14">
        <v>-10.4</v>
      </c>
      <c r="O416" s="15"/>
    </row>
    <row r="417" spans="1:15" ht="16" x14ac:dyDescent="0.2">
      <c r="A417" s="7">
        <v>416</v>
      </c>
      <c r="B417" s="8" t="s">
        <v>676</v>
      </c>
      <c r="C417" s="8" t="s">
        <v>325</v>
      </c>
      <c r="D417" s="9" t="s">
        <v>195</v>
      </c>
      <c r="E417" s="13">
        <v>732.2</v>
      </c>
      <c r="F417" s="11">
        <v>0.32</v>
      </c>
      <c r="G417" s="12">
        <v>0.01</v>
      </c>
      <c r="H417" s="13">
        <v>307</v>
      </c>
      <c r="I417" s="13"/>
      <c r="J417" s="14">
        <v>-4.8</v>
      </c>
      <c r="K417" s="15"/>
      <c r="L417" s="13">
        <v>3</v>
      </c>
      <c r="M417" s="13">
        <v>5</v>
      </c>
      <c r="N417" s="14">
        <v>-16.899999999999999</v>
      </c>
      <c r="O417" s="15"/>
    </row>
    <row r="418" spans="1:15" ht="16" x14ac:dyDescent="0.2">
      <c r="A418" s="7">
        <v>417</v>
      </c>
      <c r="B418" s="8" t="s">
        <v>370</v>
      </c>
      <c r="C418" s="8" t="s">
        <v>371</v>
      </c>
      <c r="D418" s="9" t="s">
        <v>312</v>
      </c>
      <c r="E418" s="13">
        <v>129.5</v>
      </c>
      <c r="F418" s="11">
        <v>1</v>
      </c>
      <c r="G418" s="12">
        <v>1</v>
      </c>
      <c r="H418" s="13">
        <v>325</v>
      </c>
      <c r="I418" s="13"/>
      <c r="J418" s="14">
        <v>-4.9000000000000004</v>
      </c>
      <c r="K418" s="15"/>
      <c r="L418" s="13">
        <v>0</v>
      </c>
      <c r="M418" s="13">
        <v>2</v>
      </c>
      <c r="N418" s="14">
        <v>-20.2</v>
      </c>
      <c r="O418" s="15"/>
    </row>
    <row r="419" spans="1:15" ht="16" x14ac:dyDescent="0.2">
      <c r="A419" s="7">
        <v>418</v>
      </c>
      <c r="B419" s="8" t="s">
        <v>1111</v>
      </c>
      <c r="C419" s="8" t="s">
        <v>325</v>
      </c>
      <c r="D419" s="9" t="s">
        <v>196</v>
      </c>
      <c r="E419" s="13">
        <v>749.6</v>
      </c>
      <c r="F419" s="11">
        <v>0.09</v>
      </c>
      <c r="G419" s="12">
        <v>0.01</v>
      </c>
      <c r="H419" s="13"/>
      <c r="I419" s="13">
        <v>99</v>
      </c>
      <c r="J419" s="14">
        <v>-4.9000000000000004</v>
      </c>
      <c r="K419" s="15"/>
      <c r="L419" s="13">
        <v>1</v>
      </c>
      <c r="M419" s="13">
        <v>1</v>
      </c>
      <c r="N419" s="14">
        <v>-21.2</v>
      </c>
      <c r="O419" s="15"/>
    </row>
    <row r="420" spans="1:15" ht="16" x14ac:dyDescent="0.2">
      <c r="A420" s="7">
        <v>419</v>
      </c>
      <c r="B420" s="8" t="s">
        <v>1112</v>
      </c>
      <c r="C420" s="8" t="s">
        <v>323</v>
      </c>
      <c r="D420" s="9" t="s">
        <v>197</v>
      </c>
      <c r="E420" s="13">
        <v>448.7</v>
      </c>
      <c r="F420" s="11">
        <v>1</v>
      </c>
      <c r="G420" s="12">
        <v>0.05</v>
      </c>
      <c r="H420" s="13"/>
      <c r="I420" s="13">
        <v>78</v>
      </c>
      <c r="J420" s="14">
        <v>-4.9000000000000004</v>
      </c>
      <c r="K420" s="15"/>
      <c r="L420" s="13">
        <v>4</v>
      </c>
      <c r="M420" s="13">
        <v>1</v>
      </c>
      <c r="N420" s="14">
        <v>-19.5</v>
      </c>
      <c r="O420" s="15"/>
    </row>
    <row r="421" spans="1:15" ht="16" x14ac:dyDescent="0.2">
      <c r="A421" s="7">
        <v>420</v>
      </c>
      <c r="B421" s="8" t="s">
        <v>665</v>
      </c>
      <c r="C421" s="8" t="s">
        <v>305</v>
      </c>
      <c r="D421" s="9" t="s">
        <v>194</v>
      </c>
      <c r="E421" s="13">
        <v>710.7</v>
      </c>
      <c r="F421" s="11">
        <v>0.54</v>
      </c>
      <c r="G421" s="12">
        <v>0.05</v>
      </c>
      <c r="H421" s="13">
        <v>337</v>
      </c>
      <c r="I421" s="13"/>
      <c r="J421" s="14">
        <v>-5</v>
      </c>
      <c r="K421" s="15"/>
      <c r="L421" s="13">
        <v>0</v>
      </c>
      <c r="M421" s="13">
        <v>0</v>
      </c>
      <c r="N421" s="14">
        <v>-24.2</v>
      </c>
      <c r="O421" s="15"/>
    </row>
    <row r="422" spans="1:15" ht="16" x14ac:dyDescent="0.2">
      <c r="A422" s="7">
        <v>421</v>
      </c>
      <c r="B422" s="8" t="s">
        <v>293</v>
      </c>
      <c r="C422" s="8" t="s">
        <v>314</v>
      </c>
      <c r="D422" s="9" t="s">
        <v>197</v>
      </c>
      <c r="E422" s="13">
        <v>741.5</v>
      </c>
      <c r="F422" s="11">
        <v>0.17</v>
      </c>
      <c r="G422" s="12">
        <v>0.01</v>
      </c>
      <c r="H422" s="13"/>
      <c r="I422" s="13">
        <v>57</v>
      </c>
      <c r="J422" s="14">
        <v>-5</v>
      </c>
      <c r="K422" s="15"/>
      <c r="L422" s="13">
        <v>3</v>
      </c>
      <c r="M422" s="13">
        <v>3</v>
      </c>
      <c r="N422" s="14">
        <v>-15.9</v>
      </c>
      <c r="O422" s="15"/>
    </row>
    <row r="423" spans="1:15" ht="16" x14ac:dyDescent="0.2">
      <c r="A423" s="7">
        <v>422</v>
      </c>
      <c r="B423" s="8" t="s">
        <v>1113</v>
      </c>
      <c r="C423" s="8" t="s">
        <v>354</v>
      </c>
      <c r="D423" s="9" t="s">
        <v>196</v>
      </c>
      <c r="E423" s="13">
        <v>412.2</v>
      </c>
      <c r="F423" s="11">
        <v>1</v>
      </c>
      <c r="G423" s="12">
        <v>0.11</v>
      </c>
      <c r="H423" s="13"/>
      <c r="I423" s="13">
        <v>72</v>
      </c>
      <c r="J423" s="14">
        <v>-5</v>
      </c>
      <c r="K423" s="15"/>
      <c r="L423" s="13">
        <v>1</v>
      </c>
      <c r="M423" s="13">
        <v>2</v>
      </c>
      <c r="N423" s="14">
        <v>-19.399999999999999</v>
      </c>
      <c r="O423" s="15"/>
    </row>
    <row r="424" spans="1:15" ht="16" x14ac:dyDescent="0.2">
      <c r="A424" s="7">
        <v>423</v>
      </c>
      <c r="B424" s="8" t="s">
        <v>1114</v>
      </c>
      <c r="C424" s="8" t="s">
        <v>371</v>
      </c>
      <c r="D424" s="9" t="s">
        <v>196</v>
      </c>
      <c r="E424" s="13">
        <v>511.3</v>
      </c>
      <c r="F424" s="11">
        <v>1</v>
      </c>
      <c r="G424" s="12">
        <v>0.03</v>
      </c>
      <c r="H424" s="13"/>
      <c r="I424" s="13">
        <v>133.1</v>
      </c>
      <c r="J424" s="14">
        <v>-5</v>
      </c>
      <c r="K424" s="15"/>
      <c r="L424" s="13">
        <v>0</v>
      </c>
      <c r="M424" s="13">
        <v>2</v>
      </c>
      <c r="N424" s="14">
        <v>-19.899999999999999</v>
      </c>
      <c r="O424" s="15"/>
    </row>
    <row r="425" spans="1:15" ht="16" x14ac:dyDescent="0.2">
      <c r="A425" s="7">
        <v>424</v>
      </c>
      <c r="B425" s="8" t="s">
        <v>634</v>
      </c>
      <c r="C425" s="8" t="s">
        <v>307</v>
      </c>
      <c r="D425" s="9" t="s">
        <v>195</v>
      </c>
      <c r="E425" s="13">
        <v>659.8</v>
      </c>
      <c r="F425" s="11">
        <v>0.89</v>
      </c>
      <c r="G425" s="12">
        <v>0</v>
      </c>
      <c r="H425" s="13">
        <v>132</v>
      </c>
      <c r="I425" s="13"/>
      <c r="J425" s="14">
        <v>-5</v>
      </c>
      <c r="K425" s="15"/>
      <c r="L425" s="13">
        <v>0</v>
      </c>
      <c r="M425" s="13">
        <v>1</v>
      </c>
      <c r="N425" s="14">
        <v>-25</v>
      </c>
      <c r="O425" s="15"/>
    </row>
    <row r="426" spans="1:15" ht="16" x14ac:dyDescent="0.2">
      <c r="A426" s="7">
        <v>425</v>
      </c>
      <c r="B426" s="8" t="s">
        <v>1115</v>
      </c>
      <c r="C426" s="8" t="s">
        <v>348</v>
      </c>
      <c r="D426" s="9" t="s">
        <v>197</v>
      </c>
      <c r="E426" s="13">
        <v>733.9</v>
      </c>
      <c r="F426" s="11">
        <v>0.15</v>
      </c>
      <c r="G426" s="12">
        <v>0</v>
      </c>
      <c r="H426" s="13"/>
      <c r="I426" s="13">
        <v>59</v>
      </c>
      <c r="J426" s="14">
        <v>-5.0999999999999996</v>
      </c>
      <c r="K426" s="15"/>
      <c r="L426" s="13">
        <v>0</v>
      </c>
      <c r="M426" s="13">
        <v>0</v>
      </c>
      <c r="N426" s="14">
        <v>-15.6</v>
      </c>
      <c r="O426" s="15"/>
    </row>
    <row r="427" spans="1:15" ht="16" x14ac:dyDescent="0.2">
      <c r="A427" s="7">
        <v>426</v>
      </c>
      <c r="B427" s="8" t="s">
        <v>1116</v>
      </c>
      <c r="C427" s="8" t="s">
        <v>326</v>
      </c>
      <c r="D427" s="9" t="s">
        <v>196</v>
      </c>
      <c r="E427" s="13">
        <v>741.7</v>
      </c>
      <c r="F427" s="11">
        <v>0.08</v>
      </c>
      <c r="G427" s="12">
        <v>0</v>
      </c>
      <c r="H427" s="13"/>
      <c r="I427" s="13">
        <v>74</v>
      </c>
      <c r="J427" s="14">
        <v>-5.0999999999999996</v>
      </c>
      <c r="K427" s="15"/>
      <c r="L427" s="13">
        <v>3</v>
      </c>
      <c r="M427" s="13">
        <v>3</v>
      </c>
      <c r="N427" s="14">
        <v>-17.600000000000001</v>
      </c>
      <c r="O427" s="15"/>
    </row>
    <row r="428" spans="1:15" ht="16" x14ac:dyDescent="0.2">
      <c r="A428" s="7">
        <v>427</v>
      </c>
      <c r="B428" s="8" t="s">
        <v>1117</v>
      </c>
      <c r="C428" s="8" t="s">
        <v>316</v>
      </c>
      <c r="D428" s="9" t="s">
        <v>197</v>
      </c>
      <c r="E428" s="13"/>
      <c r="F428" s="13"/>
      <c r="G428" s="16"/>
      <c r="H428" s="13"/>
      <c r="I428" s="13">
        <v>66</v>
      </c>
      <c r="J428" s="14">
        <v>-5.0999999999999996</v>
      </c>
      <c r="K428" s="15"/>
      <c r="L428" s="13">
        <v>2</v>
      </c>
      <c r="M428" s="13">
        <v>8</v>
      </c>
      <c r="N428" s="14">
        <v>-8.6</v>
      </c>
      <c r="O428" s="15"/>
    </row>
    <row r="429" spans="1:15" ht="16" x14ac:dyDescent="0.2">
      <c r="A429" s="7">
        <v>428</v>
      </c>
      <c r="B429" s="8" t="s">
        <v>1118</v>
      </c>
      <c r="C429" s="8" t="s">
        <v>385</v>
      </c>
      <c r="D429" s="9" t="s">
        <v>1005</v>
      </c>
      <c r="E429" s="13"/>
      <c r="F429" s="13"/>
      <c r="G429" s="16"/>
      <c r="H429" s="13"/>
      <c r="I429" s="13">
        <v>42.1</v>
      </c>
      <c r="J429" s="14">
        <v>-5.0999999999999996</v>
      </c>
      <c r="K429" s="15"/>
      <c r="L429" s="13">
        <v>1</v>
      </c>
      <c r="M429" s="13">
        <v>8</v>
      </c>
      <c r="N429" s="14">
        <v>-16.3</v>
      </c>
      <c r="O429" s="15"/>
    </row>
    <row r="430" spans="1:15" ht="16" x14ac:dyDescent="0.2">
      <c r="A430" s="7">
        <v>429</v>
      </c>
      <c r="B430" s="8" t="s">
        <v>1119</v>
      </c>
      <c r="C430" s="8" t="s">
        <v>385</v>
      </c>
      <c r="D430" s="9" t="s">
        <v>196</v>
      </c>
      <c r="E430" s="13">
        <v>748.9</v>
      </c>
      <c r="F430" s="11">
        <v>0.05</v>
      </c>
      <c r="G430" s="12">
        <v>0</v>
      </c>
      <c r="H430" s="13"/>
      <c r="I430" s="13">
        <v>68.099999999999994</v>
      </c>
      <c r="J430" s="14">
        <v>-5.3</v>
      </c>
      <c r="K430" s="15"/>
      <c r="L430" s="13">
        <v>2</v>
      </c>
      <c r="M430" s="13">
        <v>0</v>
      </c>
      <c r="N430" s="14">
        <v>-22.8</v>
      </c>
      <c r="O430" s="15"/>
    </row>
    <row r="431" spans="1:15" ht="16" x14ac:dyDescent="0.2">
      <c r="A431" s="7">
        <v>430</v>
      </c>
      <c r="B431" s="8" t="s">
        <v>747</v>
      </c>
      <c r="C431" s="8" t="s">
        <v>335</v>
      </c>
      <c r="D431" s="9" t="s">
        <v>195</v>
      </c>
      <c r="E431" s="13">
        <v>750.1</v>
      </c>
      <c r="F431" s="11">
        <v>0.01</v>
      </c>
      <c r="G431" s="12">
        <v>0</v>
      </c>
      <c r="H431" s="13">
        <v>314</v>
      </c>
      <c r="I431" s="13"/>
      <c r="J431" s="14">
        <v>-5.3</v>
      </c>
      <c r="K431" s="15"/>
      <c r="L431" s="13">
        <v>5</v>
      </c>
      <c r="M431" s="13">
        <v>1</v>
      </c>
      <c r="N431" s="14">
        <v>-13.8</v>
      </c>
      <c r="O431" s="15"/>
    </row>
    <row r="432" spans="1:15" ht="16" x14ac:dyDescent="0.2">
      <c r="A432" s="7">
        <v>431</v>
      </c>
      <c r="B432" s="8" t="s">
        <v>487</v>
      </c>
      <c r="C432" s="8" t="s">
        <v>348</v>
      </c>
      <c r="D432" s="9" t="s">
        <v>192</v>
      </c>
      <c r="E432" s="13">
        <v>356.2</v>
      </c>
      <c r="F432" s="11">
        <v>1</v>
      </c>
      <c r="G432" s="12">
        <v>0.28999999999999998</v>
      </c>
      <c r="H432" s="13">
        <v>402</v>
      </c>
      <c r="I432" s="13"/>
      <c r="J432" s="14">
        <v>-5.3</v>
      </c>
      <c r="K432" s="15"/>
      <c r="L432" s="13">
        <v>3</v>
      </c>
      <c r="M432" s="13">
        <v>2</v>
      </c>
      <c r="N432" s="14">
        <v>-16.7</v>
      </c>
      <c r="O432" s="15"/>
    </row>
    <row r="433" spans="1:15" ht="16" x14ac:dyDescent="0.2">
      <c r="A433" s="7">
        <v>432</v>
      </c>
      <c r="B433" s="8" t="s">
        <v>1120</v>
      </c>
      <c r="C433" s="9"/>
      <c r="D433" s="9" t="s">
        <v>196</v>
      </c>
      <c r="E433" s="13">
        <v>658.4</v>
      </c>
      <c r="F433" s="11">
        <v>0.99</v>
      </c>
      <c r="G433" s="12">
        <v>0</v>
      </c>
      <c r="H433" s="13"/>
      <c r="I433" s="13">
        <v>169.1</v>
      </c>
      <c r="J433" s="14">
        <v>-5.3</v>
      </c>
      <c r="K433" s="15"/>
      <c r="L433" s="13">
        <v>0</v>
      </c>
      <c r="M433" s="13">
        <v>0</v>
      </c>
      <c r="N433" s="14">
        <v>-14</v>
      </c>
      <c r="O433" s="15"/>
    </row>
    <row r="434" spans="1:15" ht="16" x14ac:dyDescent="0.2">
      <c r="A434" s="7">
        <v>433</v>
      </c>
      <c r="B434" s="8" t="s">
        <v>554</v>
      </c>
      <c r="C434" s="8" t="s">
        <v>323</v>
      </c>
      <c r="D434" s="9" t="s">
        <v>555</v>
      </c>
      <c r="E434" s="13">
        <v>489.2</v>
      </c>
      <c r="F434" s="11">
        <v>1</v>
      </c>
      <c r="G434" s="12">
        <v>0.04</v>
      </c>
      <c r="H434" s="13">
        <v>428</v>
      </c>
      <c r="I434" s="13"/>
      <c r="J434" s="14">
        <v>-5.4</v>
      </c>
      <c r="K434" s="15"/>
      <c r="L434" s="13">
        <v>1</v>
      </c>
      <c r="M434" s="13">
        <v>9</v>
      </c>
      <c r="N434" s="14">
        <v>-13.9</v>
      </c>
      <c r="O434" s="15"/>
    </row>
    <row r="435" spans="1:15" ht="16" x14ac:dyDescent="0.2">
      <c r="A435" s="7">
        <v>434</v>
      </c>
      <c r="B435" s="8" t="s">
        <v>1121</v>
      </c>
      <c r="C435" s="8" t="s">
        <v>320</v>
      </c>
      <c r="D435" s="9" t="s">
        <v>197</v>
      </c>
      <c r="E435" s="13">
        <v>553.4</v>
      </c>
      <c r="F435" s="11">
        <v>0.88</v>
      </c>
      <c r="G435" s="12">
        <v>0.02</v>
      </c>
      <c r="H435" s="13"/>
      <c r="I435" s="13">
        <v>39</v>
      </c>
      <c r="J435" s="14">
        <v>-5.4</v>
      </c>
      <c r="K435" s="15"/>
      <c r="L435" s="13">
        <v>0</v>
      </c>
      <c r="M435" s="13">
        <v>2</v>
      </c>
      <c r="N435" s="14">
        <v>-24.7</v>
      </c>
      <c r="O435" s="15"/>
    </row>
    <row r="436" spans="1:15" ht="16" x14ac:dyDescent="0.2">
      <c r="A436" s="7">
        <v>435</v>
      </c>
      <c r="B436" s="8" t="s">
        <v>1122</v>
      </c>
      <c r="C436" s="8" t="s">
        <v>320</v>
      </c>
      <c r="D436" s="9" t="s">
        <v>197</v>
      </c>
      <c r="E436" s="13">
        <v>750.4</v>
      </c>
      <c r="F436" s="11">
        <v>0.02</v>
      </c>
      <c r="G436" s="12">
        <v>0</v>
      </c>
      <c r="H436" s="13"/>
      <c r="I436" s="13">
        <v>57.1</v>
      </c>
      <c r="J436" s="14">
        <v>-5.4</v>
      </c>
      <c r="K436" s="15"/>
      <c r="L436" s="13">
        <v>11</v>
      </c>
      <c r="M436" s="13">
        <v>1</v>
      </c>
      <c r="N436" s="14">
        <v>-17.7</v>
      </c>
      <c r="O436" s="15"/>
    </row>
    <row r="437" spans="1:15" ht="16" x14ac:dyDescent="0.2">
      <c r="A437" s="7">
        <v>436</v>
      </c>
      <c r="B437" s="8" t="s">
        <v>1123</v>
      </c>
      <c r="C437" s="8" t="s">
        <v>334</v>
      </c>
      <c r="D437" s="9" t="s">
        <v>196</v>
      </c>
      <c r="E437" s="13">
        <v>704.8</v>
      </c>
      <c r="F437" s="11">
        <v>0.67</v>
      </c>
      <c r="G437" s="12">
        <v>0</v>
      </c>
      <c r="H437" s="13"/>
      <c r="I437" s="13">
        <v>142</v>
      </c>
      <c r="J437" s="14">
        <v>-5.5</v>
      </c>
      <c r="K437" s="15"/>
      <c r="L437" s="13">
        <v>4</v>
      </c>
      <c r="M437" s="13">
        <v>1</v>
      </c>
      <c r="N437" s="14">
        <v>-12.8</v>
      </c>
      <c r="O437" s="15"/>
    </row>
    <row r="438" spans="1:15" ht="16" x14ac:dyDescent="0.2">
      <c r="A438" s="7">
        <v>437</v>
      </c>
      <c r="B438" s="8" t="s">
        <v>674</v>
      </c>
      <c r="C438" s="8" t="s">
        <v>319</v>
      </c>
      <c r="D438" s="9" t="s">
        <v>191</v>
      </c>
      <c r="E438" s="13">
        <v>729.5</v>
      </c>
      <c r="F438" s="11">
        <v>0.43</v>
      </c>
      <c r="G438" s="12">
        <v>0</v>
      </c>
      <c r="H438" s="13">
        <v>421</v>
      </c>
      <c r="I438" s="13"/>
      <c r="J438" s="14">
        <v>-5.5</v>
      </c>
      <c r="K438" s="15"/>
      <c r="L438" s="13">
        <v>6</v>
      </c>
      <c r="M438" s="13">
        <v>0</v>
      </c>
      <c r="N438" s="14">
        <v>-17.899999999999999</v>
      </c>
      <c r="O438" s="15"/>
    </row>
    <row r="439" spans="1:15" ht="16" x14ac:dyDescent="0.2">
      <c r="A439" s="7">
        <v>438</v>
      </c>
      <c r="B439" s="8" t="s">
        <v>1124</v>
      </c>
      <c r="C439" s="8" t="s">
        <v>354</v>
      </c>
      <c r="D439" s="9" t="s">
        <v>196</v>
      </c>
      <c r="E439" s="13">
        <v>370</v>
      </c>
      <c r="F439" s="11">
        <v>1</v>
      </c>
      <c r="G439" s="12">
        <v>0.26</v>
      </c>
      <c r="H439" s="13"/>
      <c r="I439" s="13">
        <v>124</v>
      </c>
      <c r="J439" s="14">
        <v>-5.5</v>
      </c>
      <c r="K439" s="15"/>
      <c r="L439" s="13">
        <v>0</v>
      </c>
      <c r="M439" s="13">
        <v>6</v>
      </c>
      <c r="N439" s="14">
        <v>-17.399999999999999</v>
      </c>
      <c r="O439" s="15"/>
    </row>
    <row r="440" spans="1:15" ht="16" x14ac:dyDescent="0.2">
      <c r="A440" s="7">
        <v>439</v>
      </c>
      <c r="B440" s="8" t="s">
        <v>1125</v>
      </c>
      <c r="C440" s="8" t="s">
        <v>314</v>
      </c>
      <c r="D440" s="9" t="s">
        <v>196</v>
      </c>
      <c r="E440" s="13">
        <v>646.20000000000005</v>
      </c>
      <c r="F440" s="11">
        <v>0.87</v>
      </c>
      <c r="G440" s="12">
        <v>0.01</v>
      </c>
      <c r="H440" s="13"/>
      <c r="I440" s="13">
        <v>75</v>
      </c>
      <c r="J440" s="14">
        <v>-5.6</v>
      </c>
      <c r="K440" s="15"/>
      <c r="L440" s="13">
        <v>1</v>
      </c>
      <c r="M440" s="13">
        <v>1</v>
      </c>
      <c r="N440" s="14">
        <v>-18.2</v>
      </c>
      <c r="O440" s="15"/>
    </row>
    <row r="441" spans="1:15" ht="16" x14ac:dyDescent="0.2">
      <c r="A441" s="7">
        <v>440</v>
      </c>
      <c r="B441" s="8" t="s">
        <v>616</v>
      </c>
      <c r="C441" s="8" t="s">
        <v>310</v>
      </c>
      <c r="D441" s="9" t="s">
        <v>190</v>
      </c>
      <c r="E441" s="13">
        <v>638</v>
      </c>
      <c r="F441" s="11">
        <v>0.9</v>
      </c>
      <c r="G441" s="12">
        <v>0.01</v>
      </c>
      <c r="H441" s="13">
        <v>234</v>
      </c>
      <c r="I441" s="13"/>
      <c r="J441" s="14">
        <v>-5.6</v>
      </c>
      <c r="K441" s="15"/>
      <c r="L441" s="13">
        <v>0</v>
      </c>
      <c r="M441" s="13">
        <v>1</v>
      </c>
      <c r="N441" s="14">
        <v>-23.9</v>
      </c>
      <c r="O441" s="15"/>
    </row>
    <row r="442" spans="1:15" ht="16" x14ac:dyDescent="0.2">
      <c r="A442" s="7">
        <v>441</v>
      </c>
      <c r="B442" s="8" t="s">
        <v>628</v>
      </c>
      <c r="C442" s="8" t="s">
        <v>371</v>
      </c>
      <c r="D442" s="9" t="s">
        <v>190</v>
      </c>
      <c r="E442" s="13">
        <v>651.70000000000005</v>
      </c>
      <c r="F442" s="11">
        <v>0.95</v>
      </c>
      <c r="G442" s="12">
        <v>0.02</v>
      </c>
      <c r="H442" s="13">
        <v>315</v>
      </c>
      <c r="I442" s="13"/>
      <c r="J442" s="14">
        <v>-5.6</v>
      </c>
      <c r="K442" s="15"/>
      <c r="L442" s="13">
        <v>13</v>
      </c>
      <c r="M442" s="13">
        <v>8</v>
      </c>
      <c r="N442" s="14">
        <v>-8.5</v>
      </c>
      <c r="O442" s="15"/>
    </row>
    <row r="443" spans="1:15" ht="16" x14ac:dyDescent="0.2">
      <c r="A443" s="7">
        <v>442</v>
      </c>
      <c r="B443" s="8" t="s">
        <v>599</v>
      </c>
      <c r="C443" s="8" t="s">
        <v>313</v>
      </c>
      <c r="D443" s="9" t="s">
        <v>195</v>
      </c>
      <c r="E443" s="13">
        <v>587.70000000000005</v>
      </c>
      <c r="F443" s="11">
        <v>1</v>
      </c>
      <c r="G443" s="12">
        <v>0.02</v>
      </c>
      <c r="H443" s="13">
        <v>309</v>
      </c>
      <c r="I443" s="13"/>
      <c r="J443" s="14">
        <v>-5.6</v>
      </c>
      <c r="K443" s="15"/>
      <c r="L443" s="13">
        <v>7</v>
      </c>
      <c r="M443" s="13">
        <v>1</v>
      </c>
      <c r="N443" s="14">
        <v>-11.5</v>
      </c>
      <c r="O443" s="15"/>
    </row>
    <row r="444" spans="1:15" ht="16" x14ac:dyDescent="0.2">
      <c r="A444" s="7">
        <v>443</v>
      </c>
      <c r="B444" s="8" t="s">
        <v>1126</v>
      </c>
      <c r="C444" s="9"/>
      <c r="D444" s="9" t="s">
        <v>196</v>
      </c>
      <c r="E444" s="13"/>
      <c r="F444" s="11">
        <v>0.01</v>
      </c>
      <c r="G444" s="12">
        <v>0</v>
      </c>
      <c r="H444" s="13"/>
      <c r="I444" s="13">
        <v>100</v>
      </c>
      <c r="J444" s="14">
        <v>-5.6</v>
      </c>
      <c r="K444" s="15"/>
      <c r="L444" s="13">
        <v>1</v>
      </c>
      <c r="M444" s="13">
        <v>3</v>
      </c>
      <c r="N444" s="14">
        <v>-14</v>
      </c>
      <c r="O444" s="15"/>
    </row>
    <row r="445" spans="1:15" ht="16" x14ac:dyDescent="0.2">
      <c r="A445" s="7">
        <v>444</v>
      </c>
      <c r="B445" s="8" t="s">
        <v>1127</v>
      </c>
      <c r="C445" s="8" t="s">
        <v>320</v>
      </c>
      <c r="D445" s="9" t="s">
        <v>196</v>
      </c>
      <c r="E445" s="13">
        <v>341.1</v>
      </c>
      <c r="F445" s="11">
        <v>1</v>
      </c>
      <c r="G445" s="12">
        <v>0.54</v>
      </c>
      <c r="H445" s="13"/>
      <c r="I445" s="13">
        <v>171</v>
      </c>
      <c r="J445" s="14">
        <v>-5.6</v>
      </c>
      <c r="K445" s="15"/>
      <c r="L445" s="13">
        <v>0</v>
      </c>
      <c r="M445" s="13">
        <v>1</v>
      </c>
      <c r="N445" s="14">
        <v>-15.4</v>
      </c>
      <c r="O445" s="15"/>
    </row>
    <row r="446" spans="1:15" ht="16" x14ac:dyDescent="0.2">
      <c r="A446" s="7">
        <v>445</v>
      </c>
      <c r="B446" s="8" t="s">
        <v>621</v>
      </c>
      <c r="C446" s="8" t="s">
        <v>322</v>
      </c>
      <c r="D446" s="9" t="s">
        <v>359</v>
      </c>
      <c r="E446" s="13">
        <v>641.5</v>
      </c>
      <c r="F446" s="11">
        <v>0.92</v>
      </c>
      <c r="G446" s="12">
        <v>0.02</v>
      </c>
      <c r="H446" s="13">
        <v>462</v>
      </c>
      <c r="I446" s="13"/>
      <c r="J446" s="14">
        <v>-5.7</v>
      </c>
      <c r="K446" s="15"/>
      <c r="L446" s="13">
        <v>1</v>
      </c>
      <c r="M446" s="13">
        <v>6</v>
      </c>
      <c r="N446" s="14">
        <v>-12.7</v>
      </c>
      <c r="O446" s="15"/>
    </row>
    <row r="447" spans="1:15" ht="16" x14ac:dyDescent="0.2">
      <c r="A447" s="7">
        <v>446</v>
      </c>
      <c r="B447" s="8" t="s">
        <v>1128</v>
      </c>
      <c r="C447" s="8" t="s">
        <v>354</v>
      </c>
      <c r="D447" s="9" t="s">
        <v>197</v>
      </c>
      <c r="E447" s="13">
        <v>750.5</v>
      </c>
      <c r="F447" s="11">
        <v>0.05</v>
      </c>
      <c r="G447" s="12">
        <v>0</v>
      </c>
      <c r="H447" s="13"/>
      <c r="I447" s="13">
        <v>70</v>
      </c>
      <c r="J447" s="14">
        <v>-5.7</v>
      </c>
      <c r="K447" s="15"/>
      <c r="L447" s="13">
        <v>2</v>
      </c>
      <c r="M447" s="13">
        <v>5</v>
      </c>
      <c r="N447" s="14">
        <v>-12.2</v>
      </c>
      <c r="O447" s="15"/>
    </row>
    <row r="448" spans="1:15" ht="16" x14ac:dyDescent="0.2">
      <c r="A448" s="7">
        <v>447</v>
      </c>
      <c r="B448" s="8" t="s">
        <v>588</v>
      </c>
      <c r="C448" s="8" t="s">
        <v>348</v>
      </c>
      <c r="D448" s="9" t="s">
        <v>190</v>
      </c>
      <c r="E448" s="13">
        <v>570.79999999999995</v>
      </c>
      <c r="F448" s="11">
        <v>0.97</v>
      </c>
      <c r="G448" s="12">
        <v>0.03</v>
      </c>
      <c r="H448" s="13">
        <v>218</v>
      </c>
      <c r="I448" s="13"/>
      <c r="J448" s="14">
        <v>-5.8</v>
      </c>
      <c r="K448" s="15"/>
      <c r="L448" s="13">
        <v>1</v>
      </c>
      <c r="M448" s="13">
        <v>6</v>
      </c>
      <c r="N448" s="14">
        <v>-15.2</v>
      </c>
      <c r="O448" s="15"/>
    </row>
    <row r="449" spans="1:15" ht="16" x14ac:dyDescent="0.2">
      <c r="A449" s="7">
        <v>448</v>
      </c>
      <c r="B449" s="8" t="s">
        <v>1129</v>
      </c>
      <c r="C449" s="8" t="s">
        <v>362</v>
      </c>
      <c r="D449" s="9" t="s">
        <v>197</v>
      </c>
      <c r="E449" s="13">
        <v>727.8</v>
      </c>
      <c r="F449" s="11">
        <v>0.63</v>
      </c>
      <c r="G449" s="12">
        <v>0.01</v>
      </c>
      <c r="H449" s="13"/>
      <c r="I449" s="13">
        <v>70</v>
      </c>
      <c r="J449" s="14">
        <v>-5.8</v>
      </c>
      <c r="K449" s="15"/>
      <c r="L449" s="13">
        <v>0</v>
      </c>
      <c r="M449" s="13">
        <v>0</v>
      </c>
      <c r="N449" s="14">
        <v>-14.6</v>
      </c>
      <c r="O449" s="15"/>
    </row>
    <row r="450" spans="1:15" ht="16" x14ac:dyDescent="0.2">
      <c r="A450" s="7">
        <v>449</v>
      </c>
      <c r="B450" s="8" t="s">
        <v>1130</v>
      </c>
      <c r="C450" s="8" t="s">
        <v>315</v>
      </c>
      <c r="D450" s="9" t="s">
        <v>197</v>
      </c>
      <c r="E450" s="13"/>
      <c r="F450" s="11">
        <v>0.01</v>
      </c>
      <c r="G450" s="12">
        <v>0</v>
      </c>
      <c r="H450" s="13"/>
      <c r="I450" s="13">
        <v>42</v>
      </c>
      <c r="J450" s="14">
        <v>-5.8</v>
      </c>
      <c r="K450" s="15"/>
      <c r="L450" s="13">
        <v>0</v>
      </c>
      <c r="M450" s="13">
        <v>11</v>
      </c>
      <c r="N450" s="14">
        <v>-15.1</v>
      </c>
      <c r="O450" s="15"/>
    </row>
    <row r="451" spans="1:15" ht="16" x14ac:dyDescent="0.2">
      <c r="A451" s="7">
        <v>450</v>
      </c>
      <c r="B451" s="8" t="s">
        <v>1131</v>
      </c>
      <c r="C451" s="8" t="s">
        <v>323</v>
      </c>
      <c r="D451" s="9" t="s">
        <v>196</v>
      </c>
      <c r="E451" s="13">
        <v>204.1</v>
      </c>
      <c r="F451" s="11">
        <v>1</v>
      </c>
      <c r="G451" s="12">
        <v>1</v>
      </c>
      <c r="H451" s="13"/>
      <c r="I451" s="13">
        <v>145</v>
      </c>
      <c r="J451" s="14">
        <v>-5.8</v>
      </c>
      <c r="K451" s="15"/>
      <c r="L451" s="13">
        <v>0</v>
      </c>
      <c r="M451" s="13">
        <v>0</v>
      </c>
      <c r="N451" s="14">
        <v>-21</v>
      </c>
      <c r="O451" s="15"/>
    </row>
    <row r="452" spans="1:15" ht="16" x14ac:dyDescent="0.2">
      <c r="A452" s="7">
        <v>451</v>
      </c>
      <c r="B452" s="8" t="s">
        <v>1132</v>
      </c>
      <c r="C452" s="8" t="s">
        <v>348</v>
      </c>
      <c r="D452" s="9" t="s">
        <v>196</v>
      </c>
      <c r="E452" s="13">
        <v>700.7</v>
      </c>
      <c r="F452" s="11">
        <v>0.59</v>
      </c>
      <c r="G452" s="12">
        <v>0</v>
      </c>
      <c r="H452" s="13"/>
      <c r="I452" s="13">
        <v>86</v>
      </c>
      <c r="J452" s="14">
        <v>-5.9</v>
      </c>
      <c r="K452" s="15"/>
      <c r="L452" s="13">
        <v>7</v>
      </c>
      <c r="M452" s="13">
        <v>0</v>
      </c>
      <c r="N452" s="14">
        <v>-18.2</v>
      </c>
      <c r="O452" s="15"/>
    </row>
    <row r="453" spans="1:15" ht="16" x14ac:dyDescent="0.2">
      <c r="A453" s="7">
        <v>452</v>
      </c>
      <c r="B453" s="8" t="s">
        <v>1133</v>
      </c>
      <c r="C453" s="8" t="s">
        <v>371</v>
      </c>
      <c r="D453" s="9" t="s">
        <v>197</v>
      </c>
      <c r="E453" s="13"/>
      <c r="F453" s="11">
        <v>0.02</v>
      </c>
      <c r="G453" s="12">
        <v>0</v>
      </c>
      <c r="H453" s="13"/>
      <c r="I453" s="13">
        <v>58</v>
      </c>
      <c r="J453" s="14">
        <v>-5.9</v>
      </c>
      <c r="K453" s="15"/>
      <c r="L453" s="13">
        <v>0</v>
      </c>
      <c r="M453" s="13">
        <v>0</v>
      </c>
      <c r="N453" s="14">
        <v>-12.8</v>
      </c>
      <c r="O453" s="15"/>
    </row>
    <row r="454" spans="1:15" ht="16" x14ac:dyDescent="0.2">
      <c r="A454" s="7">
        <v>453</v>
      </c>
      <c r="B454" s="8" t="s">
        <v>1134</v>
      </c>
      <c r="C454" s="8" t="s">
        <v>325</v>
      </c>
      <c r="D454" s="9" t="s">
        <v>196</v>
      </c>
      <c r="E454" s="13"/>
      <c r="F454" s="13"/>
      <c r="G454" s="16"/>
      <c r="H454" s="13"/>
      <c r="I454" s="13">
        <v>76</v>
      </c>
      <c r="J454" s="14">
        <v>-6</v>
      </c>
      <c r="K454" s="15"/>
      <c r="L454" s="13">
        <v>0</v>
      </c>
      <c r="M454" s="13">
        <v>0</v>
      </c>
      <c r="N454" s="14">
        <v>-23.7</v>
      </c>
      <c r="O454" s="15"/>
    </row>
    <row r="455" spans="1:15" ht="16" x14ac:dyDescent="0.2">
      <c r="A455" s="7">
        <v>454</v>
      </c>
      <c r="B455" s="8" t="s">
        <v>1135</v>
      </c>
      <c r="C455" s="8" t="s">
        <v>346</v>
      </c>
      <c r="D455" s="9" t="s">
        <v>197</v>
      </c>
      <c r="E455" s="13">
        <v>734.8</v>
      </c>
      <c r="F455" s="11">
        <v>0.22</v>
      </c>
      <c r="G455" s="12">
        <v>0.01</v>
      </c>
      <c r="H455" s="13"/>
      <c r="I455" s="13">
        <v>60</v>
      </c>
      <c r="J455" s="14">
        <v>-6</v>
      </c>
      <c r="K455" s="15"/>
      <c r="L455" s="13">
        <v>3</v>
      </c>
      <c r="M455" s="13">
        <v>1</v>
      </c>
      <c r="N455" s="14">
        <v>-20</v>
      </c>
      <c r="O455" s="15"/>
    </row>
    <row r="456" spans="1:15" ht="16" x14ac:dyDescent="0.2">
      <c r="A456" s="7">
        <v>455</v>
      </c>
      <c r="B456" s="8" t="s">
        <v>614</v>
      </c>
      <c r="C456" s="8" t="s">
        <v>310</v>
      </c>
      <c r="D456" s="9" t="s">
        <v>195</v>
      </c>
      <c r="E456" s="13">
        <v>636.29999999999995</v>
      </c>
      <c r="F456" s="11">
        <v>0.97</v>
      </c>
      <c r="G456" s="12">
        <v>0</v>
      </c>
      <c r="H456" s="13">
        <v>388</v>
      </c>
      <c r="I456" s="13"/>
      <c r="J456" s="14">
        <v>-6</v>
      </c>
      <c r="K456" s="15"/>
      <c r="L456" s="13">
        <v>2</v>
      </c>
      <c r="M456" s="13">
        <v>4</v>
      </c>
      <c r="N456" s="14">
        <v>-14</v>
      </c>
      <c r="O456" s="15"/>
    </row>
    <row r="457" spans="1:15" ht="16" x14ac:dyDescent="0.2">
      <c r="A457" s="7">
        <v>456</v>
      </c>
      <c r="B457" s="8" t="s">
        <v>635</v>
      </c>
      <c r="C457" s="8" t="s">
        <v>310</v>
      </c>
      <c r="D457" s="9" t="s">
        <v>352</v>
      </c>
      <c r="E457" s="13">
        <v>662.6</v>
      </c>
      <c r="F457" s="11">
        <v>0.92</v>
      </c>
      <c r="G457" s="12">
        <v>0.01</v>
      </c>
      <c r="H457" s="13">
        <v>391</v>
      </c>
      <c r="I457" s="13"/>
      <c r="J457" s="14">
        <v>-6.1</v>
      </c>
      <c r="K457" s="15"/>
      <c r="L457" s="13">
        <v>0</v>
      </c>
      <c r="M457" s="13">
        <v>0</v>
      </c>
      <c r="N457" s="14">
        <v>-15.5</v>
      </c>
      <c r="O457" s="15"/>
    </row>
    <row r="458" spans="1:15" ht="16" x14ac:dyDescent="0.2">
      <c r="A458" s="7">
        <v>457</v>
      </c>
      <c r="B458" s="8" t="s">
        <v>464</v>
      </c>
      <c r="C458" s="8" t="s">
        <v>346</v>
      </c>
      <c r="D458" s="9" t="s">
        <v>190</v>
      </c>
      <c r="E458" s="13">
        <v>303.7</v>
      </c>
      <c r="F458" s="11">
        <v>1</v>
      </c>
      <c r="G458" s="12">
        <v>0.85</v>
      </c>
      <c r="H458" s="13">
        <v>328</v>
      </c>
      <c r="I458" s="13"/>
      <c r="J458" s="14">
        <v>-6.1</v>
      </c>
      <c r="K458" s="15"/>
      <c r="L458" s="13">
        <v>5</v>
      </c>
      <c r="M458" s="13">
        <v>1</v>
      </c>
      <c r="N458" s="14">
        <v>-11</v>
      </c>
      <c r="O458" s="15"/>
    </row>
    <row r="459" spans="1:15" ht="16" x14ac:dyDescent="0.2">
      <c r="A459" s="7">
        <v>458</v>
      </c>
      <c r="B459" s="8" t="s">
        <v>1136</v>
      </c>
      <c r="C459" s="8" t="s">
        <v>311</v>
      </c>
      <c r="D459" s="9" t="s">
        <v>196</v>
      </c>
      <c r="E459" s="13">
        <v>443.9</v>
      </c>
      <c r="F459" s="11">
        <v>1</v>
      </c>
      <c r="G459" s="12">
        <v>0.03</v>
      </c>
      <c r="H459" s="13"/>
      <c r="I459" s="13">
        <v>38.1</v>
      </c>
      <c r="J459" s="14">
        <v>-6.1</v>
      </c>
      <c r="K459" s="15"/>
      <c r="L459" s="13">
        <v>12</v>
      </c>
      <c r="M459" s="13">
        <v>8</v>
      </c>
      <c r="N459" s="14">
        <v>-5.3</v>
      </c>
      <c r="O459" s="15"/>
    </row>
    <row r="460" spans="1:15" ht="16" x14ac:dyDescent="0.2">
      <c r="A460" s="7">
        <v>459</v>
      </c>
      <c r="B460" s="8" t="s">
        <v>490</v>
      </c>
      <c r="C460" s="8" t="s">
        <v>326</v>
      </c>
      <c r="D460" s="9" t="s">
        <v>195</v>
      </c>
      <c r="E460" s="13">
        <v>362.5</v>
      </c>
      <c r="F460" s="11">
        <v>1</v>
      </c>
      <c r="G460" s="12">
        <v>0.38</v>
      </c>
      <c r="H460" s="13">
        <v>399</v>
      </c>
      <c r="I460" s="13"/>
      <c r="J460" s="14">
        <v>-6.2</v>
      </c>
      <c r="K460" s="15"/>
      <c r="L460" s="13">
        <v>5</v>
      </c>
      <c r="M460" s="13">
        <v>8</v>
      </c>
      <c r="N460" s="14">
        <v>-10.7</v>
      </c>
      <c r="O460" s="15"/>
    </row>
    <row r="461" spans="1:15" ht="16" x14ac:dyDescent="0.2">
      <c r="A461" s="7">
        <v>460</v>
      </c>
      <c r="B461" s="8" t="s">
        <v>1137</v>
      </c>
      <c r="C461" s="8" t="s">
        <v>335</v>
      </c>
      <c r="D461" s="9" t="s">
        <v>196</v>
      </c>
      <c r="E461" s="13">
        <v>426.9</v>
      </c>
      <c r="F461" s="11">
        <v>1</v>
      </c>
      <c r="G461" s="12">
        <v>0.03</v>
      </c>
      <c r="H461" s="13"/>
      <c r="I461" s="13">
        <v>102.1</v>
      </c>
      <c r="J461" s="14">
        <v>-6.3</v>
      </c>
      <c r="K461" s="15"/>
      <c r="L461" s="13">
        <v>1</v>
      </c>
      <c r="M461" s="13">
        <v>7</v>
      </c>
      <c r="N461" s="14">
        <v>-17</v>
      </c>
      <c r="O461" s="15"/>
    </row>
    <row r="462" spans="1:15" ht="16" x14ac:dyDescent="0.2">
      <c r="A462" s="7">
        <v>461</v>
      </c>
      <c r="B462" s="8" t="s">
        <v>595</v>
      </c>
      <c r="C462" s="8" t="s">
        <v>308</v>
      </c>
      <c r="D462" s="9" t="s">
        <v>193</v>
      </c>
      <c r="E462" s="13">
        <v>581.20000000000005</v>
      </c>
      <c r="F462" s="11">
        <v>0.98</v>
      </c>
      <c r="G462" s="12">
        <v>0.01</v>
      </c>
      <c r="H462" s="13">
        <v>326</v>
      </c>
      <c r="I462" s="13"/>
      <c r="J462" s="14">
        <v>-6.3</v>
      </c>
      <c r="K462" s="15"/>
      <c r="L462" s="13">
        <v>1</v>
      </c>
      <c r="M462" s="13">
        <v>1</v>
      </c>
      <c r="N462" s="14">
        <v>-21.3</v>
      </c>
      <c r="O462" s="15"/>
    </row>
    <row r="463" spans="1:15" ht="16" x14ac:dyDescent="0.2">
      <c r="A463" s="7">
        <v>462</v>
      </c>
      <c r="B463" s="8" t="s">
        <v>1138</v>
      </c>
      <c r="C463" s="8" t="s">
        <v>385</v>
      </c>
      <c r="D463" s="9" t="s">
        <v>196</v>
      </c>
      <c r="E463" s="13">
        <v>746.7</v>
      </c>
      <c r="F463" s="11">
        <v>0.53</v>
      </c>
      <c r="G463" s="12">
        <v>0</v>
      </c>
      <c r="H463" s="13"/>
      <c r="I463" s="13">
        <v>37</v>
      </c>
      <c r="J463" s="14">
        <v>-6.4</v>
      </c>
      <c r="K463" s="15"/>
      <c r="L463" s="13">
        <v>0</v>
      </c>
      <c r="M463" s="13">
        <v>1</v>
      </c>
      <c r="N463" s="14">
        <v>-23.6</v>
      </c>
      <c r="O463" s="15"/>
    </row>
    <row r="464" spans="1:15" ht="16" x14ac:dyDescent="0.2">
      <c r="A464" s="7">
        <v>463</v>
      </c>
      <c r="B464" s="8" t="s">
        <v>1139</v>
      </c>
      <c r="C464" s="8" t="s">
        <v>367</v>
      </c>
      <c r="D464" s="9" t="s">
        <v>196</v>
      </c>
      <c r="E464" s="13">
        <v>721.9</v>
      </c>
      <c r="F464" s="11">
        <v>0.38</v>
      </c>
      <c r="G464" s="12">
        <v>0</v>
      </c>
      <c r="H464" s="13"/>
      <c r="I464" s="13">
        <v>65</v>
      </c>
      <c r="J464" s="14">
        <v>-6.4</v>
      </c>
      <c r="K464" s="15"/>
      <c r="L464" s="13">
        <v>3</v>
      </c>
      <c r="M464" s="13">
        <v>1</v>
      </c>
      <c r="N464" s="14">
        <v>-23.6</v>
      </c>
      <c r="O464" s="15"/>
    </row>
    <row r="465" spans="1:15" ht="16" x14ac:dyDescent="0.2">
      <c r="A465" s="7">
        <v>464</v>
      </c>
      <c r="B465" s="8" t="s">
        <v>547</v>
      </c>
      <c r="C465" s="8" t="s">
        <v>350</v>
      </c>
      <c r="D465" s="9" t="s">
        <v>309</v>
      </c>
      <c r="E465" s="13">
        <v>476.9</v>
      </c>
      <c r="F465" s="11">
        <v>0.9</v>
      </c>
      <c r="G465" s="12">
        <v>0.06</v>
      </c>
      <c r="H465" s="13">
        <v>350</v>
      </c>
      <c r="I465" s="13"/>
      <c r="J465" s="14">
        <v>-6.5</v>
      </c>
      <c r="K465" s="15"/>
      <c r="L465" s="13">
        <v>0</v>
      </c>
      <c r="M465" s="13">
        <v>5</v>
      </c>
      <c r="N465" s="14">
        <v>-16.8</v>
      </c>
      <c r="O465" s="15"/>
    </row>
    <row r="466" spans="1:15" ht="16" x14ac:dyDescent="0.2">
      <c r="A466" s="7">
        <v>465</v>
      </c>
      <c r="B466" s="8" t="s">
        <v>550</v>
      </c>
      <c r="C466" s="8" t="s">
        <v>371</v>
      </c>
      <c r="D466" s="9" t="s">
        <v>191</v>
      </c>
      <c r="E466" s="13">
        <v>480.1</v>
      </c>
      <c r="F466" s="11">
        <v>1</v>
      </c>
      <c r="G466" s="12">
        <v>0.05</v>
      </c>
      <c r="H466" s="13">
        <v>535</v>
      </c>
      <c r="I466" s="13"/>
      <c r="J466" s="14">
        <v>-6.5</v>
      </c>
      <c r="K466" s="15"/>
      <c r="L466" s="13">
        <v>0</v>
      </c>
      <c r="M466" s="13">
        <v>1</v>
      </c>
      <c r="N466" s="14">
        <v>-22.3</v>
      </c>
      <c r="O466" s="15"/>
    </row>
    <row r="467" spans="1:15" ht="16" x14ac:dyDescent="0.2">
      <c r="A467" s="7">
        <v>466</v>
      </c>
      <c r="B467" s="8" t="s">
        <v>1140</v>
      </c>
      <c r="C467" s="8" t="s">
        <v>316</v>
      </c>
      <c r="D467" s="9" t="s">
        <v>197</v>
      </c>
      <c r="E467" s="13"/>
      <c r="F467" s="11">
        <v>0.02</v>
      </c>
      <c r="G467" s="12">
        <v>0</v>
      </c>
      <c r="H467" s="13"/>
      <c r="I467" s="13">
        <v>55.1</v>
      </c>
      <c r="J467" s="14">
        <v>-6.5</v>
      </c>
      <c r="K467" s="15"/>
      <c r="L467" s="13">
        <v>0</v>
      </c>
      <c r="M467" s="13">
        <v>4</v>
      </c>
      <c r="N467" s="14">
        <v>-17.600000000000001</v>
      </c>
      <c r="O467" s="15"/>
    </row>
    <row r="468" spans="1:15" ht="16" x14ac:dyDescent="0.2">
      <c r="A468" s="7">
        <v>467</v>
      </c>
      <c r="B468" s="8" t="s">
        <v>502</v>
      </c>
      <c r="C468" s="8" t="s">
        <v>307</v>
      </c>
      <c r="D468" s="9" t="s">
        <v>195</v>
      </c>
      <c r="E468" s="13">
        <v>389</v>
      </c>
      <c r="F468" s="11">
        <v>1</v>
      </c>
      <c r="G468" s="12">
        <v>0.22</v>
      </c>
      <c r="H468" s="13">
        <v>451</v>
      </c>
      <c r="I468" s="13"/>
      <c r="J468" s="14">
        <v>-6.6</v>
      </c>
      <c r="K468" s="15"/>
      <c r="L468" s="13">
        <v>8</v>
      </c>
      <c r="M468" s="13">
        <v>0</v>
      </c>
      <c r="N468" s="14">
        <v>-16.5</v>
      </c>
      <c r="O468" s="15"/>
    </row>
    <row r="469" spans="1:15" ht="16" x14ac:dyDescent="0.2">
      <c r="A469" s="7">
        <v>468</v>
      </c>
      <c r="B469" s="8" t="s">
        <v>767</v>
      </c>
      <c r="C469" s="9"/>
      <c r="D469" s="9" t="s">
        <v>195</v>
      </c>
      <c r="E469" s="13"/>
      <c r="F469" s="11">
        <v>0.01</v>
      </c>
      <c r="G469" s="12">
        <v>0</v>
      </c>
      <c r="H469" s="13">
        <v>346</v>
      </c>
      <c r="I469" s="13"/>
      <c r="J469" s="14">
        <v>-6.6</v>
      </c>
      <c r="K469" s="15"/>
      <c r="L469" s="13">
        <v>6</v>
      </c>
      <c r="M469" s="13">
        <v>0</v>
      </c>
      <c r="N469" s="14">
        <v>-20.6</v>
      </c>
      <c r="O469" s="15"/>
    </row>
    <row r="470" spans="1:15" ht="16" x14ac:dyDescent="0.2">
      <c r="A470" s="7">
        <v>469</v>
      </c>
      <c r="B470" s="8" t="s">
        <v>1141</v>
      </c>
      <c r="C470" s="8" t="s">
        <v>317</v>
      </c>
      <c r="D470" s="9" t="s">
        <v>196</v>
      </c>
      <c r="E470" s="13">
        <v>576.5</v>
      </c>
      <c r="F470" s="11">
        <v>1</v>
      </c>
      <c r="G470" s="12">
        <v>0.01</v>
      </c>
      <c r="H470" s="13"/>
      <c r="I470" s="13">
        <v>146.1</v>
      </c>
      <c r="J470" s="14">
        <v>-6.6</v>
      </c>
      <c r="K470" s="15"/>
      <c r="L470" s="13">
        <v>0</v>
      </c>
      <c r="M470" s="13">
        <v>5</v>
      </c>
      <c r="N470" s="14">
        <v>-9.6999999999999993</v>
      </c>
      <c r="O470" s="15"/>
    </row>
    <row r="471" spans="1:15" ht="16" x14ac:dyDescent="0.2">
      <c r="A471" s="7">
        <v>470</v>
      </c>
      <c r="B471" s="8" t="s">
        <v>646</v>
      </c>
      <c r="C471" s="8" t="s">
        <v>313</v>
      </c>
      <c r="D471" s="9" t="s">
        <v>193</v>
      </c>
      <c r="E471" s="13">
        <v>678.2</v>
      </c>
      <c r="F471" s="11">
        <v>0.83</v>
      </c>
      <c r="G471" s="12">
        <v>0</v>
      </c>
      <c r="H471" s="13">
        <v>301</v>
      </c>
      <c r="I471" s="13"/>
      <c r="J471" s="14">
        <v>-6.7</v>
      </c>
      <c r="K471" s="15"/>
      <c r="L471" s="13">
        <v>2</v>
      </c>
      <c r="M471" s="13">
        <v>1</v>
      </c>
      <c r="N471" s="14">
        <v>-21.5</v>
      </c>
      <c r="O471" s="15"/>
    </row>
    <row r="472" spans="1:15" ht="16" x14ac:dyDescent="0.2">
      <c r="A472" s="7">
        <v>471</v>
      </c>
      <c r="B472" s="8" t="s">
        <v>1142</v>
      </c>
      <c r="C472" s="8" t="s">
        <v>346</v>
      </c>
      <c r="D472" s="9" t="s">
        <v>197</v>
      </c>
      <c r="E472" s="13">
        <v>748.8</v>
      </c>
      <c r="F472" s="11">
        <v>0.21</v>
      </c>
      <c r="G472" s="12">
        <v>0</v>
      </c>
      <c r="H472" s="13"/>
      <c r="I472" s="13">
        <v>37.1</v>
      </c>
      <c r="J472" s="14">
        <v>-6.7</v>
      </c>
      <c r="K472" s="15"/>
      <c r="L472" s="13">
        <v>1</v>
      </c>
      <c r="M472" s="13">
        <v>2</v>
      </c>
      <c r="N472" s="14">
        <v>-12.4</v>
      </c>
      <c r="O472" s="15"/>
    </row>
    <row r="473" spans="1:15" ht="16" x14ac:dyDescent="0.2">
      <c r="A473" s="7">
        <v>472</v>
      </c>
      <c r="B473" s="8" t="s">
        <v>566</v>
      </c>
      <c r="C473" s="8" t="s">
        <v>342</v>
      </c>
      <c r="D473" s="9" t="s">
        <v>193</v>
      </c>
      <c r="E473" s="13">
        <v>509.8</v>
      </c>
      <c r="F473" s="11">
        <v>0.95</v>
      </c>
      <c r="G473" s="12">
        <v>0.03</v>
      </c>
      <c r="H473" s="13">
        <v>461</v>
      </c>
      <c r="I473" s="13"/>
      <c r="J473" s="14">
        <v>-6.7</v>
      </c>
      <c r="K473" s="15"/>
      <c r="L473" s="13">
        <v>1</v>
      </c>
      <c r="M473" s="13">
        <v>1</v>
      </c>
      <c r="N473" s="14">
        <v>-21</v>
      </c>
      <c r="O473" s="15"/>
    </row>
    <row r="474" spans="1:15" ht="16" x14ac:dyDescent="0.2">
      <c r="A474" s="7">
        <v>473</v>
      </c>
      <c r="B474" s="8" t="s">
        <v>1143</v>
      </c>
      <c r="C474" s="8" t="s">
        <v>995</v>
      </c>
      <c r="D474" s="9" t="s">
        <v>197</v>
      </c>
      <c r="E474" s="13">
        <v>750.1</v>
      </c>
      <c r="F474" s="11">
        <v>0.18</v>
      </c>
      <c r="G474" s="12">
        <v>0</v>
      </c>
      <c r="H474" s="13"/>
      <c r="I474" s="13">
        <v>51</v>
      </c>
      <c r="J474" s="14">
        <v>-6.7</v>
      </c>
      <c r="K474" s="15"/>
      <c r="L474" s="13">
        <v>0</v>
      </c>
      <c r="M474" s="13">
        <v>1</v>
      </c>
      <c r="N474" s="14">
        <v>-23.3</v>
      </c>
      <c r="O474" s="15"/>
    </row>
    <row r="475" spans="1:15" ht="16" x14ac:dyDescent="0.2">
      <c r="A475" s="7">
        <v>474</v>
      </c>
      <c r="B475" s="8" t="s">
        <v>1144</v>
      </c>
      <c r="C475" s="8" t="s">
        <v>308</v>
      </c>
      <c r="D475" s="9" t="s">
        <v>197</v>
      </c>
      <c r="E475" s="13"/>
      <c r="F475" s="11">
        <v>0.05</v>
      </c>
      <c r="G475" s="12">
        <v>0</v>
      </c>
      <c r="H475" s="13"/>
      <c r="I475" s="13">
        <v>38</v>
      </c>
      <c r="J475" s="14">
        <v>-6.7</v>
      </c>
      <c r="K475" s="15"/>
      <c r="L475" s="13">
        <v>0</v>
      </c>
      <c r="M475" s="13">
        <v>1</v>
      </c>
      <c r="N475" s="14">
        <v>-11.8</v>
      </c>
      <c r="O475" s="15"/>
    </row>
    <row r="476" spans="1:15" ht="16" x14ac:dyDescent="0.2">
      <c r="A476" s="7">
        <v>475</v>
      </c>
      <c r="B476" s="8" t="s">
        <v>669</v>
      </c>
      <c r="C476" s="8" t="s">
        <v>346</v>
      </c>
      <c r="D476" s="9" t="s">
        <v>190</v>
      </c>
      <c r="E476" s="13">
        <v>722.9</v>
      </c>
      <c r="F476" s="11">
        <v>0.51</v>
      </c>
      <c r="G476" s="12">
        <v>0.01</v>
      </c>
      <c r="H476" s="13">
        <v>328</v>
      </c>
      <c r="I476" s="13"/>
      <c r="J476" s="14">
        <v>-6.7</v>
      </c>
      <c r="K476" s="15"/>
      <c r="L476" s="13">
        <v>1</v>
      </c>
      <c r="M476" s="13">
        <v>4</v>
      </c>
      <c r="N476" s="14">
        <v>-19.600000000000001</v>
      </c>
      <c r="O476" s="15"/>
    </row>
    <row r="477" spans="1:15" ht="16" x14ac:dyDescent="0.2">
      <c r="A477" s="7">
        <v>476</v>
      </c>
      <c r="B477" s="8" t="s">
        <v>666</v>
      </c>
      <c r="C477" s="8" t="s">
        <v>322</v>
      </c>
      <c r="D477" s="9" t="s">
        <v>191</v>
      </c>
      <c r="E477" s="13">
        <v>715.4</v>
      </c>
      <c r="F477" s="11">
        <v>0.27</v>
      </c>
      <c r="G477" s="12">
        <v>0.01</v>
      </c>
      <c r="H477" s="13">
        <v>346</v>
      </c>
      <c r="I477" s="13"/>
      <c r="J477" s="14">
        <v>-6.7</v>
      </c>
      <c r="K477" s="15"/>
      <c r="L477" s="13">
        <v>0</v>
      </c>
      <c r="M477" s="13">
        <v>0</v>
      </c>
      <c r="N477" s="14">
        <v>-14.3</v>
      </c>
      <c r="O477" s="15"/>
    </row>
    <row r="478" spans="1:15" ht="16" x14ac:dyDescent="0.2">
      <c r="A478" s="7">
        <v>477</v>
      </c>
      <c r="B478" s="8" t="s">
        <v>1145</v>
      </c>
      <c r="C478" s="8" t="s">
        <v>319</v>
      </c>
      <c r="D478" s="9" t="s">
        <v>197</v>
      </c>
      <c r="E478" s="13">
        <v>749.4</v>
      </c>
      <c r="F478" s="11">
        <v>0.04</v>
      </c>
      <c r="G478" s="12">
        <v>0</v>
      </c>
      <c r="H478" s="13"/>
      <c r="I478" s="13">
        <v>72</v>
      </c>
      <c r="J478" s="14">
        <v>-6.8</v>
      </c>
      <c r="K478" s="15"/>
      <c r="L478" s="13">
        <v>6</v>
      </c>
      <c r="M478" s="13">
        <v>12</v>
      </c>
      <c r="N478" s="14">
        <v>1.1000000000000001</v>
      </c>
      <c r="O478" s="15"/>
    </row>
    <row r="479" spans="1:15" ht="16" x14ac:dyDescent="0.2">
      <c r="A479" s="7">
        <v>478</v>
      </c>
      <c r="B479" s="8" t="s">
        <v>612</v>
      </c>
      <c r="C479" s="8" t="s">
        <v>342</v>
      </c>
      <c r="D479" s="9" t="s">
        <v>504</v>
      </c>
      <c r="E479" s="13">
        <v>627.5</v>
      </c>
      <c r="F479" s="11">
        <v>0.95</v>
      </c>
      <c r="G479" s="12">
        <v>0.01</v>
      </c>
      <c r="H479" s="13">
        <v>459</v>
      </c>
      <c r="I479" s="13"/>
      <c r="J479" s="14">
        <v>-6.8</v>
      </c>
      <c r="K479" s="15"/>
      <c r="L479" s="13">
        <v>5</v>
      </c>
      <c r="M479" s="13">
        <v>7</v>
      </c>
      <c r="N479" s="14">
        <v>-6.6</v>
      </c>
      <c r="O479" s="15"/>
    </row>
    <row r="480" spans="1:15" ht="16" x14ac:dyDescent="0.2">
      <c r="A480" s="7">
        <v>479</v>
      </c>
      <c r="B480" s="8" t="s">
        <v>1146</v>
      </c>
      <c r="C480" s="8" t="s">
        <v>317</v>
      </c>
      <c r="D480" s="9" t="s">
        <v>197</v>
      </c>
      <c r="E480" s="13"/>
      <c r="F480" s="11">
        <v>0.01</v>
      </c>
      <c r="G480" s="12">
        <v>0</v>
      </c>
      <c r="H480" s="13"/>
      <c r="I480" s="13">
        <v>53.1</v>
      </c>
      <c r="J480" s="14">
        <v>-6.8</v>
      </c>
      <c r="K480" s="15"/>
      <c r="L480" s="13">
        <v>3</v>
      </c>
      <c r="M480" s="13">
        <v>5</v>
      </c>
      <c r="N480" s="14">
        <v>-7.9</v>
      </c>
      <c r="O480" s="15"/>
    </row>
    <row r="481" spans="1:15" ht="16" x14ac:dyDescent="0.2">
      <c r="A481" s="7">
        <v>480</v>
      </c>
      <c r="B481" s="8" t="s">
        <v>1147</v>
      </c>
      <c r="C481" s="8" t="s">
        <v>319</v>
      </c>
      <c r="D481" s="9" t="s">
        <v>197</v>
      </c>
      <c r="E481" s="13">
        <v>734.6</v>
      </c>
      <c r="F481" s="11">
        <v>0.3</v>
      </c>
      <c r="G481" s="12">
        <v>0</v>
      </c>
      <c r="H481" s="13"/>
      <c r="I481" s="13">
        <v>41.1</v>
      </c>
      <c r="J481" s="14">
        <v>-6.8</v>
      </c>
      <c r="K481" s="15"/>
      <c r="L481" s="13">
        <v>3</v>
      </c>
      <c r="M481" s="13">
        <v>3</v>
      </c>
      <c r="N481" s="14">
        <v>-10.6</v>
      </c>
      <c r="O481" s="15"/>
    </row>
    <row r="482" spans="1:15" ht="16" x14ac:dyDescent="0.2">
      <c r="A482" s="7">
        <v>481</v>
      </c>
      <c r="B482" s="8" t="s">
        <v>1148</v>
      </c>
      <c r="C482" s="8" t="s">
        <v>313</v>
      </c>
      <c r="D482" s="9" t="s">
        <v>197</v>
      </c>
      <c r="E482" s="13">
        <v>701.7</v>
      </c>
      <c r="F482" s="11">
        <v>0.71</v>
      </c>
      <c r="G482" s="12">
        <v>0.01</v>
      </c>
      <c r="H482" s="13"/>
      <c r="I482" s="13">
        <v>60</v>
      </c>
      <c r="J482" s="14">
        <v>-6.8</v>
      </c>
      <c r="K482" s="15"/>
      <c r="L482" s="13">
        <v>3</v>
      </c>
      <c r="M482" s="13">
        <v>2</v>
      </c>
      <c r="N482" s="14">
        <v>-11.1</v>
      </c>
      <c r="O482" s="15"/>
    </row>
    <row r="483" spans="1:15" ht="16" x14ac:dyDescent="0.2">
      <c r="A483" s="7">
        <v>482</v>
      </c>
      <c r="B483" s="8" t="s">
        <v>1149</v>
      </c>
      <c r="C483" s="8" t="s">
        <v>322</v>
      </c>
      <c r="D483" s="9" t="s">
        <v>196</v>
      </c>
      <c r="E483" s="13">
        <v>745.7</v>
      </c>
      <c r="F483" s="11">
        <v>0.03</v>
      </c>
      <c r="G483" s="12">
        <v>0</v>
      </c>
      <c r="H483" s="13"/>
      <c r="I483" s="13">
        <v>107.1</v>
      </c>
      <c r="J483" s="14">
        <v>-6.8</v>
      </c>
      <c r="K483" s="15"/>
      <c r="L483" s="13">
        <v>4</v>
      </c>
      <c r="M483" s="13">
        <v>6</v>
      </c>
      <c r="N483" s="14">
        <v>-11.5</v>
      </c>
      <c r="O483" s="15"/>
    </row>
    <row r="484" spans="1:15" ht="16" x14ac:dyDescent="0.2">
      <c r="A484" s="7">
        <v>483</v>
      </c>
      <c r="B484" s="8" t="s">
        <v>540</v>
      </c>
      <c r="C484" s="8" t="s">
        <v>342</v>
      </c>
      <c r="D484" s="9" t="s">
        <v>374</v>
      </c>
      <c r="E484" s="13">
        <v>458.5</v>
      </c>
      <c r="F484" s="11">
        <v>1</v>
      </c>
      <c r="G484" s="12">
        <v>0.11</v>
      </c>
      <c r="H484" s="13">
        <v>400</v>
      </c>
      <c r="I484" s="13"/>
      <c r="J484" s="14">
        <v>-6.8</v>
      </c>
      <c r="K484" s="15"/>
      <c r="L484" s="13">
        <v>0</v>
      </c>
      <c r="M484" s="13">
        <v>4</v>
      </c>
      <c r="N484" s="14">
        <v>-11.8</v>
      </c>
      <c r="O484" s="15"/>
    </row>
    <row r="485" spans="1:15" ht="16" x14ac:dyDescent="0.2">
      <c r="A485" s="7">
        <v>484</v>
      </c>
      <c r="B485" s="8" t="s">
        <v>609</v>
      </c>
      <c r="C485" s="8" t="s">
        <v>319</v>
      </c>
      <c r="D485" s="9" t="s">
        <v>365</v>
      </c>
      <c r="E485" s="13">
        <v>620.5</v>
      </c>
      <c r="F485" s="11">
        <v>0.78</v>
      </c>
      <c r="G485" s="12">
        <v>0.01</v>
      </c>
      <c r="H485" s="13">
        <v>309</v>
      </c>
      <c r="I485" s="13"/>
      <c r="J485" s="14">
        <v>-6.9</v>
      </c>
      <c r="K485" s="15"/>
      <c r="L485" s="13">
        <v>6</v>
      </c>
      <c r="M485" s="13">
        <v>2</v>
      </c>
      <c r="N485" s="14">
        <v>-12.6</v>
      </c>
      <c r="O485" s="15"/>
    </row>
    <row r="486" spans="1:15" ht="16" x14ac:dyDescent="0.2">
      <c r="A486" s="7">
        <v>485</v>
      </c>
      <c r="B486" s="8" t="s">
        <v>611</v>
      </c>
      <c r="C486" s="8" t="s">
        <v>385</v>
      </c>
      <c r="D486" s="9" t="s">
        <v>190</v>
      </c>
      <c r="E486" s="13">
        <v>627.4</v>
      </c>
      <c r="F486" s="11">
        <v>0.98</v>
      </c>
      <c r="G486" s="12">
        <v>0.05</v>
      </c>
      <c r="H486" s="13">
        <v>335</v>
      </c>
      <c r="I486" s="13"/>
      <c r="J486" s="14">
        <v>-6.9</v>
      </c>
      <c r="K486" s="15"/>
      <c r="L486" s="13">
        <v>2</v>
      </c>
      <c r="M486" s="13">
        <v>2</v>
      </c>
      <c r="N486" s="14">
        <v>-13.2</v>
      </c>
      <c r="O486" s="15"/>
    </row>
    <row r="487" spans="1:15" ht="16" x14ac:dyDescent="0.2">
      <c r="A487" s="7">
        <v>486</v>
      </c>
      <c r="B487" s="8" t="s">
        <v>1150</v>
      </c>
      <c r="C487" s="8" t="s">
        <v>326</v>
      </c>
      <c r="D487" s="9" t="s">
        <v>196</v>
      </c>
      <c r="E487" s="13">
        <v>248.3</v>
      </c>
      <c r="F487" s="11">
        <v>1</v>
      </c>
      <c r="G487" s="12">
        <v>0.91</v>
      </c>
      <c r="H487" s="13"/>
      <c r="I487" s="13">
        <v>66.099999999999994</v>
      </c>
      <c r="J487" s="14">
        <v>-7</v>
      </c>
      <c r="K487" s="15"/>
      <c r="L487" s="13">
        <v>0</v>
      </c>
      <c r="M487" s="13">
        <v>2</v>
      </c>
      <c r="N487" s="14">
        <v>-13.3</v>
      </c>
      <c r="O487" s="15"/>
    </row>
    <row r="488" spans="1:15" ht="16" x14ac:dyDescent="0.2">
      <c r="A488" s="7">
        <v>487</v>
      </c>
      <c r="B488" s="8" t="s">
        <v>1151</v>
      </c>
      <c r="C488" s="8" t="s">
        <v>331</v>
      </c>
      <c r="D488" s="9" t="s">
        <v>197</v>
      </c>
      <c r="E488" s="13">
        <v>711.3</v>
      </c>
      <c r="F488" s="11">
        <v>0.63</v>
      </c>
      <c r="G488" s="12">
        <v>0</v>
      </c>
      <c r="H488" s="13"/>
      <c r="I488" s="13">
        <v>56</v>
      </c>
      <c r="J488" s="14">
        <v>-7</v>
      </c>
      <c r="K488" s="15"/>
      <c r="L488" s="13">
        <v>0</v>
      </c>
      <c r="M488" s="13">
        <v>1</v>
      </c>
      <c r="N488" s="14">
        <v>-13.4</v>
      </c>
      <c r="O488" s="15"/>
    </row>
    <row r="489" spans="1:15" ht="16" x14ac:dyDescent="0.2">
      <c r="A489" s="7">
        <v>488</v>
      </c>
      <c r="B489" s="8" t="s">
        <v>1152</v>
      </c>
      <c r="C489" s="8" t="s">
        <v>362</v>
      </c>
      <c r="D489" s="9" t="s">
        <v>196</v>
      </c>
      <c r="E489" s="13">
        <v>726.9</v>
      </c>
      <c r="F489" s="11">
        <v>0.63</v>
      </c>
      <c r="G489" s="12">
        <v>0</v>
      </c>
      <c r="H489" s="13"/>
      <c r="I489" s="13">
        <v>98</v>
      </c>
      <c r="J489" s="14">
        <v>-7</v>
      </c>
      <c r="K489" s="15"/>
      <c r="L489" s="13">
        <v>2</v>
      </c>
      <c r="M489" s="13">
        <v>5</v>
      </c>
      <c r="N489" s="14">
        <v>-13.5</v>
      </c>
      <c r="O489" s="15"/>
    </row>
    <row r="490" spans="1:15" ht="16" x14ac:dyDescent="0.2">
      <c r="A490" s="7">
        <v>489</v>
      </c>
      <c r="B490" s="8" t="s">
        <v>1153</v>
      </c>
      <c r="C490" s="8" t="s">
        <v>354</v>
      </c>
      <c r="D490" s="9" t="s">
        <v>197</v>
      </c>
      <c r="E490" s="13">
        <v>378.2</v>
      </c>
      <c r="F490" s="11">
        <v>1</v>
      </c>
      <c r="G490" s="12">
        <v>0.18</v>
      </c>
      <c r="H490" s="13"/>
      <c r="I490" s="13">
        <v>59</v>
      </c>
      <c r="J490" s="14">
        <v>-7</v>
      </c>
      <c r="K490" s="15"/>
      <c r="L490" s="13">
        <v>9</v>
      </c>
      <c r="M490" s="13">
        <v>1</v>
      </c>
      <c r="N490" s="14">
        <v>-13.5</v>
      </c>
      <c r="O490" s="15"/>
    </row>
    <row r="491" spans="1:15" ht="16" x14ac:dyDescent="0.2">
      <c r="A491" s="7">
        <v>490</v>
      </c>
      <c r="B491" s="8" t="s">
        <v>19</v>
      </c>
      <c r="C491" s="8" t="s">
        <v>371</v>
      </c>
      <c r="D491" s="9" t="s">
        <v>195</v>
      </c>
      <c r="E491" s="13">
        <v>270.7</v>
      </c>
      <c r="F491" s="11">
        <v>1</v>
      </c>
      <c r="G491" s="12">
        <v>0.97</v>
      </c>
      <c r="H491" s="13">
        <v>261</v>
      </c>
      <c r="I491" s="13"/>
      <c r="J491" s="14">
        <v>-7</v>
      </c>
      <c r="K491" s="15"/>
      <c r="L491" s="13">
        <v>1</v>
      </c>
      <c r="M491" s="13">
        <v>0</v>
      </c>
      <c r="N491" s="14">
        <v>-13.7</v>
      </c>
      <c r="O491" s="15"/>
    </row>
    <row r="492" spans="1:15" ht="16" x14ac:dyDescent="0.2">
      <c r="A492" s="7">
        <v>491</v>
      </c>
      <c r="B492" s="8" t="s">
        <v>526</v>
      </c>
      <c r="C492" s="8" t="s">
        <v>331</v>
      </c>
      <c r="D492" s="9" t="s">
        <v>194</v>
      </c>
      <c r="E492" s="13">
        <v>434.9</v>
      </c>
      <c r="F492" s="11">
        <v>1</v>
      </c>
      <c r="G492" s="12">
        <v>0.08</v>
      </c>
      <c r="H492" s="13">
        <v>602</v>
      </c>
      <c r="I492" s="13"/>
      <c r="J492" s="14">
        <v>-7</v>
      </c>
      <c r="K492" s="15"/>
      <c r="L492" s="13">
        <v>0</v>
      </c>
      <c r="M492" s="13">
        <v>0</v>
      </c>
      <c r="N492" s="14">
        <v>-14</v>
      </c>
      <c r="O492" s="15"/>
    </row>
    <row r="493" spans="1:15" ht="16" x14ac:dyDescent="0.2">
      <c r="A493" s="7">
        <v>492</v>
      </c>
      <c r="B493" s="8" t="s">
        <v>1154</v>
      </c>
      <c r="C493" s="8" t="s">
        <v>371</v>
      </c>
      <c r="D493" s="9" t="s">
        <v>196</v>
      </c>
      <c r="E493" s="13">
        <v>303.5</v>
      </c>
      <c r="F493" s="11">
        <v>1</v>
      </c>
      <c r="G493" s="12">
        <v>0.79</v>
      </c>
      <c r="H493" s="13"/>
      <c r="I493" s="13">
        <v>64</v>
      </c>
      <c r="J493" s="14">
        <v>-7</v>
      </c>
      <c r="K493" s="15"/>
      <c r="L493" s="13">
        <v>6</v>
      </c>
      <c r="M493" s="13">
        <v>5</v>
      </c>
      <c r="N493" s="14">
        <v>-14.1</v>
      </c>
      <c r="O493" s="15"/>
    </row>
    <row r="494" spans="1:15" ht="16" x14ac:dyDescent="0.2">
      <c r="A494" s="7">
        <v>493</v>
      </c>
      <c r="B494" s="8" t="s">
        <v>1155</v>
      </c>
      <c r="C494" s="8" t="s">
        <v>995</v>
      </c>
      <c r="D494" s="9" t="s">
        <v>196</v>
      </c>
      <c r="E494" s="13">
        <v>723.2</v>
      </c>
      <c r="F494" s="11">
        <v>0.57999999999999996</v>
      </c>
      <c r="G494" s="12">
        <v>0.02</v>
      </c>
      <c r="H494" s="13"/>
      <c r="I494" s="13">
        <v>127.1</v>
      </c>
      <c r="J494" s="14">
        <v>-7.1</v>
      </c>
      <c r="K494" s="15"/>
      <c r="L494" s="13">
        <v>2</v>
      </c>
      <c r="M494" s="13">
        <v>2</v>
      </c>
      <c r="N494" s="14">
        <v>-14.2</v>
      </c>
      <c r="O494" s="15"/>
    </row>
    <row r="495" spans="1:15" ht="16" x14ac:dyDescent="0.2">
      <c r="A495" s="7">
        <v>494</v>
      </c>
      <c r="B495" s="8" t="s">
        <v>243</v>
      </c>
      <c r="C495" s="8" t="s">
        <v>362</v>
      </c>
      <c r="D495" s="9" t="s">
        <v>195</v>
      </c>
      <c r="E495" s="13">
        <v>186.6</v>
      </c>
      <c r="F495" s="11">
        <v>1</v>
      </c>
      <c r="G495" s="12">
        <v>0.87</v>
      </c>
      <c r="H495" s="13">
        <v>298</v>
      </c>
      <c r="I495" s="13"/>
      <c r="J495" s="14">
        <v>-7.2</v>
      </c>
      <c r="K495" s="15"/>
      <c r="L495" s="13">
        <v>0</v>
      </c>
      <c r="M495" s="13">
        <v>0</v>
      </c>
      <c r="N495" s="14">
        <v>-14.4</v>
      </c>
      <c r="O495" s="15"/>
    </row>
    <row r="496" spans="1:15" ht="16" x14ac:dyDescent="0.2">
      <c r="A496" s="7">
        <v>495</v>
      </c>
      <c r="B496" s="8" t="s">
        <v>520</v>
      </c>
      <c r="C496" s="8" t="s">
        <v>319</v>
      </c>
      <c r="D496" s="9" t="s">
        <v>192</v>
      </c>
      <c r="E496" s="13">
        <v>418</v>
      </c>
      <c r="F496" s="11">
        <v>1</v>
      </c>
      <c r="G496" s="12">
        <v>0.12</v>
      </c>
      <c r="H496" s="13">
        <v>469</v>
      </c>
      <c r="I496" s="13"/>
      <c r="J496" s="14">
        <v>-7.2</v>
      </c>
      <c r="K496" s="15"/>
      <c r="L496" s="13">
        <v>0</v>
      </c>
      <c r="M496" s="13">
        <v>1</v>
      </c>
      <c r="N496" s="14">
        <v>-14.6</v>
      </c>
      <c r="O496" s="15"/>
    </row>
    <row r="497" spans="1:15" ht="16" x14ac:dyDescent="0.2">
      <c r="A497" s="7">
        <v>496</v>
      </c>
      <c r="B497" s="8" t="s">
        <v>1156</v>
      </c>
      <c r="C497" s="8" t="s">
        <v>319</v>
      </c>
      <c r="D497" s="9" t="s">
        <v>196</v>
      </c>
      <c r="E497" s="13">
        <v>727.5</v>
      </c>
      <c r="F497" s="11">
        <v>0.55000000000000004</v>
      </c>
      <c r="G497" s="12">
        <v>0</v>
      </c>
      <c r="H497" s="13"/>
      <c r="I497" s="13">
        <v>60.1</v>
      </c>
      <c r="J497" s="14">
        <v>-7.2</v>
      </c>
      <c r="K497" s="15"/>
      <c r="L497" s="13">
        <v>0</v>
      </c>
      <c r="M497" s="13">
        <v>0</v>
      </c>
      <c r="N497" s="14">
        <v>-14.6</v>
      </c>
      <c r="O497" s="15"/>
    </row>
    <row r="498" spans="1:15" ht="16" x14ac:dyDescent="0.2">
      <c r="A498" s="7">
        <v>497</v>
      </c>
      <c r="B498" s="8" t="s">
        <v>618</v>
      </c>
      <c r="C498" s="8" t="s">
        <v>305</v>
      </c>
      <c r="D498" s="9" t="s">
        <v>328</v>
      </c>
      <c r="E498" s="13">
        <v>640.29999999999995</v>
      </c>
      <c r="F498" s="11">
        <v>0.94</v>
      </c>
      <c r="G498" s="12">
        <v>0.11</v>
      </c>
      <c r="H498" s="13">
        <v>393</v>
      </c>
      <c r="I498" s="13"/>
      <c r="J498" s="14">
        <v>-7.3</v>
      </c>
      <c r="K498" s="15"/>
      <c r="L498" s="13">
        <v>0</v>
      </c>
      <c r="M498" s="13">
        <v>2</v>
      </c>
      <c r="N498" s="14">
        <v>-14.7</v>
      </c>
      <c r="O498" s="15"/>
    </row>
    <row r="499" spans="1:15" ht="16" x14ac:dyDescent="0.2">
      <c r="A499" s="7">
        <v>498</v>
      </c>
      <c r="B499" s="8" t="s">
        <v>1157</v>
      </c>
      <c r="C499" s="8" t="s">
        <v>331</v>
      </c>
      <c r="D499" s="9" t="s">
        <v>197</v>
      </c>
      <c r="E499" s="13"/>
      <c r="F499" s="13"/>
      <c r="G499" s="16"/>
      <c r="H499" s="13"/>
      <c r="I499" s="13">
        <v>71</v>
      </c>
      <c r="J499" s="14">
        <v>-7.3</v>
      </c>
      <c r="K499" s="15"/>
      <c r="L499" s="13">
        <v>2</v>
      </c>
      <c r="M499" s="13">
        <v>3</v>
      </c>
      <c r="N499" s="14">
        <v>-14.8</v>
      </c>
      <c r="O499" s="15"/>
    </row>
    <row r="500" spans="1:15" ht="16" x14ac:dyDescent="0.2">
      <c r="A500" s="7">
        <v>499</v>
      </c>
      <c r="B500" s="8" t="s">
        <v>1158</v>
      </c>
      <c r="C500" s="8" t="s">
        <v>335</v>
      </c>
      <c r="D500" s="9" t="s">
        <v>197</v>
      </c>
      <c r="E500" s="13"/>
      <c r="F500" s="13"/>
      <c r="G500" s="16"/>
      <c r="H500" s="13"/>
      <c r="I500" s="13">
        <v>36</v>
      </c>
      <c r="J500" s="14">
        <v>-7.3</v>
      </c>
      <c r="K500" s="15"/>
      <c r="L500" s="13">
        <v>0</v>
      </c>
      <c r="M500" s="13">
        <v>1</v>
      </c>
      <c r="N500" s="14">
        <v>-14.8</v>
      </c>
      <c r="O500" s="15"/>
    </row>
    <row r="501" spans="1:15" ht="16" x14ac:dyDescent="0.2">
      <c r="A501" s="7">
        <v>500</v>
      </c>
      <c r="B501" s="8" t="s">
        <v>681</v>
      </c>
      <c r="C501" s="8" t="s">
        <v>323</v>
      </c>
      <c r="D501" s="9" t="s">
        <v>191</v>
      </c>
      <c r="E501" s="13">
        <v>735.7</v>
      </c>
      <c r="F501" s="11">
        <v>0.25</v>
      </c>
      <c r="G501" s="12">
        <v>0</v>
      </c>
      <c r="H501" s="13">
        <v>405</v>
      </c>
      <c r="I501" s="13"/>
      <c r="J501" s="14">
        <v>-7.4</v>
      </c>
      <c r="K501" s="15"/>
      <c r="L501" s="13">
        <v>0</v>
      </c>
      <c r="M501" s="13">
        <v>1</v>
      </c>
      <c r="N501" s="14">
        <v>-14.8</v>
      </c>
      <c r="O501" s="15"/>
    </row>
    <row r="502" spans="1:15" ht="16" x14ac:dyDescent="0.2">
      <c r="A502" s="7">
        <v>501</v>
      </c>
      <c r="B502" s="8" t="s">
        <v>577</v>
      </c>
      <c r="C502" s="8" t="s">
        <v>337</v>
      </c>
      <c r="D502" s="9" t="s">
        <v>578</v>
      </c>
      <c r="E502" s="13">
        <v>542.29999999999995</v>
      </c>
      <c r="F502" s="11">
        <v>1</v>
      </c>
      <c r="G502" s="12">
        <v>0.02</v>
      </c>
      <c r="H502" s="13">
        <v>346</v>
      </c>
      <c r="I502" s="13"/>
      <c r="J502" s="14">
        <v>-7.5</v>
      </c>
      <c r="K502" s="15"/>
      <c r="L502" s="13">
        <v>1</v>
      </c>
      <c r="M502" s="13">
        <v>5</v>
      </c>
      <c r="N502" s="14">
        <v>-14.9</v>
      </c>
      <c r="O502" s="15"/>
    </row>
    <row r="503" spans="1:15" ht="16" x14ac:dyDescent="0.2">
      <c r="A503" s="7">
        <v>502</v>
      </c>
      <c r="B503" s="8" t="s">
        <v>542</v>
      </c>
      <c r="C503" s="8" t="s">
        <v>316</v>
      </c>
      <c r="D503" s="9" t="s">
        <v>190</v>
      </c>
      <c r="E503" s="13">
        <v>466.1</v>
      </c>
      <c r="F503" s="11">
        <v>1</v>
      </c>
      <c r="G503" s="12">
        <v>0.18</v>
      </c>
      <c r="H503" s="13">
        <v>87</v>
      </c>
      <c r="I503" s="13"/>
      <c r="J503" s="14">
        <v>-7.5</v>
      </c>
      <c r="K503" s="15"/>
      <c r="L503" s="13">
        <v>0</v>
      </c>
      <c r="M503" s="13">
        <v>1</v>
      </c>
      <c r="N503" s="14">
        <v>-15</v>
      </c>
      <c r="O503" s="15"/>
    </row>
    <row r="504" spans="1:15" ht="16" x14ac:dyDescent="0.2">
      <c r="A504" s="7">
        <v>503</v>
      </c>
      <c r="B504" s="8" t="s">
        <v>638</v>
      </c>
      <c r="C504" s="8" t="s">
        <v>311</v>
      </c>
      <c r="D504" s="9" t="s">
        <v>195</v>
      </c>
      <c r="E504" s="13">
        <v>668.6</v>
      </c>
      <c r="F504" s="11">
        <v>0.88</v>
      </c>
      <c r="G504" s="12">
        <v>0.01</v>
      </c>
      <c r="H504" s="13">
        <v>353</v>
      </c>
      <c r="I504" s="13"/>
      <c r="J504" s="14">
        <v>-7.5</v>
      </c>
      <c r="K504" s="15"/>
      <c r="L504" s="13">
        <v>0</v>
      </c>
      <c r="M504" s="13">
        <v>1</v>
      </c>
      <c r="N504" s="14">
        <v>-15.1</v>
      </c>
      <c r="O504" s="15"/>
    </row>
    <row r="505" spans="1:15" ht="16" x14ac:dyDescent="0.2">
      <c r="A505" s="7">
        <v>504</v>
      </c>
      <c r="B505" s="8" t="s">
        <v>1159</v>
      </c>
      <c r="C505" s="9"/>
      <c r="D505" s="9" t="s">
        <v>197</v>
      </c>
      <c r="E505" s="13"/>
      <c r="F505" s="13"/>
      <c r="G505" s="16"/>
      <c r="H505" s="13"/>
      <c r="I505" s="13">
        <v>73</v>
      </c>
      <c r="J505" s="14">
        <v>-7.5</v>
      </c>
      <c r="K505" s="15"/>
      <c r="L505" s="13">
        <v>2</v>
      </c>
      <c r="M505" s="13">
        <v>0</v>
      </c>
      <c r="N505" s="14">
        <v>-15.3</v>
      </c>
      <c r="O505" s="15"/>
    </row>
    <row r="506" spans="1:15" ht="16" x14ac:dyDescent="0.2">
      <c r="A506" s="7">
        <v>505</v>
      </c>
      <c r="B506" s="8" t="s">
        <v>1160</v>
      </c>
      <c r="C506" s="8" t="s">
        <v>314</v>
      </c>
      <c r="D506" s="9" t="s">
        <v>197</v>
      </c>
      <c r="E506" s="13">
        <v>749.4</v>
      </c>
      <c r="F506" s="11">
        <v>0.03</v>
      </c>
      <c r="G506" s="12">
        <v>0</v>
      </c>
      <c r="H506" s="13"/>
      <c r="I506" s="13">
        <v>55</v>
      </c>
      <c r="J506" s="14">
        <v>-7.5</v>
      </c>
      <c r="K506" s="15"/>
      <c r="L506" s="13">
        <v>0</v>
      </c>
      <c r="M506" s="13">
        <v>4</v>
      </c>
      <c r="N506" s="14">
        <v>-15.4</v>
      </c>
      <c r="O506" s="15"/>
    </row>
    <row r="507" spans="1:15" ht="16" x14ac:dyDescent="0.2">
      <c r="A507" s="7">
        <v>506</v>
      </c>
      <c r="B507" s="8" t="s">
        <v>1161</v>
      </c>
      <c r="C507" s="8" t="s">
        <v>311</v>
      </c>
      <c r="D507" s="9" t="s">
        <v>197</v>
      </c>
      <c r="E507" s="13">
        <v>564.5</v>
      </c>
      <c r="F507" s="11">
        <v>1</v>
      </c>
      <c r="G507" s="12">
        <v>0.01</v>
      </c>
      <c r="H507" s="13"/>
      <c r="I507" s="13">
        <v>39.1</v>
      </c>
      <c r="J507" s="14">
        <v>-7.5</v>
      </c>
      <c r="K507" s="15"/>
      <c r="L507" s="13">
        <v>0</v>
      </c>
      <c r="M507" s="13">
        <v>0</v>
      </c>
      <c r="N507" s="14">
        <v>-15.4</v>
      </c>
      <c r="O507" s="15"/>
    </row>
    <row r="508" spans="1:15" ht="16" x14ac:dyDescent="0.2">
      <c r="A508" s="7">
        <v>507</v>
      </c>
      <c r="B508" s="8" t="s">
        <v>1162</v>
      </c>
      <c r="C508" s="8" t="s">
        <v>314</v>
      </c>
      <c r="D508" s="9" t="s">
        <v>196</v>
      </c>
      <c r="E508" s="13"/>
      <c r="F508" s="11">
        <v>0.01</v>
      </c>
      <c r="G508" s="12">
        <v>0</v>
      </c>
      <c r="H508" s="13"/>
      <c r="I508" s="13">
        <v>47</v>
      </c>
      <c r="J508" s="14">
        <v>-7.6</v>
      </c>
      <c r="K508" s="15"/>
      <c r="L508" s="13">
        <v>0</v>
      </c>
      <c r="M508" s="13">
        <v>0</v>
      </c>
      <c r="N508" s="14">
        <v>-15.5</v>
      </c>
      <c r="O508" s="15"/>
    </row>
    <row r="509" spans="1:15" ht="16" x14ac:dyDescent="0.2">
      <c r="A509" s="7">
        <v>508</v>
      </c>
      <c r="B509" s="8" t="s">
        <v>1163</v>
      </c>
      <c r="C509" s="8" t="s">
        <v>316</v>
      </c>
      <c r="D509" s="9" t="s">
        <v>197</v>
      </c>
      <c r="E509" s="13"/>
      <c r="F509" s="13"/>
      <c r="G509" s="16"/>
      <c r="H509" s="13"/>
      <c r="I509" s="13">
        <v>59.1</v>
      </c>
      <c r="J509" s="14">
        <v>-7.6</v>
      </c>
      <c r="K509" s="15"/>
      <c r="L509" s="13">
        <v>0</v>
      </c>
      <c r="M509" s="13">
        <v>0</v>
      </c>
      <c r="N509" s="14">
        <v>-15.6</v>
      </c>
      <c r="O509" s="15"/>
    </row>
    <row r="510" spans="1:15" ht="16" x14ac:dyDescent="0.2">
      <c r="A510" s="7">
        <v>509</v>
      </c>
      <c r="B510" s="8" t="s">
        <v>1164</v>
      </c>
      <c r="C510" s="9"/>
      <c r="D510" s="9" t="s">
        <v>197</v>
      </c>
      <c r="E510" s="13">
        <v>750.8</v>
      </c>
      <c r="F510" s="11">
        <v>0.01</v>
      </c>
      <c r="G510" s="12">
        <v>0</v>
      </c>
      <c r="H510" s="13"/>
      <c r="I510" s="13">
        <v>64</v>
      </c>
      <c r="J510" s="14">
        <v>-7.7</v>
      </c>
      <c r="K510" s="15"/>
      <c r="L510" s="13">
        <v>0</v>
      </c>
      <c r="M510" s="13">
        <v>0</v>
      </c>
      <c r="N510" s="14">
        <v>-15.6</v>
      </c>
      <c r="O510" s="15"/>
    </row>
    <row r="511" spans="1:15" ht="16" x14ac:dyDescent="0.2">
      <c r="A511" s="7">
        <v>510</v>
      </c>
      <c r="B511" s="8" t="s">
        <v>1165</v>
      </c>
      <c r="C511" s="8" t="s">
        <v>350</v>
      </c>
      <c r="D511" s="9" t="s">
        <v>196</v>
      </c>
      <c r="E511" s="13">
        <v>727.3</v>
      </c>
      <c r="F511" s="11">
        <v>0.76</v>
      </c>
      <c r="G511" s="12">
        <v>0</v>
      </c>
      <c r="H511" s="13"/>
      <c r="I511" s="13">
        <v>44</v>
      </c>
      <c r="J511" s="14">
        <v>-7.8</v>
      </c>
      <c r="K511" s="15"/>
      <c r="L511" s="13">
        <v>0</v>
      </c>
      <c r="M511" s="13">
        <v>0</v>
      </c>
      <c r="N511" s="14">
        <v>-15.6</v>
      </c>
      <c r="O511" s="15"/>
    </row>
    <row r="512" spans="1:15" ht="16" x14ac:dyDescent="0.2">
      <c r="A512" s="7">
        <v>511</v>
      </c>
      <c r="B512" s="8" t="s">
        <v>1166</v>
      </c>
      <c r="C512" s="8" t="s">
        <v>334</v>
      </c>
      <c r="D512" s="9" t="s">
        <v>197</v>
      </c>
      <c r="E512" s="13">
        <v>621.79999999999995</v>
      </c>
      <c r="F512" s="11">
        <v>0.87</v>
      </c>
      <c r="G512" s="12">
        <v>0.02</v>
      </c>
      <c r="H512" s="13"/>
      <c r="I512" s="13">
        <v>71.099999999999994</v>
      </c>
      <c r="J512" s="14">
        <v>-7.8</v>
      </c>
      <c r="K512" s="15"/>
      <c r="L512" s="13">
        <v>0</v>
      </c>
      <c r="M512" s="13">
        <v>0</v>
      </c>
      <c r="N512" s="14">
        <v>-15.7</v>
      </c>
      <c r="O512" s="15"/>
    </row>
    <row r="513" spans="1:15" ht="16" x14ac:dyDescent="0.2">
      <c r="A513" s="7">
        <v>512</v>
      </c>
      <c r="B513" s="8" t="s">
        <v>1167</v>
      </c>
      <c r="C513" s="8" t="s">
        <v>311</v>
      </c>
      <c r="D513" s="9" t="s">
        <v>196</v>
      </c>
      <c r="E513" s="13">
        <v>240.5</v>
      </c>
      <c r="F513" s="11">
        <v>1</v>
      </c>
      <c r="G513" s="12">
        <v>0.99</v>
      </c>
      <c r="H513" s="13"/>
      <c r="I513" s="13">
        <v>76</v>
      </c>
      <c r="J513" s="14">
        <v>-7.8</v>
      </c>
      <c r="K513" s="15"/>
      <c r="L513" s="13">
        <v>0</v>
      </c>
      <c r="M513" s="13">
        <v>0</v>
      </c>
      <c r="N513" s="14">
        <v>-15.8</v>
      </c>
      <c r="O513" s="15"/>
    </row>
    <row r="514" spans="1:15" ht="16" x14ac:dyDescent="0.2">
      <c r="A514" s="7">
        <v>513</v>
      </c>
      <c r="B514" s="8" t="s">
        <v>1168</v>
      </c>
      <c r="C514" s="8" t="s">
        <v>334</v>
      </c>
      <c r="D514" s="9" t="s">
        <v>197</v>
      </c>
      <c r="E514" s="13">
        <v>750.4</v>
      </c>
      <c r="F514" s="11">
        <v>0.02</v>
      </c>
      <c r="G514" s="12">
        <v>0</v>
      </c>
      <c r="H514" s="13"/>
      <c r="I514" s="13">
        <v>50.1</v>
      </c>
      <c r="J514" s="14">
        <v>-7.8</v>
      </c>
      <c r="K514" s="15"/>
      <c r="L514" s="13">
        <v>0</v>
      </c>
      <c r="M514" s="13">
        <v>5</v>
      </c>
      <c r="N514" s="14">
        <v>-15.8</v>
      </c>
      <c r="O514" s="15"/>
    </row>
    <row r="515" spans="1:15" ht="16" x14ac:dyDescent="0.2">
      <c r="A515" s="7">
        <v>514</v>
      </c>
      <c r="B515" s="8" t="s">
        <v>531</v>
      </c>
      <c r="C515" s="8" t="s">
        <v>354</v>
      </c>
      <c r="D515" s="9" t="s">
        <v>191</v>
      </c>
      <c r="E515" s="13">
        <v>441.8</v>
      </c>
      <c r="F515" s="11">
        <v>1</v>
      </c>
      <c r="G515" s="12">
        <v>0.06</v>
      </c>
      <c r="H515" s="13">
        <v>401</v>
      </c>
      <c r="I515" s="13"/>
      <c r="J515" s="14">
        <v>-7.8</v>
      </c>
      <c r="K515" s="15"/>
      <c r="L515" s="13">
        <v>5</v>
      </c>
      <c r="M515" s="13">
        <v>5</v>
      </c>
      <c r="N515" s="14">
        <v>-16.2</v>
      </c>
      <c r="O515" s="15"/>
    </row>
    <row r="516" spans="1:15" ht="16" x14ac:dyDescent="0.2">
      <c r="A516" s="7">
        <v>515</v>
      </c>
      <c r="B516" s="8" t="s">
        <v>623</v>
      </c>
      <c r="C516" s="8" t="s">
        <v>317</v>
      </c>
      <c r="D516" s="9" t="s">
        <v>374</v>
      </c>
      <c r="E516" s="13">
        <v>641.79999999999995</v>
      </c>
      <c r="F516" s="11">
        <v>0.48</v>
      </c>
      <c r="G516" s="12">
        <v>0.01</v>
      </c>
      <c r="H516" s="13">
        <v>416</v>
      </c>
      <c r="I516" s="13"/>
      <c r="J516" s="14">
        <v>-7.8</v>
      </c>
      <c r="K516" s="15"/>
      <c r="L516" s="13">
        <v>1</v>
      </c>
      <c r="M516" s="13">
        <v>5</v>
      </c>
      <c r="N516" s="14">
        <v>-16.3</v>
      </c>
      <c r="O516" s="15"/>
    </row>
    <row r="517" spans="1:15" ht="16" x14ac:dyDescent="0.2">
      <c r="A517" s="7">
        <v>516</v>
      </c>
      <c r="B517" s="8" t="s">
        <v>640</v>
      </c>
      <c r="C517" s="8" t="s">
        <v>367</v>
      </c>
      <c r="D517" s="9" t="s">
        <v>384</v>
      </c>
      <c r="E517" s="13">
        <v>671.8</v>
      </c>
      <c r="F517" s="11">
        <v>0.77</v>
      </c>
      <c r="G517" s="12">
        <v>0.02</v>
      </c>
      <c r="H517" s="13">
        <v>311</v>
      </c>
      <c r="I517" s="13"/>
      <c r="J517" s="14">
        <v>-7.9</v>
      </c>
      <c r="K517" s="15"/>
      <c r="L517" s="13">
        <v>3</v>
      </c>
      <c r="M517" s="13">
        <v>3</v>
      </c>
      <c r="N517" s="14">
        <v>-16.7</v>
      </c>
      <c r="O517" s="15"/>
    </row>
    <row r="518" spans="1:15" ht="16" x14ac:dyDescent="0.2">
      <c r="A518" s="7">
        <v>517</v>
      </c>
      <c r="B518" s="8" t="s">
        <v>1169</v>
      </c>
      <c r="C518" s="8" t="s">
        <v>325</v>
      </c>
      <c r="D518" s="9" t="s">
        <v>196</v>
      </c>
      <c r="E518" s="13">
        <v>738.7</v>
      </c>
      <c r="F518" s="11">
        <v>0.43</v>
      </c>
      <c r="G518" s="12">
        <v>0</v>
      </c>
      <c r="H518" s="13"/>
      <c r="I518" s="13">
        <v>49.1</v>
      </c>
      <c r="J518" s="14">
        <v>-7.9</v>
      </c>
      <c r="K518" s="15"/>
      <c r="L518" s="13">
        <v>2</v>
      </c>
      <c r="M518" s="13">
        <v>5</v>
      </c>
      <c r="N518" s="14">
        <v>-16.8</v>
      </c>
      <c r="O518" s="15"/>
    </row>
    <row r="519" spans="1:15" ht="16" x14ac:dyDescent="0.2">
      <c r="A519" s="7">
        <v>518</v>
      </c>
      <c r="B519" s="8" t="s">
        <v>768</v>
      </c>
      <c r="C519" s="8" t="s">
        <v>320</v>
      </c>
      <c r="D519" s="9" t="s">
        <v>190</v>
      </c>
      <c r="E519" s="13"/>
      <c r="F519" s="11">
        <v>0.01</v>
      </c>
      <c r="G519" s="12">
        <v>0</v>
      </c>
      <c r="H519" s="13">
        <v>147</v>
      </c>
      <c r="I519" s="13"/>
      <c r="J519" s="14">
        <v>-7.9</v>
      </c>
      <c r="K519" s="15"/>
      <c r="L519" s="13">
        <v>1</v>
      </c>
      <c r="M519" s="13">
        <v>7</v>
      </c>
      <c r="N519" s="14">
        <v>-16.8</v>
      </c>
      <c r="O519" s="15"/>
    </row>
    <row r="520" spans="1:15" ht="16" x14ac:dyDescent="0.2">
      <c r="A520" s="7">
        <v>519</v>
      </c>
      <c r="B520" s="8" t="s">
        <v>1170</v>
      </c>
      <c r="C520" s="8" t="s">
        <v>317</v>
      </c>
      <c r="D520" s="9" t="s">
        <v>197</v>
      </c>
      <c r="E520" s="13">
        <v>614.4</v>
      </c>
      <c r="F520" s="11">
        <v>0.97</v>
      </c>
      <c r="G520" s="12">
        <v>0.01</v>
      </c>
      <c r="H520" s="13"/>
      <c r="I520" s="13">
        <v>63.1</v>
      </c>
      <c r="J520" s="14">
        <v>-8</v>
      </c>
      <c r="K520" s="15"/>
      <c r="L520" s="13">
        <v>5</v>
      </c>
      <c r="M520" s="13">
        <v>8</v>
      </c>
      <c r="N520" s="14">
        <v>-17.3</v>
      </c>
      <c r="O520" s="15"/>
    </row>
    <row r="521" spans="1:15" ht="16" x14ac:dyDescent="0.2">
      <c r="A521" s="7">
        <v>520</v>
      </c>
      <c r="B521" s="8" t="s">
        <v>1171</v>
      </c>
      <c r="C521" s="8" t="s">
        <v>350</v>
      </c>
      <c r="D521" s="9" t="s">
        <v>196</v>
      </c>
      <c r="E521" s="13">
        <v>692.3</v>
      </c>
      <c r="F521" s="11">
        <v>0.75</v>
      </c>
      <c r="G521" s="12">
        <v>0</v>
      </c>
      <c r="H521" s="13"/>
      <c r="I521" s="13">
        <v>124</v>
      </c>
      <c r="J521" s="14">
        <v>-8</v>
      </c>
      <c r="K521" s="15"/>
      <c r="L521" s="13">
        <v>0</v>
      </c>
      <c r="M521" s="13">
        <v>0</v>
      </c>
      <c r="N521" s="14">
        <v>-17.3</v>
      </c>
      <c r="O521" s="15"/>
    </row>
    <row r="522" spans="1:15" ht="16" x14ac:dyDescent="0.2">
      <c r="A522" s="7">
        <v>521</v>
      </c>
      <c r="B522" s="8" t="s">
        <v>218</v>
      </c>
      <c r="C522" s="8" t="s">
        <v>326</v>
      </c>
      <c r="D522" s="9" t="s">
        <v>475</v>
      </c>
      <c r="E522" s="13">
        <v>519.79999999999995</v>
      </c>
      <c r="F522" s="11">
        <v>0.98</v>
      </c>
      <c r="G522" s="12">
        <v>0.03</v>
      </c>
      <c r="H522" s="13">
        <v>274</v>
      </c>
      <c r="I522" s="13"/>
      <c r="J522" s="14">
        <v>-8</v>
      </c>
      <c r="K522" s="15"/>
      <c r="L522" s="13">
        <v>0</v>
      </c>
      <c r="M522" s="13">
        <v>5</v>
      </c>
      <c r="N522" s="14">
        <v>-17.3</v>
      </c>
      <c r="O522" s="15"/>
    </row>
    <row r="523" spans="1:15" ht="16" x14ac:dyDescent="0.2">
      <c r="A523" s="7">
        <v>522</v>
      </c>
      <c r="B523" s="8" t="s">
        <v>1172</v>
      </c>
      <c r="C523" s="8" t="s">
        <v>385</v>
      </c>
      <c r="D523" s="9" t="s">
        <v>196</v>
      </c>
      <c r="E523" s="13">
        <v>384.8</v>
      </c>
      <c r="F523" s="11">
        <v>1</v>
      </c>
      <c r="G523" s="12">
        <v>0.21</v>
      </c>
      <c r="H523" s="13"/>
      <c r="I523" s="13">
        <v>96</v>
      </c>
      <c r="J523" s="14">
        <v>-8.1</v>
      </c>
      <c r="K523" s="15"/>
      <c r="L523" s="13">
        <v>5</v>
      </c>
      <c r="M523" s="13">
        <v>3</v>
      </c>
      <c r="N523" s="14">
        <v>-17.3</v>
      </c>
      <c r="O523" s="15"/>
    </row>
    <row r="524" spans="1:15" ht="16" x14ac:dyDescent="0.2">
      <c r="A524" s="7">
        <v>523</v>
      </c>
      <c r="B524" s="8" t="s">
        <v>539</v>
      </c>
      <c r="C524" s="8" t="s">
        <v>385</v>
      </c>
      <c r="D524" s="9" t="s">
        <v>191</v>
      </c>
      <c r="E524" s="13">
        <v>454.7</v>
      </c>
      <c r="F524" s="11">
        <v>1</v>
      </c>
      <c r="G524" s="12">
        <v>0.09</v>
      </c>
      <c r="H524" s="13">
        <v>272</v>
      </c>
      <c r="I524" s="13"/>
      <c r="J524" s="14">
        <v>-8.1</v>
      </c>
      <c r="K524" s="15"/>
      <c r="L524" s="13">
        <v>11</v>
      </c>
      <c r="M524" s="13">
        <v>1</v>
      </c>
      <c r="N524" s="14">
        <v>-17.3</v>
      </c>
      <c r="O524" s="15"/>
    </row>
    <row r="525" spans="1:15" ht="16" x14ac:dyDescent="0.2">
      <c r="A525" s="7">
        <v>524</v>
      </c>
      <c r="B525" s="8" t="s">
        <v>576</v>
      </c>
      <c r="C525" s="8" t="s">
        <v>350</v>
      </c>
      <c r="D525" s="9" t="s">
        <v>193</v>
      </c>
      <c r="E525" s="13">
        <v>537.20000000000005</v>
      </c>
      <c r="F525" s="11">
        <v>0.87</v>
      </c>
      <c r="G525" s="12">
        <v>0.01</v>
      </c>
      <c r="H525" s="13">
        <v>476</v>
      </c>
      <c r="I525" s="13"/>
      <c r="J525" s="14">
        <v>-8.1</v>
      </c>
      <c r="K525" s="15"/>
      <c r="L525" s="13">
        <v>3</v>
      </c>
      <c r="M525" s="13">
        <v>3</v>
      </c>
      <c r="N525" s="14">
        <v>-17.399999999999999</v>
      </c>
      <c r="O525" s="15"/>
    </row>
    <row r="526" spans="1:15" ht="16" x14ac:dyDescent="0.2">
      <c r="A526" s="7">
        <v>525</v>
      </c>
      <c r="B526" s="8" t="s">
        <v>1173</v>
      </c>
      <c r="C526" s="8" t="s">
        <v>335</v>
      </c>
      <c r="D526" s="9" t="s">
        <v>197</v>
      </c>
      <c r="E526" s="13">
        <v>323.39999999999998</v>
      </c>
      <c r="F526" s="11">
        <v>0.76</v>
      </c>
      <c r="G526" s="12">
        <v>0.36</v>
      </c>
      <c r="H526" s="13"/>
      <c r="I526" s="13">
        <v>44</v>
      </c>
      <c r="J526" s="14">
        <v>-8.1</v>
      </c>
      <c r="K526" s="15"/>
      <c r="L526" s="13">
        <v>0</v>
      </c>
      <c r="M526" s="13">
        <v>4</v>
      </c>
      <c r="N526" s="14">
        <v>-17.7</v>
      </c>
      <c r="O526" s="15"/>
    </row>
    <row r="527" spans="1:15" ht="16" x14ac:dyDescent="0.2">
      <c r="A527" s="7">
        <v>526</v>
      </c>
      <c r="B527" s="8" t="s">
        <v>1174</v>
      </c>
      <c r="C527" s="8" t="s">
        <v>322</v>
      </c>
      <c r="D527" s="9" t="s">
        <v>197</v>
      </c>
      <c r="E527" s="13"/>
      <c r="F527" s="13"/>
      <c r="G527" s="16"/>
      <c r="H527" s="13"/>
      <c r="I527" s="13">
        <v>51</v>
      </c>
      <c r="J527" s="14">
        <v>-8.1</v>
      </c>
      <c r="K527" s="15"/>
      <c r="L527" s="13">
        <v>2</v>
      </c>
      <c r="M527" s="13">
        <v>2</v>
      </c>
      <c r="N527" s="14">
        <v>-18.100000000000001</v>
      </c>
      <c r="O527" s="15"/>
    </row>
    <row r="528" spans="1:15" ht="16" x14ac:dyDescent="0.2">
      <c r="A528" s="7">
        <v>527</v>
      </c>
      <c r="B528" s="8" t="s">
        <v>1175</v>
      </c>
      <c r="C528" s="8" t="s">
        <v>354</v>
      </c>
      <c r="D528" s="9" t="s">
        <v>196</v>
      </c>
      <c r="E528" s="13">
        <v>442.9</v>
      </c>
      <c r="F528" s="11">
        <v>1</v>
      </c>
      <c r="G528" s="12">
        <v>0.08</v>
      </c>
      <c r="H528" s="13"/>
      <c r="I528" s="13">
        <v>109.1</v>
      </c>
      <c r="J528" s="14">
        <v>-8.1999999999999993</v>
      </c>
      <c r="K528" s="15"/>
      <c r="L528" s="13">
        <v>1</v>
      </c>
      <c r="M528" s="13">
        <v>5</v>
      </c>
      <c r="N528" s="14">
        <v>-18.3</v>
      </c>
      <c r="O528" s="15"/>
    </row>
    <row r="529" spans="1:15" ht="16" x14ac:dyDescent="0.2">
      <c r="A529" s="7">
        <v>528</v>
      </c>
      <c r="B529" s="8" t="s">
        <v>1176</v>
      </c>
      <c r="C529" s="8" t="s">
        <v>317</v>
      </c>
      <c r="D529" s="9" t="s">
        <v>197</v>
      </c>
      <c r="E529" s="13">
        <v>726.3</v>
      </c>
      <c r="F529" s="11">
        <v>0.53</v>
      </c>
      <c r="G529" s="12">
        <v>0</v>
      </c>
      <c r="H529" s="13"/>
      <c r="I529" s="13">
        <v>62.1</v>
      </c>
      <c r="J529" s="14">
        <v>-8.1999999999999993</v>
      </c>
      <c r="K529" s="15"/>
      <c r="L529" s="13">
        <v>6</v>
      </c>
      <c r="M529" s="13">
        <v>1</v>
      </c>
      <c r="N529" s="14">
        <v>-18.5</v>
      </c>
      <c r="O529" s="15"/>
    </row>
    <row r="530" spans="1:15" ht="16" x14ac:dyDescent="0.2">
      <c r="A530" s="7">
        <v>529</v>
      </c>
      <c r="B530" s="8" t="s">
        <v>1177</v>
      </c>
      <c r="C530" s="8" t="s">
        <v>995</v>
      </c>
      <c r="D530" s="9" t="s">
        <v>196</v>
      </c>
      <c r="E530" s="13">
        <v>575.4</v>
      </c>
      <c r="F530" s="11">
        <v>0.99</v>
      </c>
      <c r="G530" s="12">
        <v>0.04</v>
      </c>
      <c r="H530" s="13"/>
      <c r="I530" s="13">
        <v>151</v>
      </c>
      <c r="J530" s="14">
        <v>-8.1999999999999993</v>
      </c>
      <c r="K530" s="15"/>
      <c r="L530" s="13">
        <v>0</v>
      </c>
      <c r="M530" s="13">
        <v>4</v>
      </c>
      <c r="N530" s="14">
        <v>-18.899999999999999</v>
      </c>
      <c r="O530" s="15"/>
    </row>
    <row r="531" spans="1:15" ht="16" x14ac:dyDescent="0.2">
      <c r="A531" s="7">
        <v>530</v>
      </c>
      <c r="B531" s="8" t="s">
        <v>1178</v>
      </c>
      <c r="C531" s="8" t="s">
        <v>371</v>
      </c>
      <c r="D531" s="9" t="s">
        <v>197</v>
      </c>
      <c r="E531" s="13"/>
      <c r="F531" s="13"/>
      <c r="G531" s="16"/>
      <c r="H531" s="13"/>
      <c r="I531" s="13">
        <v>79</v>
      </c>
      <c r="J531" s="14">
        <v>-8.1999999999999993</v>
      </c>
      <c r="K531" s="15"/>
      <c r="L531" s="13">
        <v>6</v>
      </c>
      <c r="M531" s="13">
        <v>3</v>
      </c>
      <c r="N531" s="14">
        <v>-19.100000000000001</v>
      </c>
      <c r="O531" s="15"/>
    </row>
    <row r="532" spans="1:15" ht="16" x14ac:dyDescent="0.2">
      <c r="A532" s="7">
        <v>531</v>
      </c>
      <c r="B532" s="8" t="s">
        <v>561</v>
      </c>
      <c r="C532" s="8" t="s">
        <v>346</v>
      </c>
      <c r="D532" s="9" t="s">
        <v>431</v>
      </c>
      <c r="E532" s="13">
        <v>502.8</v>
      </c>
      <c r="F532" s="11">
        <v>1</v>
      </c>
      <c r="G532" s="12">
        <v>0.03</v>
      </c>
      <c r="H532" s="13">
        <v>316</v>
      </c>
      <c r="I532" s="13"/>
      <c r="J532" s="14">
        <v>-8.1999999999999993</v>
      </c>
      <c r="K532" s="15"/>
      <c r="L532" s="13">
        <v>3</v>
      </c>
      <c r="M532" s="13">
        <v>0</v>
      </c>
      <c r="N532" s="14">
        <v>-19.3</v>
      </c>
      <c r="O532" s="15"/>
    </row>
    <row r="533" spans="1:15" ht="16" x14ac:dyDescent="0.2">
      <c r="A533" s="7">
        <v>532</v>
      </c>
      <c r="B533" s="8" t="s">
        <v>1179</v>
      </c>
      <c r="C533" s="8" t="s">
        <v>326</v>
      </c>
      <c r="D533" s="9" t="s">
        <v>197</v>
      </c>
      <c r="E533" s="13">
        <v>642</v>
      </c>
      <c r="F533" s="11">
        <v>0.98</v>
      </c>
      <c r="G533" s="12">
        <v>0.02</v>
      </c>
      <c r="H533" s="13"/>
      <c r="I533" s="13">
        <v>61.1</v>
      </c>
      <c r="J533" s="14">
        <v>-8.1999999999999993</v>
      </c>
      <c r="K533" s="15"/>
      <c r="L533" s="13">
        <v>3</v>
      </c>
      <c r="M533" s="13">
        <v>1</v>
      </c>
      <c r="N533" s="14">
        <v>-19.399999999999999</v>
      </c>
      <c r="O533" s="15"/>
    </row>
    <row r="534" spans="1:15" ht="16" x14ac:dyDescent="0.2">
      <c r="A534" s="7">
        <v>533</v>
      </c>
      <c r="B534" s="8" t="s">
        <v>1180</v>
      </c>
      <c r="C534" s="8" t="s">
        <v>313</v>
      </c>
      <c r="D534" s="9" t="s">
        <v>197</v>
      </c>
      <c r="E534" s="13">
        <v>598.70000000000005</v>
      </c>
      <c r="F534" s="11">
        <v>1</v>
      </c>
      <c r="G534" s="12">
        <v>0.01</v>
      </c>
      <c r="H534" s="13"/>
      <c r="I534" s="13">
        <v>58.1</v>
      </c>
      <c r="J534" s="14">
        <v>-8.1999999999999993</v>
      </c>
      <c r="K534" s="15"/>
      <c r="L534" s="13">
        <v>8</v>
      </c>
      <c r="M534" s="13">
        <v>0</v>
      </c>
      <c r="N534" s="14">
        <v>-19.5</v>
      </c>
      <c r="O534" s="15"/>
    </row>
    <row r="535" spans="1:15" ht="16" x14ac:dyDescent="0.2">
      <c r="A535" s="7">
        <v>534</v>
      </c>
      <c r="B535" s="8" t="s">
        <v>1181</v>
      </c>
      <c r="C535" s="8" t="s">
        <v>325</v>
      </c>
      <c r="D535" s="9" t="s">
        <v>197</v>
      </c>
      <c r="E535" s="13"/>
      <c r="F535" s="11">
        <v>0.02</v>
      </c>
      <c r="G535" s="12">
        <v>0</v>
      </c>
      <c r="H535" s="13"/>
      <c r="I535" s="13">
        <v>56.1</v>
      </c>
      <c r="J535" s="14">
        <v>-8.3000000000000007</v>
      </c>
      <c r="K535" s="15"/>
      <c r="L535" s="13">
        <v>2</v>
      </c>
      <c r="M535" s="13">
        <v>3</v>
      </c>
      <c r="N535" s="14">
        <v>-19.8</v>
      </c>
      <c r="O535" s="15"/>
    </row>
    <row r="536" spans="1:15" ht="16" x14ac:dyDescent="0.2">
      <c r="A536" s="7">
        <v>535</v>
      </c>
      <c r="B536" s="8" t="s">
        <v>1182</v>
      </c>
      <c r="C536" s="8" t="s">
        <v>337</v>
      </c>
      <c r="D536" s="9" t="s">
        <v>197</v>
      </c>
      <c r="E536" s="13">
        <v>397.4</v>
      </c>
      <c r="F536" s="11">
        <v>0.67</v>
      </c>
      <c r="G536" s="12">
        <v>0.05</v>
      </c>
      <c r="H536" s="13"/>
      <c r="I536" s="13">
        <v>53</v>
      </c>
      <c r="J536" s="14">
        <v>-8.3000000000000007</v>
      </c>
      <c r="K536" s="15"/>
      <c r="L536" s="13">
        <v>6</v>
      </c>
      <c r="M536" s="13">
        <v>0</v>
      </c>
      <c r="N536" s="14">
        <v>-19.8</v>
      </c>
      <c r="O536" s="15"/>
    </row>
    <row r="537" spans="1:15" ht="16" x14ac:dyDescent="0.2">
      <c r="A537" s="7">
        <v>536</v>
      </c>
      <c r="B537" s="8" t="s">
        <v>416</v>
      </c>
      <c r="C537" s="8" t="s">
        <v>331</v>
      </c>
      <c r="D537" s="9" t="s">
        <v>190</v>
      </c>
      <c r="E537" s="13">
        <v>211.6</v>
      </c>
      <c r="F537" s="11">
        <v>1</v>
      </c>
      <c r="G537" s="12">
        <v>0.76</v>
      </c>
      <c r="H537" s="13">
        <v>264</v>
      </c>
      <c r="I537" s="13"/>
      <c r="J537" s="14">
        <v>-8.3000000000000007</v>
      </c>
      <c r="K537" s="15"/>
      <c r="L537" s="13">
        <v>5</v>
      </c>
      <c r="M537" s="13">
        <v>0</v>
      </c>
      <c r="N537" s="14">
        <v>-19.8</v>
      </c>
      <c r="O537" s="15"/>
    </row>
    <row r="538" spans="1:15" ht="16" x14ac:dyDescent="0.2">
      <c r="A538" s="7">
        <v>537</v>
      </c>
      <c r="B538" s="8" t="s">
        <v>1183</v>
      </c>
      <c r="C538" s="8" t="s">
        <v>320</v>
      </c>
      <c r="D538" s="9" t="s">
        <v>196</v>
      </c>
      <c r="E538" s="13">
        <v>536</v>
      </c>
      <c r="F538" s="11">
        <v>1</v>
      </c>
      <c r="G538" s="12">
        <v>0.01</v>
      </c>
      <c r="H538" s="13"/>
      <c r="I538" s="13">
        <v>86.1</v>
      </c>
      <c r="J538" s="14">
        <v>-8.3000000000000007</v>
      </c>
      <c r="K538" s="15"/>
      <c r="L538" s="13">
        <v>1</v>
      </c>
      <c r="M538" s="13">
        <v>1</v>
      </c>
      <c r="N538" s="14">
        <v>-19.899999999999999</v>
      </c>
      <c r="O538" s="15"/>
    </row>
    <row r="539" spans="1:15" ht="16" x14ac:dyDescent="0.2">
      <c r="A539" s="7">
        <v>538</v>
      </c>
      <c r="B539" s="8" t="s">
        <v>441</v>
      </c>
      <c r="C539" s="8" t="s">
        <v>322</v>
      </c>
      <c r="D539" s="9" t="s">
        <v>195</v>
      </c>
      <c r="E539" s="13">
        <v>251.6</v>
      </c>
      <c r="F539" s="11">
        <v>1</v>
      </c>
      <c r="G539" s="12">
        <v>0.99</v>
      </c>
      <c r="H539" s="13">
        <v>224</v>
      </c>
      <c r="I539" s="13"/>
      <c r="J539" s="14">
        <v>-8.3000000000000007</v>
      </c>
      <c r="K539" s="15"/>
      <c r="L539" s="13">
        <v>1</v>
      </c>
      <c r="M539" s="13">
        <v>1</v>
      </c>
      <c r="N539" s="14">
        <v>-20</v>
      </c>
      <c r="O539" s="15"/>
    </row>
    <row r="540" spans="1:15" ht="16" x14ac:dyDescent="0.2">
      <c r="A540" s="7">
        <v>539</v>
      </c>
      <c r="B540" s="8" t="s">
        <v>1184</v>
      </c>
      <c r="C540" s="8" t="s">
        <v>308</v>
      </c>
      <c r="D540" s="9" t="s">
        <v>196</v>
      </c>
      <c r="E540" s="13">
        <v>572.79999999999995</v>
      </c>
      <c r="F540" s="11">
        <v>1</v>
      </c>
      <c r="G540" s="12">
        <v>0.01</v>
      </c>
      <c r="H540" s="13"/>
      <c r="I540" s="13">
        <v>154.1</v>
      </c>
      <c r="J540" s="14">
        <v>-8.3000000000000007</v>
      </c>
      <c r="K540" s="15"/>
      <c r="L540" s="13">
        <v>0</v>
      </c>
      <c r="M540" s="13">
        <v>3</v>
      </c>
      <c r="N540" s="14">
        <v>-20.3</v>
      </c>
      <c r="O540" s="15"/>
    </row>
    <row r="541" spans="1:15" ht="16" x14ac:dyDescent="0.2">
      <c r="A541" s="7">
        <v>540</v>
      </c>
      <c r="B541" s="8" t="s">
        <v>687</v>
      </c>
      <c r="C541" s="8" t="s">
        <v>311</v>
      </c>
      <c r="D541" s="9" t="s">
        <v>195</v>
      </c>
      <c r="E541" s="13">
        <v>738.3</v>
      </c>
      <c r="F541" s="11">
        <v>0.27</v>
      </c>
      <c r="G541" s="12">
        <v>0</v>
      </c>
      <c r="H541" s="13">
        <v>383</v>
      </c>
      <c r="I541" s="13"/>
      <c r="J541" s="14">
        <v>-8.3000000000000007</v>
      </c>
      <c r="K541" s="15"/>
      <c r="L541" s="13">
        <v>0</v>
      </c>
      <c r="M541" s="13">
        <v>1</v>
      </c>
      <c r="N541" s="14">
        <v>-20.399999999999999</v>
      </c>
      <c r="O541" s="15"/>
    </row>
    <row r="542" spans="1:15" ht="16" x14ac:dyDescent="0.2">
      <c r="A542" s="7">
        <v>541</v>
      </c>
      <c r="B542" s="8" t="s">
        <v>603</v>
      </c>
      <c r="C542" s="8" t="s">
        <v>334</v>
      </c>
      <c r="D542" s="9" t="s">
        <v>352</v>
      </c>
      <c r="E542" s="13">
        <v>607.29999999999995</v>
      </c>
      <c r="F542" s="11">
        <v>0.97</v>
      </c>
      <c r="G542" s="12">
        <v>0.03</v>
      </c>
      <c r="H542" s="13">
        <v>446</v>
      </c>
      <c r="I542" s="13"/>
      <c r="J542" s="14">
        <v>-8.4</v>
      </c>
      <c r="K542" s="15"/>
      <c r="L542" s="13">
        <v>0</v>
      </c>
      <c r="M542" s="13">
        <v>3</v>
      </c>
      <c r="N542" s="14">
        <v>-20.5</v>
      </c>
      <c r="O542" s="15"/>
    </row>
    <row r="543" spans="1:15" ht="16" x14ac:dyDescent="0.2">
      <c r="A543" s="7">
        <v>542</v>
      </c>
      <c r="B543" s="8" t="s">
        <v>1185</v>
      </c>
      <c r="C543" s="8" t="s">
        <v>335</v>
      </c>
      <c r="D543" s="9" t="s">
        <v>197</v>
      </c>
      <c r="E543" s="13">
        <v>737.7</v>
      </c>
      <c r="F543" s="11">
        <v>0.28999999999999998</v>
      </c>
      <c r="G543" s="12">
        <v>0.01</v>
      </c>
      <c r="H543" s="13"/>
      <c r="I543" s="13">
        <v>56.1</v>
      </c>
      <c r="J543" s="14">
        <v>-8.4</v>
      </c>
      <c r="K543" s="15"/>
      <c r="L543" s="13">
        <v>3</v>
      </c>
      <c r="M543" s="13">
        <v>0</v>
      </c>
      <c r="N543" s="14">
        <v>-20.6</v>
      </c>
      <c r="O543" s="15"/>
    </row>
    <row r="544" spans="1:15" ht="16" x14ac:dyDescent="0.2">
      <c r="A544" s="7">
        <v>543</v>
      </c>
      <c r="B544" s="8" t="s">
        <v>1186</v>
      </c>
      <c r="C544" s="8" t="s">
        <v>316</v>
      </c>
      <c r="D544" s="9" t="s">
        <v>196</v>
      </c>
      <c r="E544" s="13">
        <v>408.3</v>
      </c>
      <c r="F544" s="11">
        <v>1</v>
      </c>
      <c r="G544" s="12">
        <v>0.13</v>
      </c>
      <c r="H544" s="13"/>
      <c r="I544" s="13">
        <v>50</v>
      </c>
      <c r="J544" s="14">
        <v>-8.5</v>
      </c>
      <c r="K544" s="15"/>
      <c r="L544" s="13">
        <v>0</v>
      </c>
      <c r="M544" s="13">
        <v>1</v>
      </c>
      <c r="N544" s="14">
        <v>-20.9</v>
      </c>
      <c r="O544" s="15"/>
    </row>
    <row r="545" spans="1:15" ht="16" x14ac:dyDescent="0.2">
      <c r="A545" s="7">
        <v>544</v>
      </c>
      <c r="B545" s="8" t="s">
        <v>729</v>
      </c>
      <c r="C545" s="8" t="s">
        <v>310</v>
      </c>
      <c r="D545" s="9" t="s">
        <v>195</v>
      </c>
      <c r="E545" s="13">
        <v>748.5</v>
      </c>
      <c r="F545" s="11">
        <v>0.1</v>
      </c>
      <c r="G545" s="12">
        <v>0</v>
      </c>
      <c r="H545" s="13">
        <v>233</v>
      </c>
      <c r="I545" s="13"/>
      <c r="J545" s="14">
        <v>-8.5</v>
      </c>
      <c r="K545" s="15"/>
      <c r="L545" s="13">
        <v>4</v>
      </c>
      <c r="M545" s="13">
        <v>0</v>
      </c>
      <c r="N545" s="14">
        <v>-21</v>
      </c>
      <c r="O545" s="15"/>
    </row>
    <row r="546" spans="1:15" ht="16" x14ac:dyDescent="0.2">
      <c r="A546" s="7">
        <v>545</v>
      </c>
      <c r="B546" s="8" t="s">
        <v>655</v>
      </c>
      <c r="C546" s="8" t="s">
        <v>317</v>
      </c>
      <c r="D546" s="9" t="s">
        <v>359</v>
      </c>
      <c r="E546" s="13">
        <v>698.2</v>
      </c>
      <c r="F546" s="11">
        <v>0.54</v>
      </c>
      <c r="G546" s="12">
        <v>0</v>
      </c>
      <c r="H546" s="13">
        <v>501</v>
      </c>
      <c r="I546" s="13"/>
      <c r="J546" s="14">
        <v>-8.5</v>
      </c>
      <c r="K546" s="15"/>
      <c r="L546" s="13">
        <v>2</v>
      </c>
      <c r="M546" s="13">
        <v>1</v>
      </c>
      <c r="N546" s="14">
        <v>-21</v>
      </c>
      <c r="O546" s="15"/>
    </row>
    <row r="547" spans="1:15" ht="16" x14ac:dyDescent="0.2">
      <c r="A547" s="7">
        <v>546</v>
      </c>
      <c r="B547" s="8" t="s">
        <v>1187</v>
      </c>
      <c r="C547" s="8" t="s">
        <v>371</v>
      </c>
      <c r="D547" s="9" t="s">
        <v>196</v>
      </c>
      <c r="E547" s="13">
        <v>554.70000000000005</v>
      </c>
      <c r="F547" s="11">
        <v>0.99</v>
      </c>
      <c r="G547" s="12">
        <v>0.02</v>
      </c>
      <c r="H547" s="13"/>
      <c r="I547" s="13">
        <v>88</v>
      </c>
      <c r="J547" s="14">
        <v>-8.5</v>
      </c>
      <c r="K547" s="15"/>
      <c r="L547" s="13">
        <v>1</v>
      </c>
      <c r="M547" s="13">
        <v>1</v>
      </c>
      <c r="N547" s="14">
        <v>-21</v>
      </c>
      <c r="O547" s="15"/>
    </row>
    <row r="548" spans="1:15" ht="16" x14ac:dyDescent="0.2">
      <c r="A548" s="7">
        <v>547</v>
      </c>
      <c r="B548" s="8" t="s">
        <v>1188</v>
      </c>
      <c r="C548" s="8" t="s">
        <v>385</v>
      </c>
      <c r="D548" s="9" t="s">
        <v>197</v>
      </c>
      <c r="E548" s="13">
        <v>425.8</v>
      </c>
      <c r="F548" s="11">
        <v>1</v>
      </c>
      <c r="G548" s="12">
        <v>0.05</v>
      </c>
      <c r="H548" s="13"/>
      <c r="I548" s="13">
        <v>40.1</v>
      </c>
      <c r="J548" s="14">
        <v>-8.5</v>
      </c>
      <c r="K548" s="15"/>
      <c r="L548" s="13">
        <v>0</v>
      </c>
      <c r="M548" s="13">
        <v>2</v>
      </c>
      <c r="N548" s="14">
        <v>-21.1</v>
      </c>
      <c r="O548" s="15"/>
    </row>
    <row r="549" spans="1:15" ht="16" x14ac:dyDescent="0.2">
      <c r="A549" s="7">
        <v>548</v>
      </c>
      <c r="B549" s="8" t="s">
        <v>1189</v>
      </c>
      <c r="C549" s="8" t="s">
        <v>995</v>
      </c>
      <c r="D549" s="9" t="s">
        <v>197</v>
      </c>
      <c r="E549" s="13"/>
      <c r="F549" s="13"/>
      <c r="G549" s="16"/>
      <c r="H549" s="13"/>
      <c r="I549" s="13">
        <v>68.099999999999994</v>
      </c>
      <c r="J549" s="14">
        <v>-8.6</v>
      </c>
      <c r="K549" s="15"/>
      <c r="L549" s="13">
        <v>1</v>
      </c>
      <c r="M549" s="13">
        <v>2</v>
      </c>
      <c r="N549" s="14">
        <v>-21.1</v>
      </c>
      <c r="O549" s="15"/>
    </row>
    <row r="550" spans="1:15" ht="16" x14ac:dyDescent="0.2">
      <c r="A550" s="7">
        <v>549</v>
      </c>
      <c r="B550" s="8" t="s">
        <v>714</v>
      </c>
      <c r="C550" s="9"/>
      <c r="D550" s="9" t="s">
        <v>195</v>
      </c>
      <c r="E550" s="13">
        <v>746.8</v>
      </c>
      <c r="F550" s="11">
        <v>0.03</v>
      </c>
      <c r="G550" s="12">
        <v>0</v>
      </c>
      <c r="H550" s="13">
        <v>260</v>
      </c>
      <c r="I550" s="13"/>
      <c r="J550" s="14">
        <v>-8.6</v>
      </c>
      <c r="K550" s="15"/>
      <c r="L550" s="13">
        <v>4</v>
      </c>
      <c r="M550" s="13">
        <v>0</v>
      </c>
      <c r="N550" s="14">
        <v>-21.1</v>
      </c>
      <c r="O550" s="15"/>
    </row>
    <row r="551" spans="1:15" ht="16" x14ac:dyDescent="0.2">
      <c r="A551" s="7">
        <v>550</v>
      </c>
      <c r="B551" s="8" t="s">
        <v>1190</v>
      </c>
      <c r="C551" s="8" t="s">
        <v>995</v>
      </c>
      <c r="D551" s="9" t="s">
        <v>197</v>
      </c>
      <c r="E551" s="13">
        <v>575.79999999999995</v>
      </c>
      <c r="F551" s="11">
        <v>0.98</v>
      </c>
      <c r="G551" s="12">
        <v>0.02</v>
      </c>
      <c r="H551" s="13"/>
      <c r="I551" s="13">
        <v>66.099999999999994</v>
      </c>
      <c r="J551" s="14">
        <v>-8.6</v>
      </c>
      <c r="K551" s="15"/>
      <c r="L551" s="13">
        <v>0</v>
      </c>
      <c r="M551" s="13">
        <v>1</v>
      </c>
      <c r="N551" s="14">
        <v>-21.2</v>
      </c>
      <c r="O551" s="15"/>
    </row>
    <row r="552" spans="1:15" ht="16" x14ac:dyDescent="0.2">
      <c r="A552" s="7">
        <v>551</v>
      </c>
      <c r="B552" s="8" t="s">
        <v>608</v>
      </c>
      <c r="C552" s="8" t="s">
        <v>342</v>
      </c>
      <c r="D552" s="9" t="s">
        <v>195</v>
      </c>
      <c r="E552" s="13">
        <v>618.5</v>
      </c>
      <c r="F552" s="11">
        <v>0.94</v>
      </c>
      <c r="G552" s="12">
        <v>0.02</v>
      </c>
      <c r="H552" s="13">
        <v>319</v>
      </c>
      <c r="I552" s="13"/>
      <c r="J552" s="14">
        <v>-8.6</v>
      </c>
      <c r="K552" s="15"/>
      <c r="L552" s="13">
        <v>2</v>
      </c>
      <c r="M552" s="13">
        <v>1</v>
      </c>
      <c r="N552" s="14">
        <v>-21.2</v>
      </c>
      <c r="O552" s="15"/>
    </row>
    <row r="553" spans="1:15" ht="16" x14ac:dyDescent="0.2">
      <c r="A553" s="7">
        <v>552</v>
      </c>
      <c r="B553" s="8" t="s">
        <v>1191</v>
      </c>
      <c r="C553" s="8" t="s">
        <v>307</v>
      </c>
      <c r="D553" s="9" t="s">
        <v>197</v>
      </c>
      <c r="E553" s="13">
        <v>686.1</v>
      </c>
      <c r="F553" s="11">
        <v>0.73</v>
      </c>
      <c r="G553" s="12">
        <v>0</v>
      </c>
      <c r="H553" s="13"/>
      <c r="I553" s="13">
        <v>43</v>
      </c>
      <c r="J553" s="14">
        <v>-8.6</v>
      </c>
      <c r="K553" s="15"/>
      <c r="L553" s="13">
        <v>1</v>
      </c>
      <c r="M553" s="13">
        <v>0</v>
      </c>
      <c r="N553" s="14">
        <v>-21.2</v>
      </c>
      <c r="O553" s="15"/>
    </row>
    <row r="554" spans="1:15" ht="16" x14ac:dyDescent="0.2">
      <c r="A554" s="7">
        <v>553</v>
      </c>
      <c r="B554" s="8" t="s">
        <v>1192</v>
      </c>
      <c r="C554" s="8" t="s">
        <v>310</v>
      </c>
      <c r="D554" s="9" t="s">
        <v>197</v>
      </c>
      <c r="E554" s="13">
        <v>574.6</v>
      </c>
      <c r="F554" s="11">
        <v>0.48</v>
      </c>
      <c r="G554" s="12">
        <v>0.01</v>
      </c>
      <c r="H554" s="13"/>
      <c r="I554" s="13">
        <v>60</v>
      </c>
      <c r="J554" s="14">
        <v>-8.6</v>
      </c>
      <c r="K554" s="15"/>
      <c r="L554" s="13">
        <v>1</v>
      </c>
      <c r="M554" s="13">
        <v>0</v>
      </c>
      <c r="N554" s="14">
        <v>-21.3</v>
      </c>
      <c r="O554" s="15"/>
    </row>
    <row r="555" spans="1:15" ht="16" x14ac:dyDescent="0.2">
      <c r="A555" s="7">
        <v>554</v>
      </c>
      <c r="B555" s="8" t="s">
        <v>1193</v>
      </c>
      <c r="C555" s="9"/>
      <c r="D555" s="9" t="s">
        <v>197</v>
      </c>
      <c r="E555" s="13"/>
      <c r="F555" s="13"/>
      <c r="G555" s="16"/>
      <c r="H555" s="13"/>
      <c r="I555" s="13">
        <v>61</v>
      </c>
      <c r="J555" s="14">
        <v>-8.6999999999999993</v>
      </c>
      <c r="K555" s="15"/>
      <c r="L555" s="13">
        <v>1</v>
      </c>
      <c r="M555" s="13">
        <v>4</v>
      </c>
      <c r="N555" s="14">
        <v>-21.4</v>
      </c>
      <c r="O555" s="15"/>
    </row>
    <row r="556" spans="1:15" ht="16" x14ac:dyDescent="0.2">
      <c r="A556" s="7">
        <v>555</v>
      </c>
      <c r="B556" s="8" t="s">
        <v>660</v>
      </c>
      <c r="C556" s="8" t="s">
        <v>320</v>
      </c>
      <c r="D556" s="9" t="s">
        <v>431</v>
      </c>
      <c r="E556" s="13">
        <v>702.2</v>
      </c>
      <c r="F556" s="11">
        <v>0.84</v>
      </c>
      <c r="G556" s="12">
        <v>0.02</v>
      </c>
      <c r="H556" s="13">
        <v>454</v>
      </c>
      <c r="I556" s="13"/>
      <c r="J556" s="14">
        <v>-8.6999999999999993</v>
      </c>
      <c r="K556" s="15"/>
      <c r="L556" s="13">
        <v>1</v>
      </c>
      <c r="M556" s="13">
        <v>1</v>
      </c>
      <c r="N556" s="14">
        <v>-21.4</v>
      </c>
      <c r="O556" s="15"/>
    </row>
    <row r="557" spans="1:15" ht="16" x14ac:dyDescent="0.2">
      <c r="A557" s="7">
        <v>556</v>
      </c>
      <c r="B557" s="8" t="s">
        <v>1194</v>
      </c>
      <c r="C557" s="9"/>
      <c r="D557" s="9" t="s">
        <v>197</v>
      </c>
      <c r="E557" s="13"/>
      <c r="F557" s="13"/>
      <c r="G557" s="16"/>
      <c r="H557" s="13"/>
      <c r="I557" s="13">
        <v>82.1</v>
      </c>
      <c r="J557" s="14">
        <v>-8.6999999999999993</v>
      </c>
      <c r="K557" s="15"/>
      <c r="L557" s="13">
        <v>0</v>
      </c>
      <c r="M557" s="13">
        <v>2</v>
      </c>
      <c r="N557" s="14">
        <v>-21.4</v>
      </c>
      <c r="O557" s="15"/>
    </row>
    <row r="558" spans="1:15" ht="16" x14ac:dyDescent="0.2">
      <c r="A558" s="7">
        <v>557</v>
      </c>
      <c r="B558" s="8" t="s">
        <v>1195</v>
      </c>
      <c r="C558" s="8" t="s">
        <v>305</v>
      </c>
      <c r="D558" s="9" t="s">
        <v>197</v>
      </c>
      <c r="E558" s="13"/>
      <c r="F558" s="13"/>
      <c r="G558" s="16"/>
      <c r="H558" s="13"/>
      <c r="I558" s="13">
        <v>49.1</v>
      </c>
      <c r="J558" s="14">
        <v>-8.6999999999999993</v>
      </c>
      <c r="K558" s="15"/>
      <c r="L558" s="13">
        <v>5</v>
      </c>
      <c r="M558" s="13">
        <v>0</v>
      </c>
      <c r="N558" s="14">
        <v>-21.4</v>
      </c>
      <c r="O558" s="15"/>
    </row>
    <row r="559" spans="1:15" ht="16" x14ac:dyDescent="0.2">
      <c r="A559" s="7">
        <v>558</v>
      </c>
      <c r="B559" s="8" t="s">
        <v>498</v>
      </c>
      <c r="C559" s="8" t="s">
        <v>316</v>
      </c>
      <c r="D559" s="9" t="s">
        <v>195</v>
      </c>
      <c r="E559" s="13">
        <v>383.4</v>
      </c>
      <c r="F559" s="11">
        <v>1</v>
      </c>
      <c r="G559" s="12">
        <v>0.37</v>
      </c>
      <c r="H559" s="13">
        <v>158</v>
      </c>
      <c r="I559" s="13"/>
      <c r="J559" s="14">
        <v>-8.8000000000000007</v>
      </c>
      <c r="K559" s="15"/>
      <c r="L559" s="13">
        <v>0</v>
      </c>
      <c r="M559" s="13">
        <v>2</v>
      </c>
      <c r="N559" s="14">
        <v>-21.4</v>
      </c>
      <c r="O559" s="15"/>
    </row>
    <row r="560" spans="1:15" ht="16" x14ac:dyDescent="0.2">
      <c r="A560" s="7">
        <v>559</v>
      </c>
      <c r="B560" s="8" t="s">
        <v>1196</v>
      </c>
      <c r="C560" s="8" t="s">
        <v>307</v>
      </c>
      <c r="D560" s="9" t="s">
        <v>197</v>
      </c>
      <c r="E560" s="13">
        <v>749.5</v>
      </c>
      <c r="F560" s="11">
        <v>0.15</v>
      </c>
      <c r="G560" s="12">
        <v>0</v>
      </c>
      <c r="H560" s="13"/>
      <c r="I560" s="13">
        <v>56.1</v>
      </c>
      <c r="J560" s="14">
        <v>-8.8000000000000007</v>
      </c>
      <c r="K560" s="15"/>
      <c r="L560" s="13">
        <v>5</v>
      </c>
      <c r="M560" s="13">
        <v>0</v>
      </c>
      <c r="N560" s="14">
        <v>-21.5</v>
      </c>
      <c r="O560" s="15"/>
    </row>
    <row r="561" spans="1:15" ht="16" x14ac:dyDescent="0.2">
      <c r="A561" s="7">
        <v>560</v>
      </c>
      <c r="B561" s="8" t="s">
        <v>1197</v>
      </c>
      <c r="C561" s="8" t="s">
        <v>314</v>
      </c>
      <c r="D561" s="9" t="s">
        <v>196</v>
      </c>
      <c r="E561" s="13">
        <v>385.1</v>
      </c>
      <c r="F561" s="11">
        <v>1</v>
      </c>
      <c r="G561" s="12">
        <v>0.39</v>
      </c>
      <c r="H561" s="13"/>
      <c r="I561" s="13">
        <v>150.1</v>
      </c>
      <c r="J561" s="14">
        <v>-8.8000000000000007</v>
      </c>
      <c r="K561" s="15"/>
      <c r="L561" s="13">
        <v>2</v>
      </c>
      <c r="M561" s="13">
        <v>0</v>
      </c>
      <c r="N561" s="14">
        <v>-21.6</v>
      </c>
      <c r="O561" s="15"/>
    </row>
    <row r="562" spans="1:15" ht="16" x14ac:dyDescent="0.2">
      <c r="A562" s="7">
        <v>561</v>
      </c>
      <c r="B562" s="8" t="s">
        <v>333</v>
      </c>
      <c r="C562" s="8" t="s">
        <v>331</v>
      </c>
      <c r="D562" s="9" t="s">
        <v>195</v>
      </c>
      <c r="E562" s="13">
        <v>32.799999999999997</v>
      </c>
      <c r="F562" s="11">
        <v>1</v>
      </c>
      <c r="G562" s="12">
        <v>0.67</v>
      </c>
      <c r="H562" s="13">
        <v>222</v>
      </c>
      <c r="I562" s="13"/>
      <c r="J562" s="14">
        <v>-8.9</v>
      </c>
      <c r="K562" s="15"/>
      <c r="L562" s="13">
        <v>0</v>
      </c>
      <c r="M562" s="13">
        <v>0</v>
      </c>
      <c r="N562" s="14">
        <v>-21.6</v>
      </c>
      <c r="O562" s="15"/>
    </row>
    <row r="563" spans="1:15" ht="16" x14ac:dyDescent="0.2">
      <c r="A563" s="7">
        <v>562</v>
      </c>
      <c r="B563" s="8" t="s">
        <v>602</v>
      </c>
      <c r="C563" s="8" t="s">
        <v>348</v>
      </c>
      <c r="D563" s="9" t="s">
        <v>195</v>
      </c>
      <c r="E563" s="13">
        <v>605.4</v>
      </c>
      <c r="F563" s="11">
        <v>0.98</v>
      </c>
      <c r="G563" s="12">
        <v>0.01</v>
      </c>
      <c r="H563" s="13">
        <v>334</v>
      </c>
      <c r="I563" s="13"/>
      <c r="J563" s="14">
        <v>-8.9</v>
      </c>
      <c r="K563" s="15"/>
      <c r="L563" s="13">
        <v>1</v>
      </c>
      <c r="M563" s="13">
        <v>0</v>
      </c>
      <c r="N563" s="14">
        <v>-21.7</v>
      </c>
      <c r="O563" s="15"/>
    </row>
    <row r="564" spans="1:15" ht="16" x14ac:dyDescent="0.2">
      <c r="A564" s="7">
        <v>563</v>
      </c>
      <c r="B564" s="8" t="s">
        <v>1198</v>
      </c>
      <c r="C564" s="8" t="s">
        <v>307</v>
      </c>
      <c r="D564" s="9" t="s">
        <v>197</v>
      </c>
      <c r="E564" s="13"/>
      <c r="F564" s="13"/>
      <c r="G564" s="16"/>
      <c r="H564" s="13"/>
      <c r="I564" s="13">
        <v>42.1</v>
      </c>
      <c r="J564" s="14">
        <v>-8.9</v>
      </c>
      <c r="K564" s="15"/>
      <c r="L564" s="13">
        <v>0</v>
      </c>
      <c r="M564" s="13">
        <v>1</v>
      </c>
      <c r="N564" s="14">
        <v>-21.8</v>
      </c>
      <c r="O564" s="15"/>
    </row>
    <row r="565" spans="1:15" ht="16" x14ac:dyDescent="0.2">
      <c r="A565" s="7">
        <v>564</v>
      </c>
      <c r="B565" s="8" t="s">
        <v>463</v>
      </c>
      <c r="C565" s="8" t="s">
        <v>349</v>
      </c>
      <c r="D565" s="9" t="s">
        <v>192</v>
      </c>
      <c r="E565" s="13">
        <v>302.39999999999998</v>
      </c>
      <c r="F565" s="11">
        <v>1</v>
      </c>
      <c r="G565" s="12">
        <v>0.61</v>
      </c>
      <c r="H565" s="13">
        <v>381</v>
      </c>
      <c r="I565" s="13"/>
      <c r="J565" s="14">
        <v>-9</v>
      </c>
      <c r="K565" s="15"/>
      <c r="L565" s="13">
        <v>0</v>
      </c>
      <c r="M565" s="13">
        <v>1</v>
      </c>
      <c r="N565" s="14">
        <v>-21.8</v>
      </c>
      <c r="O565" s="15"/>
    </row>
    <row r="566" spans="1:15" ht="16" x14ac:dyDescent="0.2">
      <c r="A566" s="7">
        <v>565</v>
      </c>
      <c r="B566" s="8" t="s">
        <v>1199</v>
      </c>
      <c r="C566" s="8" t="s">
        <v>310</v>
      </c>
      <c r="D566" s="9" t="s">
        <v>197</v>
      </c>
      <c r="E566" s="13"/>
      <c r="F566" s="13"/>
      <c r="G566" s="16"/>
      <c r="H566" s="13"/>
      <c r="I566" s="13">
        <v>37.1</v>
      </c>
      <c r="J566" s="14">
        <v>-9</v>
      </c>
      <c r="K566" s="15"/>
      <c r="L566" s="13">
        <v>3</v>
      </c>
      <c r="M566" s="13">
        <v>0</v>
      </c>
      <c r="N566" s="14">
        <v>-21.8</v>
      </c>
      <c r="O566" s="15"/>
    </row>
    <row r="567" spans="1:15" ht="16" x14ac:dyDescent="0.2">
      <c r="A567" s="7">
        <v>566</v>
      </c>
      <c r="B567" s="8" t="s">
        <v>1200</v>
      </c>
      <c r="C567" s="8" t="s">
        <v>326</v>
      </c>
      <c r="D567" s="9" t="s">
        <v>196</v>
      </c>
      <c r="E567" s="13"/>
      <c r="F567" s="11">
        <v>0.02</v>
      </c>
      <c r="G567" s="12">
        <v>0</v>
      </c>
      <c r="H567" s="13"/>
      <c r="I567" s="13">
        <v>36.1</v>
      </c>
      <c r="J567" s="14">
        <v>-9</v>
      </c>
      <c r="K567" s="15"/>
      <c r="L567" s="13">
        <v>0</v>
      </c>
      <c r="M567" s="13">
        <v>1</v>
      </c>
      <c r="N567" s="14">
        <v>-21.9</v>
      </c>
      <c r="O567" s="15"/>
    </row>
    <row r="568" spans="1:15" ht="16" x14ac:dyDescent="0.2">
      <c r="A568" s="7">
        <v>567</v>
      </c>
      <c r="B568" s="8" t="s">
        <v>1201</v>
      </c>
      <c r="C568" s="8" t="s">
        <v>348</v>
      </c>
      <c r="D568" s="9" t="s">
        <v>197</v>
      </c>
      <c r="E568" s="13"/>
      <c r="F568" s="13"/>
      <c r="G568" s="16"/>
      <c r="H568" s="13"/>
      <c r="I568" s="13">
        <v>60</v>
      </c>
      <c r="J568" s="14">
        <v>-9.1</v>
      </c>
      <c r="K568" s="15"/>
      <c r="L568" s="13">
        <v>0</v>
      </c>
      <c r="M568" s="13">
        <v>1</v>
      </c>
      <c r="N568" s="14">
        <v>-21.9</v>
      </c>
      <c r="O568" s="15"/>
    </row>
    <row r="569" spans="1:15" ht="16" x14ac:dyDescent="0.2">
      <c r="A569" s="7">
        <v>568</v>
      </c>
      <c r="B569" s="8" t="s">
        <v>1202</v>
      </c>
      <c r="C569" s="8" t="s">
        <v>385</v>
      </c>
      <c r="D569" s="9" t="s">
        <v>197</v>
      </c>
      <c r="E569" s="13">
        <v>707.3</v>
      </c>
      <c r="F569" s="11">
        <v>0.74</v>
      </c>
      <c r="G569" s="12">
        <v>0.01</v>
      </c>
      <c r="H569" s="13"/>
      <c r="I569" s="13">
        <v>53</v>
      </c>
      <c r="J569" s="14">
        <v>-9.1</v>
      </c>
      <c r="K569" s="15"/>
      <c r="L569" s="13">
        <v>0</v>
      </c>
      <c r="M569" s="13">
        <v>2</v>
      </c>
      <c r="N569" s="14">
        <v>-22</v>
      </c>
      <c r="O569" s="15"/>
    </row>
    <row r="570" spans="1:15" ht="16" x14ac:dyDescent="0.2">
      <c r="A570" s="7">
        <v>569</v>
      </c>
      <c r="B570" s="8" t="s">
        <v>1203</v>
      </c>
      <c r="C570" s="8" t="s">
        <v>326</v>
      </c>
      <c r="D570" s="9" t="s">
        <v>197</v>
      </c>
      <c r="E570" s="13"/>
      <c r="F570" s="13"/>
      <c r="G570" s="16"/>
      <c r="H570" s="13"/>
      <c r="I570" s="13">
        <v>51</v>
      </c>
      <c r="J570" s="14">
        <v>-9.1999999999999993</v>
      </c>
      <c r="K570" s="15"/>
      <c r="L570" s="13">
        <v>1</v>
      </c>
      <c r="M570" s="13">
        <v>1</v>
      </c>
      <c r="N570" s="14">
        <v>-22.1</v>
      </c>
      <c r="O570" s="15"/>
    </row>
    <row r="571" spans="1:15" ht="16" x14ac:dyDescent="0.2">
      <c r="A571" s="7">
        <v>570</v>
      </c>
      <c r="B571" s="8" t="s">
        <v>536</v>
      </c>
      <c r="C571" s="8" t="s">
        <v>311</v>
      </c>
      <c r="D571" s="9" t="s">
        <v>194</v>
      </c>
      <c r="E571" s="13">
        <v>449.4</v>
      </c>
      <c r="F571" s="11">
        <v>1</v>
      </c>
      <c r="G571" s="12">
        <v>0.06</v>
      </c>
      <c r="H571" s="13">
        <v>442</v>
      </c>
      <c r="I571" s="13"/>
      <c r="J571" s="14">
        <v>-9.1999999999999993</v>
      </c>
      <c r="K571" s="15"/>
      <c r="L571" s="13">
        <v>2</v>
      </c>
      <c r="M571" s="13">
        <v>0</v>
      </c>
      <c r="N571" s="14">
        <v>-22.1</v>
      </c>
      <c r="O571" s="15"/>
    </row>
    <row r="572" spans="1:15" ht="16" x14ac:dyDescent="0.2">
      <c r="A572" s="7">
        <v>571</v>
      </c>
      <c r="B572" s="8" t="s">
        <v>1204</v>
      </c>
      <c r="C572" s="8" t="s">
        <v>325</v>
      </c>
      <c r="D572" s="9" t="s">
        <v>197</v>
      </c>
      <c r="E572" s="13"/>
      <c r="F572" s="13"/>
      <c r="G572" s="16"/>
      <c r="H572" s="13"/>
      <c r="I572" s="13">
        <v>63</v>
      </c>
      <c r="J572" s="14">
        <v>-9.1999999999999993</v>
      </c>
      <c r="K572" s="15"/>
      <c r="L572" s="13">
        <v>1</v>
      </c>
      <c r="M572" s="13">
        <v>2</v>
      </c>
      <c r="N572" s="14">
        <v>-22.2</v>
      </c>
      <c r="O572" s="15"/>
    </row>
    <row r="573" spans="1:15" ht="16" x14ac:dyDescent="0.2">
      <c r="A573" s="7">
        <v>572</v>
      </c>
      <c r="B573" s="8" t="s">
        <v>641</v>
      </c>
      <c r="C573" s="8" t="s">
        <v>317</v>
      </c>
      <c r="D573" s="9" t="s">
        <v>195</v>
      </c>
      <c r="E573" s="13">
        <v>673.4</v>
      </c>
      <c r="F573" s="11">
        <v>0.33</v>
      </c>
      <c r="G573" s="12">
        <v>0</v>
      </c>
      <c r="H573" s="13">
        <v>258</v>
      </c>
      <c r="I573" s="13"/>
      <c r="J573" s="14">
        <v>-9.1999999999999993</v>
      </c>
      <c r="K573" s="15"/>
      <c r="L573" s="13">
        <v>1</v>
      </c>
      <c r="M573" s="13">
        <v>0</v>
      </c>
      <c r="N573" s="14">
        <v>-22.2</v>
      </c>
      <c r="O573" s="15"/>
    </row>
    <row r="574" spans="1:15" ht="16" x14ac:dyDescent="0.2">
      <c r="A574" s="7">
        <v>573</v>
      </c>
      <c r="B574" s="8" t="s">
        <v>1205</v>
      </c>
      <c r="C574" s="8" t="s">
        <v>320</v>
      </c>
      <c r="D574" s="9" t="s">
        <v>197</v>
      </c>
      <c r="E574" s="13"/>
      <c r="F574" s="13"/>
      <c r="G574" s="16"/>
      <c r="H574" s="13"/>
      <c r="I574" s="13">
        <v>66</v>
      </c>
      <c r="J574" s="14">
        <v>-9.1999999999999993</v>
      </c>
      <c r="K574" s="15"/>
      <c r="L574" s="13">
        <v>0</v>
      </c>
      <c r="M574" s="13">
        <v>0</v>
      </c>
      <c r="N574" s="14">
        <v>-22.2</v>
      </c>
      <c r="O574" s="15"/>
    </row>
    <row r="575" spans="1:15" ht="16" x14ac:dyDescent="0.2">
      <c r="A575" s="7">
        <v>574</v>
      </c>
      <c r="B575" s="8" t="s">
        <v>619</v>
      </c>
      <c r="C575" s="8" t="s">
        <v>319</v>
      </c>
      <c r="D575" s="9" t="s">
        <v>309</v>
      </c>
      <c r="E575" s="13">
        <v>640.79999999999995</v>
      </c>
      <c r="F575" s="11">
        <v>0.87</v>
      </c>
      <c r="G575" s="12">
        <v>0.02</v>
      </c>
      <c r="H575" s="13">
        <v>423</v>
      </c>
      <c r="I575" s="13"/>
      <c r="J575" s="14">
        <v>-9.1999999999999993</v>
      </c>
      <c r="K575" s="15"/>
      <c r="L575" s="13">
        <v>2</v>
      </c>
      <c r="M575" s="13">
        <v>0</v>
      </c>
      <c r="N575" s="14">
        <v>-22.2</v>
      </c>
      <c r="O575" s="15"/>
    </row>
    <row r="576" spans="1:15" ht="16" x14ac:dyDescent="0.2">
      <c r="A576" s="7">
        <v>575</v>
      </c>
      <c r="B576" s="8" t="s">
        <v>1206</v>
      </c>
      <c r="C576" s="8" t="s">
        <v>350</v>
      </c>
      <c r="D576" s="9" t="s">
        <v>196</v>
      </c>
      <c r="E576" s="13">
        <v>658.7</v>
      </c>
      <c r="F576" s="11">
        <v>0.74</v>
      </c>
      <c r="G576" s="12">
        <v>0.01</v>
      </c>
      <c r="H576" s="13"/>
      <c r="I576" s="13">
        <v>50</v>
      </c>
      <c r="J576" s="14">
        <v>-9.1999999999999993</v>
      </c>
      <c r="K576" s="15"/>
      <c r="L576" s="13">
        <v>2</v>
      </c>
      <c r="M576" s="13">
        <v>0</v>
      </c>
      <c r="N576" s="14">
        <v>-22.2</v>
      </c>
      <c r="O576" s="15"/>
    </row>
    <row r="577" spans="1:15" ht="16" x14ac:dyDescent="0.2">
      <c r="A577" s="7">
        <v>576</v>
      </c>
      <c r="B577" s="8" t="s">
        <v>1207</v>
      </c>
      <c r="C577" s="8" t="s">
        <v>362</v>
      </c>
      <c r="D577" s="9" t="s">
        <v>197</v>
      </c>
      <c r="E577" s="13">
        <v>596.70000000000005</v>
      </c>
      <c r="F577" s="11">
        <v>0.5</v>
      </c>
      <c r="G577" s="12">
        <v>0.02</v>
      </c>
      <c r="H577" s="13"/>
      <c r="I577" s="13">
        <v>42.1</v>
      </c>
      <c r="J577" s="14">
        <v>-9.1999999999999993</v>
      </c>
      <c r="K577" s="15"/>
      <c r="L577" s="13">
        <v>1</v>
      </c>
      <c r="M577" s="13">
        <v>0</v>
      </c>
      <c r="N577" s="14">
        <v>-22.3</v>
      </c>
      <c r="O577" s="15"/>
    </row>
    <row r="578" spans="1:15" ht="16" x14ac:dyDescent="0.2">
      <c r="A578" s="7">
        <v>577</v>
      </c>
      <c r="B578" s="8" t="s">
        <v>1208</v>
      </c>
      <c r="C578" s="8" t="s">
        <v>305</v>
      </c>
      <c r="D578" s="9" t="s">
        <v>196</v>
      </c>
      <c r="E578" s="13">
        <v>749.9</v>
      </c>
      <c r="F578" s="11">
        <v>0.17</v>
      </c>
      <c r="G578" s="12">
        <v>0.01</v>
      </c>
      <c r="H578" s="13"/>
      <c r="I578" s="13">
        <v>36</v>
      </c>
      <c r="J578" s="14">
        <v>-9.3000000000000007</v>
      </c>
      <c r="K578" s="15"/>
      <c r="L578" s="13">
        <v>0</v>
      </c>
      <c r="M578" s="13">
        <v>0</v>
      </c>
      <c r="N578" s="14">
        <v>-22.3</v>
      </c>
      <c r="O578" s="15"/>
    </row>
    <row r="579" spans="1:15" ht="16" x14ac:dyDescent="0.2">
      <c r="A579" s="7">
        <v>578</v>
      </c>
      <c r="B579" s="8" t="s">
        <v>668</v>
      </c>
      <c r="C579" s="8" t="s">
        <v>322</v>
      </c>
      <c r="D579" s="9" t="s">
        <v>190</v>
      </c>
      <c r="E579" s="13">
        <v>722.6</v>
      </c>
      <c r="F579" s="11">
        <v>0.46</v>
      </c>
      <c r="G579" s="12">
        <v>0.01</v>
      </c>
      <c r="H579" s="13">
        <v>69</v>
      </c>
      <c r="I579" s="13"/>
      <c r="J579" s="14">
        <v>-9.4</v>
      </c>
      <c r="K579" s="15"/>
      <c r="L579" s="13">
        <v>0</v>
      </c>
      <c r="M579" s="13">
        <v>0</v>
      </c>
      <c r="N579" s="14">
        <v>-22.3</v>
      </c>
      <c r="O579" s="15"/>
    </row>
    <row r="580" spans="1:15" ht="16" x14ac:dyDescent="0.2">
      <c r="A580" s="7">
        <v>579</v>
      </c>
      <c r="B580" s="8" t="s">
        <v>1209</v>
      </c>
      <c r="C580" s="8" t="s">
        <v>354</v>
      </c>
      <c r="D580" s="9" t="s">
        <v>197</v>
      </c>
      <c r="E580" s="13"/>
      <c r="F580" s="13"/>
      <c r="G580" s="16"/>
      <c r="H580" s="13"/>
      <c r="I580" s="13">
        <v>48.1</v>
      </c>
      <c r="J580" s="14">
        <v>-9.4</v>
      </c>
      <c r="K580" s="15"/>
      <c r="L580" s="13">
        <v>1</v>
      </c>
      <c r="M580" s="13">
        <v>0</v>
      </c>
      <c r="N580" s="14">
        <v>-22.3</v>
      </c>
      <c r="O580" s="15"/>
    </row>
    <row r="581" spans="1:15" ht="16" x14ac:dyDescent="0.2">
      <c r="A581" s="7">
        <v>580</v>
      </c>
      <c r="B581" s="8" t="s">
        <v>1210</v>
      </c>
      <c r="C581" s="8" t="s">
        <v>385</v>
      </c>
      <c r="D581" s="9" t="s">
        <v>197</v>
      </c>
      <c r="E581" s="13">
        <v>312.3</v>
      </c>
      <c r="F581" s="11">
        <v>1</v>
      </c>
      <c r="G581" s="12">
        <v>0.47</v>
      </c>
      <c r="H581" s="13"/>
      <c r="I581" s="13">
        <v>53.1</v>
      </c>
      <c r="J581" s="14">
        <v>-9.5</v>
      </c>
      <c r="K581" s="15"/>
      <c r="L581" s="13">
        <v>3</v>
      </c>
      <c r="M581" s="13">
        <v>0</v>
      </c>
      <c r="N581" s="14">
        <v>-22.4</v>
      </c>
      <c r="O581" s="15"/>
    </row>
    <row r="582" spans="1:15" ht="16" x14ac:dyDescent="0.2">
      <c r="A582" s="7">
        <v>581</v>
      </c>
      <c r="B582" s="8" t="s">
        <v>624</v>
      </c>
      <c r="C582" s="8" t="s">
        <v>325</v>
      </c>
      <c r="D582" s="9" t="s">
        <v>625</v>
      </c>
      <c r="E582" s="13">
        <v>645.79999999999995</v>
      </c>
      <c r="F582" s="11">
        <v>0.95</v>
      </c>
      <c r="G582" s="12">
        <v>0.02</v>
      </c>
      <c r="H582" s="13">
        <v>216</v>
      </c>
      <c r="I582" s="13"/>
      <c r="J582" s="14">
        <v>-9.5</v>
      </c>
      <c r="K582" s="15"/>
      <c r="L582" s="13">
        <v>0</v>
      </c>
      <c r="M582" s="13">
        <v>2</v>
      </c>
      <c r="N582" s="14">
        <v>-22.4</v>
      </c>
      <c r="O582" s="15"/>
    </row>
    <row r="583" spans="1:15" ht="16" x14ac:dyDescent="0.2">
      <c r="A583" s="7">
        <v>582</v>
      </c>
      <c r="B583" s="8" t="s">
        <v>1211</v>
      </c>
      <c r="C583" s="8" t="s">
        <v>335</v>
      </c>
      <c r="D583" s="9" t="s">
        <v>1005</v>
      </c>
      <c r="E583" s="13"/>
      <c r="F583" s="13"/>
      <c r="G583" s="16"/>
      <c r="H583" s="13"/>
      <c r="I583" s="13">
        <v>66.099999999999994</v>
      </c>
      <c r="J583" s="14">
        <v>-9.5</v>
      </c>
      <c r="K583" s="15"/>
      <c r="L583" s="13">
        <v>0</v>
      </c>
      <c r="M583" s="13">
        <v>0</v>
      </c>
      <c r="N583" s="14">
        <v>-22.4</v>
      </c>
      <c r="O583" s="15"/>
    </row>
    <row r="584" spans="1:15" ht="16" x14ac:dyDescent="0.2">
      <c r="A584" s="7">
        <v>583</v>
      </c>
      <c r="B584" s="8" t="s">
        <v>1212</v>
      </c>
      <c r="C584" s="8" t="s">
        <v>995</v>
      </c>
      <c r="D584" s="9" t="s">
        <v>196</v>
      </c>
      <c r="E584" s="13"/>
      <c r="F584" s="13"/>
      <c r="G584" s="16"/>
      <c r="H584" s="13"/>
      <c r="I584" s="13">
        <v>40</v>
      </c>
      <c r="J584" s="14">
        <v>-9.6</v>
      </c>
      <c r="K584" s="15"/>
      <c r="L584" s="13">
        <v>0</v>
      </c>
      <c r="M584" s="13">
        <v>1</v>
      </c>
      <c r="N584" s="14">
        <v>-22.4</v>
      </c>
      <c r="O584" s="15"/>
    </row>
    <row r="585" spans="1:15" ht="16" x14ac:dyDescent="0.2">
      <c r="A585" s="7">
        <v>584</v>
      </c>
      <c r="B585" s="8" t="s">
        <v>1213</v>
      </c>
      <c r="C585" s="8" t="s">
        <v>334</v>
      </c>
      <c r="D585" s="9" t="s">
        <v>197</v>
      </c>
      <c r="E585" s="13">
        <v>730.5</v>
      </c>
      <c r="F585" s="11">
        <v>0.23</v>
      </c>
      <c r="G585" s="12">
        <v>0.01</v>
      </c>
      <c r="H585" s="13"/>
      <c r="I585" s="13">
        <v>51</v>
      </c>
      <c r="J585" s="14">
        <v>-9.6</v>
      </c>
      <c r="K585" s="15"/>
      <c r="L585" s="13">
        <v>5</v>
      </c>
      <c r="M585" s="13">
        <v>1</v>
      </c>
      <c r="N585" s="14">
        <v>-22.5</v>
      </c>
      <c r="O585" s="15"/>
    </row>
    <row r="586" spans="1:15" ht="16" x14ac:dyDescent="0.2">
      <c r="A586" s="7">
        <v>585</v>
      </c>
      <c r="B586" s="8" t="s">
        <v>1214</v>
      </c>
      <c r="C586" s="8" t="s">
        <v>310</v>
      </c>
      <c r="D586" s="9" t="s">
        <v>197</v>
      </c>
      <c r="E586" s="13"/>
      <c r="F586" s="13"/>
      <c r="G586" s="16"/>
      <c r="H586" s="13"/>
      <c r="I586" s="13">
        <v>65.099999999999994</v>
      </c>
      <c r="J586" s="14">
        <v>-9.6999999999999993</v>
      </c>
      <c r="K586" s="15"/>
      <c r="L586" s="13">
        <v>1</v>
      </c>
      <c r="M586" s="13">
        <v>0</v>
      </c>
      <c r="N586" s="14">
        <v>-22.5</v>
      </c>
      <c r="O586" s="15"/>
    </row>
    <row r="587" spans="1:15" ht="16" x14ac:dyDescent="0.2">
      <c r="A587" s="7">
        <v>586</v>
      </c>
      <c r="B587" s="8" t="s">
        <v>525</v>
      </c>
      <c r="C587" s="8" t="s">
        <v>319</v>
      </c>
      <c r="D587" s="9" t="s">
        <v>194</v>
      </c>
      <c r="E587" s="13">
        <v>426.5</v>
      </c>
      <c r="F587" s="11">
        <v>1</v>
      </c>
      <c r="G587" s="12">
        <v>0.09</v>
      </c>
      <c r="H587" s="13">
        <v>451</v>
      </c>
      <c r="I587" s="13"/>
      <c r="J587" s="14">
        <v>-9.6999999999999993</v>
      </c>
      <c r="K587" s="15"/>
      <c r="L587" s="13">
        <v>1</v>
      </c>
      <c r="M587" s="13">
        <v>0</v>
      </c>
      <c r="N587" s="14">
        <v>-22.5</v>
      </c>
      <c r="O587" s="15"/>
    </row>
    <row r="588" spans="1:15" ht="16" x14ac:dyDescent="0.2">
      <c r="A588" s="7">
        <v>587</v>
      </c>
      <c r="B588" s="8" t="s">
        <v>1215</v>
      </c>
      <c r="C588" s="8" t="s">
        <v>385</v>
      </c>
      <c r="D588" s="9" t="s">
        <v>196</v>
      </c>
      <c r="E588" s="13"/>
      <c r="F588" s="13"/>
      <c r="G588" s="16"/>
      <c r="H588" s="13"/>
      <c r="I588" s="13">
        <v>42</v>
      </c>
      <c r="J588" s="14">
        <v>-9.6999999999999993</v>
      </c>
      <c r="K588" s="15"/>
      <c r="L588" s="13">
        <v>0</v>
      </c>
      <c r="M588" s="13">
        <v>1</v>
      </c>
      <c r="N588" s="14">
        <v>-22.6</v>
      </c>
      <c r="O588" s="15"/>
    </row>
    <row r="589" spans="1:15" ht="16" x14ac:dyDescent="0.2">
      <c r="A589" s="7">
        <v>588</v>
      </c>
      <c r="B589" s="8" t="s">
        <v>758</v>
      </c>
      <c r="C589" s="8" t="s">
        <v>342</v>
      </c>
      <c r="D589" s="9" t="s">
        <v>190</v>
      </c>
      <c r="E589" s="13">
        <v>750.7</v>
      </c>
      <c r="F589" s="11">
        <v>0.1</v>
      </c>
      <c r="G589" s="12">
        <v>0</v>
      </c>
      <c r="H589" s="13">
        <v>157</v>
      </c>
      <c r="I589" s="13"/>
      <c r="J589" s="14">
        <v>-9.6999999999999993</v>
      </c>
      <c r="K589" s="15"/>
      <c r="L589" s="13">
        <v>1</v>
      </c>
      <c r="M589" s="13">
        <v>0</v>
      </c>
      <c r="N589" s="14">
        <v>-22.6</v>
      </c>
      <c r="O589" s="15"/>
    </row>
    <row r="590" spans="1:15" ht="16" x14ac:dyDescent="0.2">
      <c r="A590" s="7">
        <v>589</v>
      </c>
      <c r="B590" s="8" t="s">
        <v>1216</v>
      </c>
      <c r="C590" s="8" t="s">
        <v>334</v>
      </c>
      <c r="D590" s="9" t="s">
        <v>196</v>
      </c>
      <c r="E590" s="13"/>
      <c r="F590" s="11">
        <v>0.01</v>
      </c>
      <c r="G590" s="12">
        <v>0</v>
      </c>
      <c r="H590" s="13"/>
      <c r="I590" s="13">
        <v>86.1</v>
      </c>
      <c r="J590" s="14">
        <v>-9.8000000000000007</v>
      </c>
      <c r="K590" s="15"/>
      <c r="L590" s="13">
        <v>0</v>
      </c>
      <c r="M590" s="13">
        <v>0</v>
      </c>
      <c r="N590" s="14">
        <v>-22.6</v>
      </c>
      <c r="O590" s="15"/>
    </row>
    <row r="591" spans="1:15" ht="16" x14ac:dyDescent="0.2">
      <c r="A591" s="7">
        <v>590</v>
      </c>
      <c r="B591" s="8" t="s">
        <v>1217</v>
      </c>
      <c r="C591" s="8" t="s">
        <v>348</v>
      </c>
      <c r="D591" s="9" t="s">
        <v>1005</v>
      </c>
      <c r="E591" s="13">
        <v>638.5</v>
      </c>
      <c r="F591" s="11">
        <v>0.95</v>
      </c>
      <c r="G591" s="12">
        <v>0</v>
      </c>
      <c r="H591" s="13"/>
      <c r="I591" s="13">
        <v>44</v>
      </c>
      <c r="J591" s="14">
        <v>-9.9</v>
      </c>
      <c r="K591" s="15"/>
      <c r="L591" s="13">
        <v>0</v>
      </c>
      <c r="M591" s="13">
        <v>0</v>
      </c>
      <c r="N591" s="14">
        <v>-22.7</v>
      </c>
      <c r="O591" s="15"/>
    </row>
    <row r="592" spans="1:15" ht="16" x14ac:dyDescent="0.2">
      <c r="A592" s="7">
        <v>591</v>
      </c>
      <c r="B592" s="8" t="s">
        <v>226</v>
      </c>
      <c r="C592" s="8" t="s">
        <v>349</v>
      </c>
      <c r="D592" s="9" t="s">
        <v>195</v>
      </c>
      <c r="E592" s="13">
        <v>604.29999999999995</v>
      </c>
      <c r="F592" s="11">
        <v>0.97</v>
      </c>
      <c r="G592" s="12">
        <v>0.01</v>
      </c>
      <c r="H592" s="13">
        <v>158</v>
      </c>
      <c r="I592" s="13"/>
      <c r="J592" s="14">
        <v>-9.9</v>
      </c>
      <c r="K592" s="15"/>
      <c r="L592" s="13">
        <v>0</v>
      </c>
      <c r="M592" s="13">
        <v>0</v>
      </c>
      <c r="N592" s="14">
        <v>-22.7</v>
      </c>
      <c r="O592" s="15"/>
    </row>
    <row r="593" spans="1:15" ht="16" x14ac:dyDescent="0.2">
      <c r="A593" s="7">
        <v>592</v>
      </c>
      <c r="B593" s="8" t="s">
        <v>1218</v>
      </c>
      <c r="C593" s="8" t="s">
        <v>335</v>
      </c>
      <c r="D593" s="9" t="s">
        <v>197</v>
      </c>
      <c r="E593" s="13">
        <v>532.9</v>
      </c>
      <c r="F593" s="11">
        <v>0.96</v>
      </c>
      <c r="G593" s="12">
        <v>0</v>
      </c>
      <c r="H593" s="13"/>
      <c r="I593" s="13">
        <v>59.1</v>
      </c>
      <c r="J593" s="14">
        <v>-10</v>
      </c>
      <c r="K593" s="15"/>
      <c r="L593" s="13">
        <v>0</v>
      </c>
      <c r="M593" s="13">
        <v>0</v>
      </c>
      <c r="N593" s="14">
        <v>-22.8</v>
      </c>
      <c r="O593" s="15"/>
    </row>
    <row r="594" spans="1:15" ht="16" x14ac:dyDescent="0.2">
      <c r="A594" s="7">
        <v>593</v>
      </c>
      <c r="B594" s="8" t="s">
        <v>1219</v>
      </c>
      <c r="C594" s="8" t="s">
        <v>307</v>
      </c>
      <c r="D594" s="9" t="s">
        <v>197</v>
      </c>
      <c r="E594" s="13"/>
      <c r="F594" s="13"/>
      <c r="G594" s="16"/>
      <c r="H594" s="13"/>
      <c r="I594" s="13">
        <v>51.1</v>
      </c>
      <c r="J594" s="14">
        <v>-10.1</v>
      </c>
      <c r="K594" s="15"/>
      <c r="L594" s="13">
        <v>0</v>
      </c>
      <c r="M594" s="13">
        <v>0</v>
      </c>
      <c r="N594" s="14">
        <v>-22.8</v>
      </c>
      <c r="O594" s="15"/>
    </row>
    <row r="595" spans="1:15" ht="16" x14ac:dyDescent="0.2">
      <c r="A595" s="7">
        <v>594</v>
      </c>
      <c r="B595" s="8" t="s">
        <v>1220</v>
      </c>
      <c r="C595" s="9"/>
      <c r="D595" s="9" t="s">
        <v>197</v>
      </c>
      <c r="E595" s="13"/>
      <c r="F595" s="13"/>
      <c r="G595" s="16"/>
      <c r="H595" s="13"/>
      <c r="I595" s="13">
        <v>70</v>
      </c>
      <c r="J595" s="14">
        <v>-10.1</v>
      </c>
      <c r="K595" s="15"/>
      <c r="L595" s="13">
        <v>0</v>
      </c>
      <c r="M595" s="13">
        <v>0</v>
      </c>
      <c r="N595" s="14">
        <v>-22.8</v>
      </c>
      <c r="O595" s="15"/>
    </row>
    <row r="596" spans="1:15" ht="16" x14ac:dyDescent="0.2">
      <c r="A596" s="7">
        <v>595</v>
      </c>
      <c r="B596" s="8" t="s">
        <v>478</v>
      </c>
      <c r="C596" s="8" t="s">
        <v>346</v>
      </c>
      <c r="D596" s="9" t="s">
        <v>195</v>
      </c>
      <c r="E596" s="13">
        <v>337.7</v>
      </c>
      <c r="F596" s="11">
        <v>1</v>
      </c>
      <c r="G596" s="12">
        <v>0.64</v>
      </c>
      <c r="H596" s="13">
        <v>362</v>
      </c>
      <c r="I596" s="13"/>
      <c r="J596" s="14">
        <v>-10.1</v>
      </c>
      <c r="K596" s="15"/>
      <c r="L596" s="13">
        <v>0</v>
      </c>
      <c r="M596" s="13">
        <v>0</v>
      </c>
      <c r="N596" s="14">
        <v>-22.8</v>
      </c>
      <c r="O596" s="15"/>
    </row>
    <row r="597" spans="1:15" ht="16" x14ac:dyDescent="0.2">
      <c r="A597" s="7">
        <v>596</v>
      </c>
      <c r="B597" s="8" t="s">
        <v>1221</v>
      </c>
      <c r="C597" s="8" t="s">
        <v>385</v>
      </c>
      <c r="D597" s="9" t="s">
        <v>196</v>
      </c>
      <c r="E597" s="13">
        <v>414.9</v>
      </c>
      <c r="F597" s="11">
        <v>1</v>
      </c>
      <c r="G597" s="12">
        <v>0.09</v>
      </c>
      <c r="H597" s="13"/>
      <c r="I597" s="13">
        <v>57</v>
      </c>
      <c r="J597" s="14">
        <v>-10.199999999999999</v>
      </c>
      <c r="K597" s="15"/>
      <c r="L597" s="13">
        <v>0</v>
      </c>
      <c r="M597" s="13">
        <v>0</v>
      </c>
      <c r="N597" s="14">
        <v>-22.8</v>
      </c>
      <c r="O597" s="15"/>
    </row>
    <row r="598" spans="1:15" ht="16" x14ac:dyDescent="0.2">
      <c r="A598" s="7">
        <v>597</v>
      </c>
      <c r="B598" s="8" t="s">
        <v>537</v>
      </c>
      <c r="C598" s="8" t="s">
        <v>350</v>
      </c>
      <c r="D598" s="9" t="s">
        <v>352</v>
      </c>
      <c r="E598" s="13">
        <v>450.6</v>
      </c>
      <c r="F598" s="11">
        <v>1</v>
      </c>
      <c r="G598" s="12">
        <v>0.05</v>
      </c>
      <c r="H598" s="13">
        <v>369</v>
      </c>
      <c r="I598" s="13"/>
      <c r="J598" s="14">
        <v>-10.199999999999999</v>
      </c>
      <c r="K598" s="15"/>
      <c r="L598" s="13">
        <v>2</v>
      </c>
      <c r="M598" s="13">
        <v>0</v>
      </c>
      <c r="N598" s="14">
        <v>-22.8</v>
      </c>
      <c r="O598" s="15"/>
    </row>
    <row r="599" spans="1:15" ht="16" x14ac:dyDescent="0.2">
      <c r="A599" s="7">
        <v>598</v>
      </c>
      <c r="B599" s="8" t="s">
        <v>1222</v>
      </c>
      <c r="C599" s="8" t="s">
        <v>322</v>
      </c>
      <c r="D599" s="9" t="s">
        <v>1005</v>
      </c>
      <c r="E599" s="13">
        <v>630.4</v>
      </c>
      <c r="F599" s="11">
        <v>0.99</v>
      </c>
      <c r="G599" s="12">
        <v>0</v>
      </c>
      <c r="H599" s="13"/>
      <c r="I599" s="13">
        <v>43</v>
      </c>
      <c r="J599" s="14">
        <v>-10.199999999999999</v>
      </c>
      <c r="K599" s="15"/>
      <c r="L599" s="13">
        <v>0</v>
      </c>
      <c r="M599" s="13">
        <v>1</v>
      </c>
      <c r="N599" s="14">
        <v>-22.9</v>
      </c>
      <c r="O599" s="15"/>
    </row>
    <row r="600" spans="1:15" ht="16" x14ac:dyDescent="0.2">
      <c r="A600" s="7">
        <v>599</v>
      </c>
      <c r="B600" s="8" t="s">
        <v>690</v>
      </c>
      <c r="C600" s="8" t="s">
        <v>305</v>
      </c>
      <c r="D600" s="9" t="s">
        <v>190</v>
      </c>
      <c r="E600" s="13">
        <v>739.4</v>
      </c>
      <c r="F600" s="11">
        <v>0.06</v>
      </c>
      <c r="G600" s="12">
        <v>0</v>
      </c>
      <c r="H600" s="13">
        <v>156</v>
      </c>
      <c r="I600" s="13"/>
      <c r="J600" s="14">
        <v>-10.199999999999999</v>
      </c>
      <c r="K600" s="15"/>
      <c r="L600" s="13">
        <v>0</v>
      </c>
      <c r="M600" s="13">
        <v>1</v>
      </c>
      <c r="N600" s="14">
        <v>-22.9</v>
      </c>
      <c r="O600" s="15"/>
    </row>
    <row r="601" spans="1:15" ht="16" x14ac:dyDescent="0.2">
      <c r="A601" s="7">
        <v>600</v>
      </c>
      <c r="B601" s="8" t="s">
        <v>1223</v>
      </c>
      <c r="C601" s="8" t="s">
        <v>335</v>
      </c>
      <c r="D601" s="9" t="s">
        <v>197</v>
      </c>
      <c r="E601" s="13"/>
      <c r="F601" s="13"/>
      <c r="G601" s="16"/>
      <c r="H601" s="13"/>
      <c r="I601" s="13">
        <v>63</v>
      </c>
      <c r="J601" s="14">
        <v>-10.199999999999999</v>
      </c>
      <c r="K601" s="15"/>
      <c r="L601" s="13">
        <v>1</v>
      </c>
      <c r="M601" s="13">
        <v>0</v>
      </c>
      <c r="N601" s="14">
        <v>-23</v>
      </c>
      <c r="O601" s="15"/>
    </row>
    <row r="602" spans="1:15" ht="16" x14ac:dyDescent="0.2">
      <c r="A602" s="7">
        <v>601</v>
      </c>
      <c r="B602" s="8" t="s">
        <v>1224</v>
      </c>
      <c r="C602" s="8" t="s">
        <v>334</v>
      </c>
      <c r="D602" s="9" t="s">
        <v>197</v>
      </c>
      <c r="E602" s="13">
        <v>133.1</v>
      </c>
      <c r="F602" s="11">
        <v>1</v>
      </c>
      <c r="G602" s="12">
        <v>1</v>
      </c>
      <c r="H602" s="13"/>
      <c r="I602" s="13">
        <v>57.1</v>
      </c>
      <c r="J602" s="14">
        <v>-10.3</v>
      </c>
      <c r="K602" s="15"/>
      <c r="L602" s="13">
        <v>1</v>
      </c>
      <c r="M602" s="13">
        <v>0</v>
      </c>
      <c r="N602" s="14">
        <v>-23</v>
      </c>
      <c r="O602" s="15"/>
    </row>
    <row r="603" spans="1:15" ht="16" x14ac:dyDescent="0.2">
      <c r="A603" s="7">
        <v>602</v>
      </c>
      <c r="B603" s="8" t="s">
        <v>1225</v>
      </c>
      <c r="C603" s="8" t="s">
        <v>335</v>
      </c>
      <c r="D603" s="9" t="s">
        <v>197</v>
      </c>
      <c r="E603" s="13"/>
      <c r="F603" s="11">
        <v>0.01</v>
      </c>
      <c r="G603" s="12">
        <v>0</v>
      </c>
      <c r="H603" s="13"/>
      <c r="I603" s="13">
        <v>64.099999999999994</v>
      </c>
      <c r="J603" s="14">
        <v>-10.3</v>
      </c>
      <c r="K603" s="15"/>
      <c r="L603" s="13">
        <v>5</v>
      </c>
      <c r="M603" s="13">
        <v>1</v>
      </c>
      <c r="N603" s="14">
        <v>-23</v>
      </c>
      <c r="O603" s="15"/>
    </row>
    <row r="604" spans="1:15" ht="16" x14ac:dyDescent="0.2">
      <c r="A604" s="7">
        <v>603</v>
      </c>
      <c r="B604" s="8" t="s">
        <v>702</v>
      </c>
      <c r="C604" s="8" t="s">
        <v>314</v>
      </c>
      <c r="D604" s="9" t="s">
        <v>190</v>
      </c>
      <c r="E604" s="13">
        <v>743.5</v>
      </c>
      <c r="F604" s="11">
        <v>0.14000000000000001</v>
      </c>
      <c r="G604" s="12">
        <v>0</v>
      </c>
      <c r="H604" s="13">
        <v>130</v>
      </c>
      <c r="I604" s="13"/>
      <c r="J604" s="14">
        <v>-10.4</v>
      </c>
      <c r="K604" s="15"/>
      <c r="L604" s="13">
        <v>1</v>
      </c>
      <c r="M604" s="13">
        <v>0</v>
      </c>
      <c r="N604" s="14">
        <v>-23.1</v>
      </c>
      <c r="O604" s="15"/>
    </row>
    <row r="605" spans="1:15" ht="16" x14ac:dyDescent="0.2">
      <c r="A605" s="7">
        <v>604</v>
      </c>
      <c r="B605" s="8" t="s">
        <v>1226</v>
      </c>
      <c r="C605" s="8" t="s">
        <v>331</v>
      </c>
      <c r="D605" s="9" t="s">
        <v>197</v>
      </c>
      <c r="E605" s="13">
        <v>742.5</v>
      </c>
      <c r="F605" s="11">
        <v>7.0000000000000007E-2</v>
      </c>
      <c r="G605" s="12">
        <v>0</v>
      </c>
      <c r="H605" s="13"/>
      <c r="I605" s="13">
        <v>55</v>
      </c>
      <c r="J605" s="14">
        <v>-10.4</v>
      </c>
      <c r="K605" s="15"/>
      <c r="L605" s="13">
        <v>1</v>
      </c>
      <c r="M605" s="13">
        <v>0</v>
      </c>
      <c r="N605" s="14">
        <v>-23.1</v>
      </c>
      <c r="O605" s="15"/>
    </row>
    <row r="606" spans="1:15" ht="16" x14ac:dyDescent="0.2">
      <c r="A606" s="7">
        <v>605</v>
      </c>
      <c r="B606" s="8" t="s">
        <v>292</v>
      </c>
      <c r="C606" s="8" t="s">
        <v>308</v>
      </c>
      <c r="D606" s="9" t="s">
        <v>197</v>
      </c>
      <c r="E606" s="13">
        <v>750.7</v>
      </c>
      <c r="F606" s="11">
        <v>0.03</v>
      </c>
      <c r="G606" s="12">
        <v>0</v>
      </c>
      <c r="H606" s="13"/>
      <c r="I606" s="13">
        <v>58</v>
      </c>
      <c r="J606" s="14">
        <v>-10.4</v>
      </c>
      <c r="K606" s="15"/>
      <c r="L606" s="13">
        <v>1</v>
      </c>
      <c r="M606" s="13">
        <v>0</v>
      </c>
      <c r="N606" s="14">
        <v>-23.2</v>
      </c>
      <c r="O606" s="15"/>
    </row>
    <row r="607" spans="1:15" ht="16" x14ac:dyDescent="0.2">
      <c r="A607" s="7">
        <v>606</v>
      </c>
      <c r="B607" s="8" t="s">
        <v>1227</v>
      </c>
      <c r="C607" s="8" t="s">
        <v>362</v>
      </c>
      <c r="D607" s="9" t="s">
        <v>197</v>
      </c>
      <c r="E607" s="13"/>
      <c r="F607" s="13"/>
      <c r="G607" s="16"/>
      <c r="H607" s="13"/>
      <c r="I607" s="13">
        <v>56</v>
      </c>
      <c r="J607" s="14">
        <v>-10.4</v>
      </c>
      <c r="K607" s="15"/>
      <c r="L607" s="13">
        <v>0</v>
      </c>
      <c r="M607" s="13">
        <v>0</v>
      </c>
      <c r="N607" s="14">
        <v>-23.2</v>
      </c>
      <c r="O607" s="15"/>
    </row>
    <row r="608" spans="1:15" ht="16" x14ac:dyDescent="0.2">
      <c r="A608" s="7">
        <v>607</v>
      </c>
      <c r="B608" s="8" t="s">
        <v>1228</v>
      </c>
      <c r="C608" s="8" t="s">
        <v>314</v>
      </c>
      <c r="D608" s="9" t="s">
        <v>197</v>
      </c>
      <c r="E608" s="13"/>
      <c r="F608" s="13"/>
      <c r="G608" s="16"/>
      <c r="H608" s="13"/>
      <c r="I608" s="13">
        <v>37.1</v>
      </c>
      <c r="J608" s="14">
        <v>-10.5</v>
      </c>
      <c r="K608" s="15"/>
      <c r="L608" s="13">
        <v>0</v>
      </c>
      <c r="M608" s="13">
        <v>0</v>
      </c>
      <c r="N608" s="14">
        <v>-23.2</v>
      </c>
      <c r="O608" s="15"/>
    </row>
    <row r="609" spans="1:15" ht="16" x14ac:dyDescent="0.2">
      <c r="A609" s="7">
        <v>608</v>
      </c>
      <c r="B609" s="8" t="s">
        <v>700</v>
      </c>
      <c r="C609" s="8" t="s">
        <v>322</v>
      </c>
      <c r="D609" s="9" t="s">
        <v>195</v>
      </c>
      <c r="E609" s="13">
        <v>743.2</v>
      </c>
      <c r="F609" s="11">
        <v>0.03</v>
      </c>
      <c r="G609" s="12">
        <v>0</v>
      </c>
      <c r="H609" s="13">
        <v>343</v>
      </c>
      <c r="I609" s="13"/>
      <c r="J609" s="14">
        <v>-10.5</v>
      </c>
      <c r="K609" s="15"/>
      <c r="L609" s="13">
        <v>0</v>
      </c>
      <c r="M609" s="13">
        <v>1</v>
      </c>
      <c r="N609" s="14">
        <v>-23.2</v>
      </c>
      <c r="O609" s="15"/>
    </row>
    <row r="610" spans="1:15" ht="16" x14ac:dyDescent="0.2">
      <c r="A610" s="7">
        <v>609</v>
      </c>
      <c r="B610" s="8" t="s">
        <v>1229</v>
      </c>
      <c r="C610" s="8" t="s">
        <v>337</v>
      </c>
      <c r="D610" s="9" t="s">
        <v>196</v>
      </c>
      <c r="E610" s="13">
        <v>512</v>
      </c>
      <c r="F610" s="11">
        <v>0.93</v>
      </c>
      <c r="G610" s="12">
        <v>0.02</v>
      </c>
      <c r="H610" s="13"/>
      <c r="I610" s="13">
        <v>79.099999999999994</v>
      </c>
      <c r="J610" s="14">
        <v>-10.6</v>
      </c>
      <c r="K610" s="15"/>
      <c r="L610" s="13">
        <v>0</v>
      </c>
      <c r="M610" s="13">
        <v>0</v>
      </c>
      <c r="N610" s="14">
        <v>-23.3</v>
      </c>
      <c r="O610" s="15"/>
    </row>
    <row r="611" spans="1:15" ht="16" x14ac:dyDescent="0.2">
      <c r="A611" s="7">
        <v>610</v>
      </c>
      <c r="B611" s="8" t="s">
        <v>1230</v>
      </c>
      <c r="C611" s="8" t="s">
        <v>354</v>
      </c>
      <c r="D611" s="9" t="s">
        <v>197</v>
      </c>
      <c r="E611" s="13"/>
      <c r="F611" s="11">
        <v>0.02</v>
      </c>
      <c r="G611" s="12">
        <v>0</v>
      </c>
      <c r="H611" s="13"/>
      <c r="I611" s="13">
        <v>80.099999999999994</v>
      </c>
      <c r="J611" s="14">
        <v>-10.6</v>
      </c>
      <c r="K611" s="15"/>
      <c r="L611" s="13">
        <v>0</v>
      </c>
      <c r="M611" s="13">
        <v>0</v>
      </c>
      <c r="N611" s="14">
        <v>-23.3</v>
      </c>
      <c r="O611" s="15"/>
    </row>
    <row r="612" spans="1:15" ht="16" x14ac:dyDescent="0.2">
      <c r="A612" s="7">
        <v>611</v>
      </c>
      <c r="B612" s="8" t="s">
        <v>1231</v>
      </c>
      <c r="C612" s="8" t="s">
        <v>315</v>
      </c>
      <c r="D612" s="9" t="s">
        <v>197</v>
      </c>
      <c r="E612" s="13">
        <v>156.69999999999999</v>
      </c>
      <c r="F612" s="11">
        <v>1</v>
      </c>
      <c r="G612" s="12">
        <v>0.66</v>
      </c>
      <c r="H612" s="13"/>
      <c r="I612" s="13">
        <v>56.1</v>
      </c>
      <c r="J612" s="14">
        <v>-10.6</v>
      </c>
      <c r="K612" s="15"/>
      <c r="L612" s="13">
        <v>1</v>
      </c>
      <c r="M612" s="13">
        <v>0</v>
      </c>
      <c r="N612" s="14">
        <v>-23.3</v>
      </c>
      <c r="O612" s="15"/>
    </row>
    <row r="613" spans="1:15" ht="16" x14ac:dyDescent="0.2">
      <c r="A613" s="7">
        <v>612</v>
      </c>
      <c r="B613" s="8" t="s">
        <v>769</v>
      </c>
      <c r="C613" s="8" t="s">
        <v>315</v>
      </c>
      <c r="D613" s="9" t="s">
        <v>190</v>
      </c>
      <c r="E613" s="13"/>
      <c r="F613" s="11">
        <v>0.01</v>
      </c>
      <c r="G613" s="12">
        <v>0</v>
      </c>
      <c r="H613" s="13">
        <v>158</v>
      </c>
      <c r="I613" s="13"/>
      <c r="J613" s="14">
        <v>-10.6</v>
      </c>
      <c r="K613" s="15"/>
      <c r="L613" s="13">
        <v>0</v>
      </c>
      <c r="M613" s="13">
        <v>1</v>
      </c>
      <c r="N613" s="14">
        <v>-23.3</v>
      </c>
      <c r="O613" s="15"/>
    </row>
    <row r="614" spans="1:15" ht="16" x14ac:dyDescent="0.2">
      <c r="A614" s="7">
        <v>613</v>
      </c>
      <c r="B614" s="8" t="s">
        <v>533</v>
      </c>
      <c r="C614" s="8" t="s">
        <v>362</v>
      </c>
      <c r="D614" s="9" t="s">
        <v>191</v>
      </c>
      <c r="E614" s="13">
        <v>445.1</v>
      </c>
      <c r="F614" s="11">
        <v>1</v>
      </c>
      <c r="G614" s="12">
        <v>0.19</v>
      </c>
      <c r="H614" s="13">
        <v>381</v>
      </c>
      <c r="I614" s="13"/>
      <c r="J614" s="14">
        <v>-10.6</v>
      </c>
      <c r="K614" s="15"/>
      <c r="L614" s="13">
        <v>2</v>
      </c>
      <c r="M614" s="13">
        <v>0</v>
      </c>
      <c r="N614" s="14">
        <v>-23.3</v>
      </c>
      <c r="O614" s="15"/>
    </row>
    <row r="615" spans="1:15" ht="16" x14ac:dyDescent="0.2">
      <c r="A615" s="7">
        <v>614</v>
      </c>
      <c r="B615" s="8" t="s">
        <v>1232</v>
      </c>
      <c r="C615" s="8" t="s">
        <v>335</v>
      </c>
      <c r="D615" s="9" t="s">
        <v>196</v>
      </c>
      <c r="E615" s="13">
        <v>741.3</v>
      </c>
      <c r="F615" s="11">
        <v>0.15</v>
      </c>
      <c r="G615" s="12">
        <v>0</v>
      </c>
      <c r="H615" s="13"/>
      <c r="I615" s="13">
        <v>95</v>
      </c>
      <c r="J615" s="14">
        <v>-10.7</v>
      </c>
      <c r="K615" s="15"/>
      <c r="L615" s="13">
        <v>0</v>
      </c>
      <c r="M615" s="13">
        <v>0</v>
      </c>
      <c r="N615" s="14">
        <v>-23.3</v>
      </c>
      <c r="O615" s="15"/>
    </row>
    <row r="616" spans="1:15" ht="16" x14ac:dyDescent="0.2">
      <c r="A616" s="7">
        <v>615</v>
      </c>
      <c r="B616" s="8" t="s">
        <v>748</v>
      </c>
      <c r="C616" s="8" t="s">
        <v>313</v>
      </c>
      <c r="D616" s="9" t="s">
        <v>195</v>
      </c>
      <c r="E616" s="13">
        <v>750.2</v>
      </c>
      <c r="F616" s="11">
        <v>0.01</v>
      </c>
      <c r="G616" s="12">
        <v>0</v>
      </c>
      <c r="H616" s="13">
        <v>275</v>
      </c>
      <c r="I616" s="13"/>
      <c r="J616" s="14">
        <v>-10.7</v>
      </c>
      <c r="K616" s="15"/>
      <c r="L616" s="13">
        <v>0</v>
      </c>
      <c r="M616" s="13">
        <v>0</v>
      </c>
      <c r="N616" s="14">
        <v>-23.4</v>
      </c>
      <c r="O616" s="15"/>
    </row>
    <row r="617" spans="1:15" ht="16" x14ac:dyDescent="0.2">
      <c r="A617" s="7">
        <v>616</v>
      </c>
      <c r="B617" s="8" t="s">
        <v>1233</v>
      </c>
      <c r="C617" s="8" t="s">
        <v>354</v>
      </c>
      <c r="D617" s="9" t="s">
        <v>196</v>
      </c>
      <c r="E617" s="13">
        <v>356.4</v>
      </c>
      <c r="F617" s="11">
        <v>1</v>
      </c>
      <c r="G617" s="12">
        <v>0.26</v>
      </c>
      <c r="H617" s="13"/>
      <c r="I617" s="13">
        <v>90</v>
      </c>
      <c r="J617" s="14">
        <v>-10.7</v>
      </c>
      <c r="K617" s="15"/>
      <c r="L617" s="13">
        <v>0</v>
      </c>
      <c r="M617" s="13">
        <v>0</v>
      </c>
      <c r="N617" s="14">
        <v>-23.5</v>
      </c>
      <c r="O617" s="15"/>
    </row>
    <row r="618" spans="1:15" ht="16" x14ac:dyDescent="0.2">
      <c r="A618" s="7">
        <v>617</v>
      </c>
      <c r="B618" s="8" t="s">
        <v>482</v>
      </c>
      <c r="C618" s="8" t="s">
        <v>334</v>
      </c>
      <c r="D618" s="9" t="s">
        <v>193</v>
      </c>
      <c r="E618" s="13">
        <v>343.6</v>
      </c>
      <c r="F618" s="11">
        <v>1</v>
      </c>
      <c r="G618" s="12">
        <v>0.37</v>
      </c>
      <c r="H618" s="13">
        <v>396</v>
      </c>
      <c r="I618" s="13"/>
      <c r="J618" s="14">
        <v>-10.7</v>
      </c>
      <c r="K618" s="15"/>
      <c r="L618" s="13">
        <v>0</v>
      </c>
      <c r="M618" s="13">
        <v>0</v>
      </c>
      <c r="N618" s="14">
        <v>-23.5</v>
      </c>
      <c r="O618" s="15"/>
    </row>
    <row r="619" spans="1:15" ht="16" x14ac:dyDescent="0.2">
      <c r="A619" s="7">
        <v>618</v>
      </c>
      <c r="B619" s="8" t="s">
        <v>613</v>
      </c>
      <c r="C619" s="8" t="s">
        <v>337</v>
      </c>
      <c r="D619" s="9" t="s">
        <v>191</v>
      </c>
      <c r="E619" s="13">
        <v>629.70000000000005</v>
      </c>
      <c r="F619" s="11">
        <v>0.98</v>
      </c>
      <c r="G619" s="12">
        <v>0.01</v>
      </c>
      <c r="H619" s="13">
        <v>249</v>
      </c>
      <c r="I619" s="13"/>
      <c r="J619" s="14">
        <v>-10.7</v>
      </c>
      <c r="K619" s="15"/>
      <c r="L619" s="13">
        <v>0</v>
      </c>
      <c r="M619" s="13">
        <v>0</v>
      </c>
      <c r="N619" s="14">
        <v>-23.5</v>
      </c>
      <c r="O619" s="15"/>
    </row>
    <row r="620" spans="1:15" ht="16" x14ac:dyDescent="0.2">
      <c r="A620" s="7">
        <v>619</v>
      </c>
      <c r="B620" s="8" t="s">
        <v>1234</v>
      </c>
      <c r="C620" s="8" t="s">
        <v>348</v>
      </c>
      <c r="D620" s="9" t="s">
        <v>196</v>
      </c>
      <c r="E620" s="13">
        <v>594.5</v>
      </c>
      <c r="F620" s="11">
        <v>0.98</v>
      </c>
      <c r="G620" s="12">
        <v>0</v>
      </c>
      <c r="H620" s="13"/>
      <c r="I620" s="13">
        <v>171.1</v>
      </c>
      <c r="J620" s="14">
        <v>-10.8</v>
      </c>
      <c r="K620" s="15"/>
      <c r="L620" s="13">
        <v>1</v>
      </c>
      <c r="M620" s="13">
        <v>1</v>
      </c>
      <c r="N620" s="14">
        <v>-23.6</v>
      </c>
      <c r="O620" s="15"/>
    </row>
    <row r="621" spans="1:15" ht="16" x14ac:dyDescent="0.2">
      <c r="A621" s="7">
        <v>620</v>
      </c>
      <c r="B621" s="8" t="s">
        <v>1235</v>
      </c>
      <c r="C621" s="8" t="s">
        <v>349</v>
      </c>
      <c r="D621" s="9" t="s">
        <v>197</v>
      </c>
      <c r="E621" s="13"/>
      <c r="F621" s="13"/>
      <c r="G621" s="16"/>
      <c r="H621" s="13"/>
      <c r="I621" s="13">
        <v>38.1</v>
      </c>
      <c r="J621" s="14">
        <v>-10.8</v>
      </c>
      <c r="K621" s="15"/>
      <c r="L621" s="13">
        <v>0</v>
      </c>
      <c r="M621" s="13">
        <v>0</v>
      </c>
      <c r="N621" s="14">
        <v>-23.6</v>
      </c>
      <c r="O621" s="15"/>
    </row>
    <row r="622" spans="1:15" ht="16" x14ac:dyDescent="0.2">
      <c r="A622" s="7">
        <v>621</v>
      </c>
      <c r="B622" s="8" t="s">
        <v>693</v>
      </c>
      <c r="C622" s="9"/>
      <c r="D622" s="9" t="s">
        <v>431</v>
      </c>
      <c r="E622" s="13">
        <v>741</v>
      </c>
      <c r="F622" s="11">
        <v>0.36</v>
      </c>
      <c r="G622" s="12">
        <v>0.01</v>
      </c>
      <c r="H622" s="13">
        <v>335</v>
      </c>
      <c r="I622" s="13"/>
      <c r="J622" s="14">
        <v>-10.8</v>
      </c>
      <c r="K622" s="15"/>
      <c r="L622" s="13">
        <v>0</v>
      </c>
      <c r="M622" s="13">
        <v>1</v>
      </c>
      <c r="N622" s="14">
        <v>-23.6</v>
      </c>
      <c r="O622" s="15"/>
    </row>
    <row r="623" spans="1:15" ht="16" x14ac:dyDescent="0.2">
      <c r="A623" s="7">
        <v>622</v>
      </c>
      <c r="B623" s="8" t="s">
        <v>368</v>
      </c>
      <c r="C623" s="8" t="s">
        <v>325</v>
      </c>
      <c r="D623" s="9" t="s">
        <v>191</v>
      </c>
      <c r="E623" s="13">
        <v>127.2</v>
      </c>
      <c r="F623" s="11">
        <v>1</v>
      </c>
      <c r="G623" s="12">
        <v>1</v>
      </c>
      <c r="H623" s="13">
        <v>243</v>
      </c>
      <c r="I623" s="13"/>
      <c r="J623" s="14">
        <v>-10.8</v>
      </c>
      <c r="K623" s="15"/>
      <c r="L623" s="13">
        <v>0</v>
      </c>
      <c r="M623" s="13">
        <v>0</v>
      </c>
      <c r="N623" s="14">
        <v>-23.6</v>
      </c>
      <c r="O623" s="15"/>
    </row>
    <row r="624" spans="1:15" ht="16" x14ac:dyDescent="0.2">
      <c r="A624" s="7">
        <v>623</v>
      </c>
      <c r="B624" s="8" t="s">
        <v>1236</v>
      </c>
      <c r="C624" s="8" t="s">
        <v>334</v>
      </c>
      <c r="D624" s="9" t="s">
        <v>197</v>
      </c>
      <c r="E624" s="13"/>
      <c r="F624" s="13"/>
      <c r="G624" s="16"/>
      <c r="H624" s="13"/>
      <c r="I624" s="13">
        <v>37.1</v>
      </c>
      <c r="J624" s="14">
        <v>-10.9</v>
      </c>
      <c r="K624" s="15"/>
      <c r="L624" s="13">
        <v>0</v>
      </c>
      <c r="M624" s="13">
        <v>0</v>
      </c>
      <c r="N624" s="14">
        <v>-23.6</v>
      </c>
      <c r="O624" s="15"/>
    </row>
    <row r="625" spans="1:15" ht="16" x14ac:dyDescent="0.2">
      <c r="A625" s="7">
        <v>624</v>
      </c>
      <c r="B625" s="8" t="s">
        <v>1237</v>
      </c>
      <c r="C625" s="8" t="s">
        <v>310</v>
      </c>
      <c r="D625" s="9" t="s">
        <v>196</v>
      </c>
      <c r="E625" s="13">
        <v>722.9</v>
      </c>
      <c r="F625" s="11">
        <v>0.27</v>
      </c>
      <c r="G625" s="12">
        <v>0</v>
      </c>
      <c r="H625" s="13"/>
      <c r="I625" s="13">
        <v>77</v>
      </c>
      <c r="J625" s="14">
        <v>-10.9</v>
      </c>
      <c r="K625" s="15"/>
      <c r="L625" s="13">
        <v>0</v>
      </c>
      <c r="M625" s="13">
        <v>0</v>
      </c>
      <c r="N625" s="14">
        <v>-23.8</v>
      </c>
      <c r="O625" s="15"/>
    </row>
    <row r="626" spans="1:15" ht="16" x14ac:dyDescent="0.2">
      <c r="A626" s="7">
        <v>625</v>
      </c>
      <c r="B626" s="8" t="s">
        <v>1238</v>
      </c>
      <c r="C626" s="8" t="s">
        <v>349</v>
      </c>
      <c r="D626" s="9" t="s">
        <v>196</v>
      </c>
      <c r="E626" s="13">
        <v>677.8</v>
      </c>
      <c r="F626" s="11">
        <v>0.85</v>
      </c>
      <c r="G626" s="12">
        <v>0.01</v>
      </c>
      <c r="H626" s="13"/>
      <c r="I626" s="13">
        <v>162</v>
      </c>
      <c r="J626" s="14">
        <v>-11</v>
      </c>
      <c r="K626" s="15"/>
      <c r="L626" s="13">
        <v>0</v>
      </c>
      <c r="M626" s="13">
        <v>0</v>
      </c>
      <c r="N626" s="14">
        <v>-23.9</v>
      </c>
      <c r="O626" s="15"/>
    </row>
    <row r="627" spans="1:15" ht="16" x14ac:dyDescent="0.2">
      <c r="A627" s="7">
        <v>626</v>
      </c>
      <c r="B627" s="8" t="s">
        <v>1239</v>
      </c>
      <c r="C627" s="8" t="s">
        <v>310</v>
      </c>
      <c r="D627" s="9" t="s">
        <v>197</v>
      </c>
      <c r="E627" s="13">
        <v>730.1</v>
      </c>
      <c r="F627" s="11">
        <v>0.31</v>
      </c>
      <c r="G627" s="12">
        <v>0</v>
      </c>
      <c r="H627" s="13"/>
      <c r="I627" s="13">
        <v>38</v>
      </c>
      <c r="J627" s="14">
        <v>-11</v>
      </c>
      <c r="K627" s="15"/>
      <c r="L627" s="13">
        <v>1</v>
      </c>
      <c r="M627" s="13">
        <v>0</v>
      </c>
      <c r="N627" s="14">
        <v>-23.9</v>
      </c>
      <c r="O627" s="15"/>
    </row>
    <row r="628" spans="1:15" ht="16" x14ac:dyDescent="0.2">
      <c r="A628" s="7">
        <v>627</v>
      </c>
      <c r="B628" s="8" t="s">
        <v>1240</v>
      </c>
      <c r="C628" s="8" t="s">
        <v>305</v>
      </c>
      <c r="D628" s="9" t="s">
        <v>197</v>
      </c>
      <c r="E628" s="13"/>
      <c r="F628" s="13"/>
      <c r="G628" s="16"/>
      <c r="H628" s="13"/>
      <c r="I628" s="13">
        <v>59</v>
      </c>
      <c r="J628" s="14">
        <v>-11</v>
      </c>
      <c r="K628" s="15"/>
      <c r="L628" s="13">
        <v>0</v>
      </c>
      <c r="M628" s="13">
        <v>0</v>
      </c>
      <c r="N628" s="14">
        <v>-23.9</v>
      </c>
      <c r="O628" s="15"/>
    </row>
    <row r="629" spans="1:15" ht="16" x14ac:dyDescent="0.2">
      <c r="A629" s="7">
        <v>628</v>
      </c>
      <c r="B629" s="8" t="s">
        <v>746</v>
      </c>
      <c r="C629" s="8" t="s">
        <v>326</v>
      </c>
      <c r="D629" s="9" t="s">
        <v>190</v>
      </c>
      <c r="E629" s="13">
        <v>750.1</v>
      </c>
      <c r="F629" s="11">
        <v>0.03</v>
      </c>
      <c r="G629" s="12">
        <v>0</v>
      </c>
      <c r="H629" s="13">
        <v>187</v>
      </c>
      <c r="I629" s="13"/>
      <c r="J629" s="14">
        <v>-11</v>
      </c>
      <c r="K629" s="15"/>
      <c r="L629" s="13">
        <v>0</v>
      </c>
      <c r="M629" s="13">
        <v>0</v>
      </c>
      <c r="N629" s="14">
        <v>-24</v>
      </c>
      <c r="O629" s="15"/>
    </row>
    <row r="630" spans="1:15" ht="16" x14ac:dyDescent="0.2">
      <c r="A630" s="7">
        <v>629</v>
      </c>
      <c r="B630" s="8" t="s">
        <v>1241</v>
      </c>
      <c r="C630" s="8" t="s">
        <v>315</v>
      </c>
      <c r="D630" s="9" t="s">
        <v>196</v>
      </c>
      <c r="E630" s="13">
        <v>690</v>
      </c>
      <c r="F630" s="11">
        <v>0.84</v>
      </c>
      <c r="G630" s="12">
        <v>0.04</v>
      </c>
      <c r="H630" s="13"/>
      <c r="I630" s="13">
        <v>46</v>
      </c>
      <c r="J630" s="14">
        <v>-11</v>
      </c>
      <c r="K630" s="15"/>
      <c r="L630" s="13">
        <v>0</v>
      </c>
      <c r="M630" s="13">
        <v>0</v>
      </c>
      <c r="N630" s="14">
        <v>-24.1</v>
      </c>
      <c r="O630" s="15"/>
    </row>
    <row r="631" spans="1:15" ht="16" x14ac:dyDescent="0.2">
      <c r="A631" s="7">
        <v>630</v>
      </c>
      <c r="B631" s="8" t="s">
        <v>770</v>
      </c>
      <c r="C631" s="8" t="s">
        <v>350</v>
      </c>
      <c r="D631" s="9" t="s">
        <v>190</v>
      </c>
      <c r="E631" s="13"/>
      <c r="F631" s="11">
        <v>0.02</v>
      </c>
      <c r="G631" s="12">
        <v>0</v>
      </c>
      <c r="H631" s="13">
        <v>186</v>
      </c>
      <c r="I631" s="13"/>
      <c r="J631" s="14">
        <v>-11.1</v>
      </c>
      <c r="K631" s="15"/>
      <c r="L631" s="13">
        <v>0</v>
      </c>
      <c r="M631" s="13">
        <v>0</v>
      </c>
      <c r="N631" s="14">
        <v>-24.1</v>
      </c>
      <c r="O631" s="15"/>
    </row>
    <row r="632" spans="1:15" ht="16" x14ac:dyDescent="0.2">
      <c r="A632" s="7">
        <v>631</v>
      </c>
      <c r="B632" s="8" t="s">
        <v>1242</v>
      </c>
      <c r="C632" s="9"/>
      <c r="D632" s="9" t="s">
        <v>197</v>
      </c>
      <c r="E632" s="13"/>
      <c r="F632" s="13"/>
      <c r="G632" s="16"/>
      <c r="H632" s="13"/>
      <c r="I632" s="13">
        <v>37.1</v>
      </c>
      <c r="J632" s="14">
        <v>-11.1</v>
      </c>
      <c r="K632" s="15"/>
      <c r="L632" s="13">
        <v>1</v>
      </c>
      <c r="M632" s="13">
        <v>0</v>
      </c>
      <c r="N632" s="14">
        <v>-24.1</v>
      </c>
      <c r="O632" s="15"/>
    </row>
    <row r="633" spans="1:15" ht="16" x14ac:dyDescent="0.2">
      <c r="A633" s="7">
        <v>632</v>
      </c>
      <c r="B633" s="8" t="s">
        <v>1243</v>
      </c>
      <c r="C633" s="8" t="s">
        <v>313</v>
      </c>
      <c r="D633" s="9" t="s">
        <v>196</v>
      </c>
      <c r="E633" s="13">
        <v>524.29999999999995</v>
      </c>
      <c r="F633" s="11">
        <v>1</v>
      </c>
      <c r="G633" s="12">
        <v>0</v>
      </c>
      <c r="H633" s="13"/>
      <c r="I633" s="13">
        <v>79.099999999999994</v>
      </c>
      <c r="J633" s="14">
        <v>-11.1</v>
      </c>
      <c r="K633" s="15"/>
      <c r="L633" s="13">
        <v>0</v>
      </c>
      <c r="M633" s="13">
        <v>0</v>
      </c>
      <c r="N633" s="14">
        <v>-24.2</v>
      </c>
      <c r="O633" s="15"/>
    </row>
    <row r="634" spans="1:15" ht="16" x14ac:dyDescent="0.2">
      <c r="A634" s="7">
        <v>633</v>
      </c>
      <c r="B634" s="8" t="s">
        <v>501</v>
      </c>
      <c r="C634" s="8" t="s">
        <v>311</v>
      </c>
      <c r="D634" s="9" t="s">
        <v>195</v>
      </c>
      <c r="E634" s="13">
        <v>388.6</v>
      </c>
      <c r="F634" s="11">
        <v>1</v>
      </c>
      <c r="G634" s="12">
        <v>0.32</v>
      </c>
      <c r="H634" s="13">
        <v>198</v>
      </c>
      <c r="I634" s="13"/>
      <c r="J634" s="14">
        <v>-11.3</v>
      </c>
      <c r="K634" s="15"/>
      <c r="L634" s="13">
        <v>0</v>
      </c>
      <c r="M634" s="13">
        <v>0</v>
      </c>
      <c r="N634" s="14">
        <v>-24.2</v>
      </c>
      <c r="O634" s="15"/>
    </row>
    <row r="635" spans="1:15" ht="16" x14ac:dyDescent="0.2">
      <c r="A635" s="7">
        <v>634</v>
      </c>
      <c r="B635" s="8" t="s">
        <v>1244</v>
      </c>
      <c r="C635" s="8" t="s">
        <v>319</v>
      </c>
      <c r="D635" s="9" t="s">
        <v>197</v>
      </c>
      <c r="E635" s="13"/>
      <c r="F635" s="13"/>
      <c r="G635" s="16"/>
      <c r="H635" s="13"/>
      <c r="I635" s="13">
        <v>52.1</v>
      </c>
      <c r="J635" s="14">
        <v>-11.3</v>
      </c>
      <c r="K635" s="15"/>
      <c r="L635" s="13">
        <v>0</v>
      </c>
      <c r="M635" s="13">
        <v>1</v>
      </c>
      <c r="N635" s="14">
        <v>-24.3</v>
      </c>
      <c r="O635" s="15"/>
    </row>
    <row r="636" spans="1:15" ht="16" x14ac:dyDescent="0.2">
      <c r="A636" s="7">
        <v>635</v>
      </c>
      <c r="B636" s="8" t="s">
        <v>1245</v>
      </c>
      <c r="C636" s="8" t="s">
        <v>349</v>
      </c>
      <c r="D636" s="9" t="s">
        <v>197</v>
      </c>
      <c r="E636" s="13">
        <v>699.2</v>
      </c>
      <c r="F636" s="11">
        <v>0.51</v>
      </c>
      <c r="G636" s="12">
        <v>0</v>
      </c>
      <c r="H636" s="13"/>
      <c r="I636" s="13">
        <v>73.099999999999994</v>
      </c>
      <c r="J636" s="14">
        <v>-11.4</v>
      </c>
      <c r="K636" s="15"/>
      <c r="L636" s="13">
        <v>0</v>
      </c>
      <c r="M636" s="13">
        <v>0</v>
      </c>
      <c r="N636" s="14">
        <v>-24.4</v>
      </c>
      <c r="O636" s="15"/>
    </row>
    <row r="637" spans="1:15" ht="16" x14ac:dyDescent="0.2">
      <c r="A637" s="7">
        <v>636</v>
      </c>
      <c r="B637" s="8" t="s">
        <v>1246</v>
      </c>
      <c r="C637" s="8" t="s">
        <v>319</v>
      </c>
      <c r="D637" s="9" t="s">
        <v>197</v>
      </c>
      <c r="E637" s="13"/>
      <c r="F637" s="11">
        <v>0.01</v>
      </c>
      <c r="G637" s="12">
        <v>0</v>
      </c>
      <c r="H637" s="13"/>
      <c r="I637" s="13">
        <v>38.1</v>
      </c>
      <c r="J637" s="14">
        <v>-11.4</v>
      </c>
      <c r="K637" s="15"/>
      <c r="L637" s="13">
        <v>1</v>
      </c>
      <c r="M637" s="13">
        <v>0</v>
      </c>
      <c r="N637" s="14">
        <v>-24.4</v>
      </c>
      <c r="O637" s="15"/>
    </row>
    <row r="638" spans="1:15" ht="16" x14ac:dyDescent="0.2">
      <c r="A638" s="7">
        <v>637</v>
      </c>
      <c r="B638" s="8" t="s">
        <v>1247</v>
      </c>
      <c r="C638" s="8" t="s">
        <v>310</v>
      </c>
      <c r="D638" s="9" t="s">
        <v>197</v>
      </c>
      <c r="E638" s="13">
        <v>735.6</v>
      </c>
      <c r="F638" s="11">
        <v>0.08</v>
      </c>
      <c r="G638" s="12">
        <v>0</v>
      </c>
      <c r="H638" s="13"/>
      <c r="I638" s="13">
        <v>55</v>
      </c>
      <c r="J638" s="14">
        <v>-11.4</v>
      </c>
      <c r="K638" s="15"/>
      <c r="L638" s="13">
        <v>1</v>
      </c>
      <c r="M638" s="13">
        <v>0</v>
      </c>
      <c r="N638" s="14">
        <v>-24.4</v>
      </c>
      <c r="O638" s="15"/>
    </row>
    <row r="639" spans="1:15" ht="16" x14ac:dyDescent="0.2">
      <c r="A639" s="7">
        <v>638</v>
      </c>
      <c r="B639" s="8" t="s">
        <v>1248</v>
      </c>
      <c r="C639" s="8" t="s">
        <v>350</v>
      </c>
      <c r="D639" s="9" t="s">
        <v>197</v>
      </c>
      <c r="E639" s="13"/>
      <c r="F639" s="13"/>
      <c r="G639" s="16"/>
      <c r="H639" s="13"/>
      <c r="I639" s="13">
        <v>42.1</v>
      </c>
      <c r="J639" s="14">
        <v>-11.4</v>
      </c>
      <c r="K639" s="15"/>
      <c r="L639" s="13">
        <v>0</v>
      </c>
      <c r="M639" s="13">
        <v>0</v>
      </c>
      <c r="N639" s="14">
        <v>-24.6</v>
      </c>
      <c r="O639" s="15"/>
    </row>
    <row r="640" spans="1:15" ht="16" x14ac:dyDescent="0.2">
      <c r="A640" s="7">
        <v>639</v>
      </c>
      <c r="B640" s="8" t="s">
        <v>452</v>
      </c>
      <c r="C640" s="8" t="s">
        <v>385</v>
      </c>
      <c r="D640" s="9" t="s">
        <v>193</v>
      </c>
      <c r="E640" s="13">
        <v>276.5</v>
      </c>
      <c r="F640" s="11">
        <v>1</v>
      </c>
      <c r="G640" s="12">
        <v>0.94</v>
      </c>
      <c r="H640" s="13">
        <v>194</v>
      </c>
      <c r="I640" s="13"/>
      <c r="J640" s="14">
        <v>-11.5</v>
      </c>
      <c r="K640" s="15"/>
      <c r="L640" s="13">
        <v>0</v>
      </c>
      <c r="M640" s="13">
        <v>0</v>
      </c>
      <c r="N640" s="14">
        <v>-24.6</v>
      </c>
      <c r="O640" s="15"/>
    </row>
    <row r="641" spans="1:15" ht="16" x14ac:dyDescent="0.2">
      <c r="A641" s="7">
        <v>640</v>
      </c>
      <c r="B641" s="8" t="s">
        <v>688</v>
      </c>
      <c r="C641" s="8" t="s">
        <v>326</v>
      </c>
      <c r="D641" s="9" t="s">
        <v>190</v>
      </c>
      <c r="E641" s="13">
        <v>738.7</v>
      </c>
      <c r="F641" s="11">
        <v>0.18</v>
      </c>
      <c r="G641" s="12">
        <v>0</v>
      </c>
      <c r="H641" s="13">
        <v>56</v>
      </c>
      <c r="I641" s="13"/>
      <c r="J641" s="14">
        <v>-11.5</v>
      </c>
      <c r="K641" s="15"/>
      <c r="L641" s="13">
        <v>0</v>
      </c>
      <c r="M641" s="13">
        <v>0</v>
      </c>
      <c r="N641" s="14">
        <v>-24.6</v>
      </c>
      <c r="O641" s="15"/>
    </row>
    <row r="642" spans="1:15" ht="16" x14ac:dyDescent="0.2">
      <c r="A642" s="7">
        <v>641</v>
      </c>
      <c r="B642" s="8" t="s">
        <v>730</v>
      </c>
      <c r="C642" s="8" t="s">
        <v>371</v>
      </c>
      <c r="D642" s="9" t="s">
        <v>195</v>
      </c>
      <c r="E642" s="13">
        <v>748.6</v>
      </c>
      <c r="F642" s="11">
        <v>0.09</v>
      </c>
      <c r="G642" s="12">
        <v>0</v>
      </c>
      <c r="H642" s="13">
        <v>257</v>
      </c>
      <c r="I642" s="13"/>
      <c r="J642" s="14">
        <v>-11.5</v>
      </c>
      <c r="K642" s="15"/>
      <c r="L642" s="13">
        <v>0</v>
      </c>
      <c r="M642" s="13">
        <v>1</v>
      </c>
      <c r="N642" s="14">
        <v>-24.7</v>
      </c>
      <c r="O642" s="15"/>
    </row>
    <row r="643" spans="1:15" ht="16" x14ac:dyDescent="0.2">
      <c r="A643" s="7">
        <v>642</v>
      </c>
      <c r="B643" s="8" t="s">
        <v>771</v>
      </c>
      <c r="C643" s="8" t="s">
        <v>325</v>
      </c>
      <c r="D643" s="9" t="s">
        <v>193</v>
      </c>
      <c r="E643" s="13"/>
      <c r="F643" s="11">
        <v>0.01</v>
      </c>
      <c r="G643" s="12">
        <v>0</v>
      </c>
      <c r="H643" s="13">
        <v>364</v>
      </c>
      <c r="I643" s="13"/>
      <c r="J643" s="14">
        <v>-11.5</v>
      </c>
      <c r="K643" s="15"/>
      <c r="L643" s="13">
        <v>0</v>
      </c>
      <c r="M643" s="13">
        <v>0</v>
      </c>
      <c r="N643" s="14">
        <v>-24.8</v>
      </c>
      <c r="O643" s="15"/>
    </row>
    <row r="644" spans="1:15" ht="16" x14ac:dyDescent="0.2">
      <c r="A644" s="7">
        <v>643</v>
      </c>
      <c r="B644" s="8" t="s">
        <v>1249</v>
      </c>
      <c r="C644" s="8" t="s">
        <v>325</v>
      </c>
      <c r="D644" s="9" t="s">
        <v>197</v>
      </c>
      <c r="E644" s="13"/>
      <c r="F644" s="13"/>
      <c r="G644" s="16"/>
      <c r="H644" s="13"/>
      <c r="I644" s="13">
        <v>51</v>
      </c>
      <c r="J644" s="14">
        <v>-11.6</v>
      </c>
      <c r="K644" s="15"/>
      <c r="L644" s="13">
        <v>0</v>
      </c>
      <c r="M644" s="13">
        <v>0</v>
      </c>
      <c r="N644" s="14">
        <v>-24.8</v>
      </c>
      <c r="O644" s="15"/>
    </row>
    <row r="645" spans="1:15" ht="16" x14ac:dyDescent="0.2">
      <c r="A645" s="7">
        <v>644</v>
      </c>
      <c r="B645" s="8" t="s">
        <v>1250</v>
      </c>
      <c r="C645" s="8" t="s">
        <v>349</v>
      </c>
      <c r="D645" s="9" t="s">
        <v>196</v>
      </c>
      <c r="E645" s="13">
        <v>745</v>
      </c>
      <c r="F645" s="11">
        <v>0.05</v>
      </c>
      <c r="G645" s="12">
        <v>0</v>
      </c>
      <c r="H645" s="13"/>
      <c r="I645" s="13">
        <v>165</v>
      </c>
      <c r="J645" s="14">
        <v>-11.6</v>
      </c>
      <c r="K645" s="15"/>
      <c r="L645" s="10">
        <v>0</v>
      </c>
      <c r="M645" s="10">
        <v>0</v>
      </c>
      <c r="N645" s="17">
        <v>-24.9</v>
      </c>
      <c r="O645" s="18"/>
    </row>
    <row r="646" spans="1:15" ht="16" x14ac:dyDescent="0.2">
      <c r="A646" s="7">
        <v>645</v>
      </c>
      <c r="B646" s="8" t="s">
        <v>1251</v>
      </c>
      <c r="C646" s="8" t="s">
        <v>326</v>
      </c>
      <c r="D646" s="9" t="s">
        <v>197</v>
      </c>
      <c r="E646" s="13">
        <v>750.2</v>
      </c>
      <c r="F646" s="11">
        <v>0.01</v>
      </c>
      <c r="G646" s="12">
        <v>0</v>
      </c>
      <c r="H646" s="13"/>
      <c r="I646" s="13">
        <v>72</v>
      </c>
      <c r="J646" s="14">
        <v>-11.6</v>
      </c>
      <c r="K646" s="15"/>
      <c r="L646" s="13">
        <v>0</v>
      </c>
      <c r="M646" s="13">
        <v>0</v>
      </c>
      <c r="N646" s="14">
        <v>-25.4</v>
      </c>
      <c r="O646" s="15"/>
    </row>
    <row r="647" spans="1:15" ht="16" x14ac:dyDescent="0.2">
      <c r="A647" s="7">
        <v>646</v>
      </c>
      <c r="B647" s="8" t="s">
        <v>1252</v>
      </c>
      <c r="C647" s="8" t="s">
        <v>354</v>
      </c>
      <c r="D647" s="9" t="s">
        <v>197</v>
      </c>
      <c r="E647" s="13"/>
      <c r="F647" s="11">
        <v>0.01</v>
      </c>
      <c r="G647" s="12">
        <v>0</v>
      </c>
      <c r="H647" s="13"/>
      <c r="I647" s="13">
        <v>52</v>
      </c>
      <c r="J647" s="14">
        <v>-11.6</v>
      </c>
      <c r="K647" s="15"/>
    </row>
    <row r="648" spans="1:15" ht="16" x14ac:dyDescent="0.2">
      <c r="A648" s="7">
        <v>647</v>
      </c>
      <c r="B648" s="8" t="s">
        <v>1253</v>
      </c>
      <c r="C648" s="8" t="s">
        <v>337</v>
      </c>
      <c r="D648" s="9" t="s">
        <v>197</v>
      </c>
      <c r="E648" s="13">
        <v>747</v>
      </c>
      <c r="F648" s="11">
        <v>0.04</v>
      </c>
      <c r="G648" s="12">
        <v>0</v>
      </c>
      <c r="H648" s="13"/>
      <c r="I648" s="13">
        <v>37</v>
      </c>
      <c r="J648" s="14">
        <v>-11.7</v>
      </c>
      <c r="K648" s="15"/>
    </row>
    <row r="649" spans="1:15" ht="16" x14ac:dyDescent="0.2">
      <c r="A649" s="7">
        <v>648</v>
      </c>
      <c r="B649" s="8" t="s">
        <v>1254</v>
      </c>
      <c r="C649" s="8" t="s">
        <v>348</v>
      </c>
      <c r="D649" s="9" t="s">
        <v>197</v>
      </c>
      <c r="E649" s="13"/>
      <c r="F649" s="13"/>
      <c r="G649" s="16"/>
      <c r="H649" s="13"/>
      <c r="I649" s="13">
        <v>48.1</v>
      </c>
      <c r="J649" s="14">
        <v>-11.7</v>
      </c>
      <c r="K649" s="15"/>
    </row>
    <row r="650" spans="1:15" ht="16" x14ac:dyDescent="0.2">
      <c r="A650" s="7">
        <v>649</v>
      </c>
      <c r="B650" s="8" t="s">
        <v>772</v>
      </c>
      <c r="C650" s="8" t="s">
        <v>362</v>
      </c>
      <c r="D650" s="9" t="s">
        <v>190</v>
      </c>
      <c r="E650" s="13"/>
      <c r="F650" s="13"/>
      <c r="G650" s="16"/>
      <c r="H650" s="13">
        <v>140</v>
      </c>
      <c r="I650" s="13"/>
      <c r="J650" s="14">
        <v>-11.8</v>
      </c>
      <c r="K650" s="15"/>
    </row>
    <row r="651" spans="1:15" ht="16" x14ac:dyDescent="0.2">
      <c r="A651" s="7">
        <v>650</v>
      </c>
      <c r="B651" s="8" t="s">
        <v>763</v>
      </c>
      <c r="C651" s="8" t="s">
        <v>316</v>
      </c>
      <c r="D651" s="9" t="s">
        <v>190</v>
      </c>
      <c r="E651" s="13">
        <v>750.9</v>
      </c>
      <c r="F651" s="11">
        <v>0.01</v>
      </c>
      <c r="G651" s="12">
        <v>0</v>
      </c>
      <c r="H651" s="13">
        <v>114</v>
      </c>
      <c r="I651" s="13"/>
      <c r="J651" s="14">
        <v>-11.8</v>
      </c>
      <c r="K651" s="15"/>
    </row>
    <row r="652" spans="1:15" ht="16" x14ac:dyDescent="0.2">
      <c r="A652" s="7">
        <v>651</v>
      </c>
      <c r="B652" s="8" t="s">
        <v>1255</v>
      </c>
      <c r="C652" s="9"/>
      <c r="D652" s="9" t="s">
        <v>197</v>
      </c>
      <c r="E652" s="13"/>
      <c r="F652" s="11">
        <v>0.01</v>
      </c>
      <c r="G652" s="12">
        <v>0</v>
      </c>
      <c r="H652" s="13"/>
      <c r="I652" s="13">
        <v>58.1</v>
      </c>
      <c r="J652" s="14">
        <v>-11.8</v>
      </c>
      <c r="K652" s="15"/>
    </row>
    <row r="653" spans="1:15" ht="16" x14ac:dyDescent="0.2">
      <c r="A653" s="7">
        <v>652</v>
      </c>
      <c r="B653" s="8" t="s">
        <v>1256</v>
      </c>
      <c r="C653" s="8" t="s">
        <v>317</v>
      </c>
      <c r="D653" s="9" t="s">
        <v>197</v>
      </c>
      <c r="E653" s="13"/>
      <c r="F653" s="13"/>
      <c r="G653" s="16"/>
      <c r="H653" s="13"/>
      <c r="I653" s="13">
        <v>38</v>
      </c>
      <c r="J653" s="14">
        <v>-11.8</v>
      </c>
      <c r="K653" s="15"/>
    </row>
    <row r="654" spans="1:15" ht="16" x14ac:dyDescent="0.2">
      <c r="A654" s="7">
        <v>653</v>
      </c>
      <c r="B654" s="8" t="s">
        <v>1257</v>
      </c>
      <c r="C654" s="8" t="s">
        <v>325</v>
      </c>
      <c r="D654" s="9" t="s">
        <v>197</v>
      </c>
      <c r="E654" s="13"/>
      <c r="F654" s="13"/>
      <c r="G654" s="16"/>
      <c r="H654" s="13"/>
      <c r="I654" s="13">
        <v>56</v>
      </c>
      <c r="J654" s="14">
        <v>-11.9</v>
      </c>
      <c r="K654" s="15"/>
    </row>
    <row r="655" spans="1:15" ht="16" x14ac:dyDescent="0.2">
      <c r="A655" s="7">
        <v>654</v>
      </c>
      <c r="B655" s="8" t="s">
        <v>1258</v>
      </c>
      <c r="C655" s="8" t="s">
        <v>308</v>
      </c>
      <c r="D655" s="9" t="s">
        <v>197</v>
      </c>
      <c r="E655" s="13">
        <v>712.1</v>
      </c>
      <c r="F655" s="11">
        <v>0.78</v>
      </c>
      <c r="G655" s="12">
        <v>0.01</v>
      </c>
      <c r="H655" s="13"/>
      <c r="I655" s="13">
        <v>66.099999999999994</v>
      </c>
      <c r="J655" s="14">
        <v>-11.9</v>
      </c>
      <c r="K655" s="15"/>
    </row>
    <row r="656" spans="1:15" ht="16" x14ac:dyDescent="0.2">
      <c r="A656" s="7">
        <v>655</v>
      </c>
      <c r="B656" s="8" t="s">
        <v>1259</v>
      </c>
      <c r="C656" s="8" t="s">
        <v>311</v>
      </c>
      <c r="D656" s="9" t="s">
        <v>196</v>
      </c>
      <c r="E656" s="13">
        <v>522.4</v>
      </c>
      <c r="F656" s="11">
        <v>1</v>
      </c>
      <c r="G656" s="12">
        <v>0.02</v>
      </c>
      <c r="H656" s="13"/>
      <c r="I656" s="13">
        <v>75.099999999999994</v>
      </c>
      <c r="J656" s="14">
        <v>-11.9</v>
      </c>
      <c r="K656" s="15"/>
    </row>
    <row r="657" spans="1:11" ht="16" x14ac:dyDescent="0.2">
      <c r="A657" s="7">
        <v>656</v>
      </c>
      <c r="B657" s="8" t="s">
        <v>1260</v>
      </c>
      <c r="C657" s="8" t="s">
        <v>305</v>
      </c>
      <c r="D657" s="9" t="s">
        <v>197</v>
      </c>
      <c r="E657" s="13"/>
      <c r="F657" s="11">
        <v>7.0000000000000007E-2</v>
      </c>
      <c r="G657" s="12">
        <v>0</v>
      </c>
      <c r="H657" s="13"/>
      <c r="I657" s="13">
        <v>51</v>
      </c>
      <c r="J657" s="14">
        <v>-11.9</v>
      </c>
      <c r="K657" s="15"/>
    </row>
    <row r="658" spans="1:11" ht="16" x14ac:dyDescent="0.2">
      <c r="A658" s="7">
        <v>657</v>
      </c>
      <c r="B658" s="8" t="s">
        <v>698</v>
      </c>
      <c r="C658" s="8" t="s">
        <v>305</v>
      </c>
      <c r="D658" s="9" t="s">
        <v>195</v>
      </c>
      <c r="E658" s="13">
        <v>742.8</v>
      </c>
      <c r="F658" s="11">
        <v>0.03</v>
      </c>
      <c r="G658" s="12">
        <v>0</v>
      </c>
      <c r="H658" s="13">
        <v>319</v>
      </c>
      <c r="I658" s="13"/>
      <c r="J658" s="14">
        <v>-12</v>
      </c>
      <c r="K658" s="15"/>
    </row>
    <row r="659" spans="1:11" ht="16" x14ac:dyDescent="0.2">
      <c r="A659" s="7">
        <v>658</v>
      </c>
      <c r="B659" s="8" t="s">
        <v>1261</v>
      </c>
      <c r="C659" s="8" t="s">
        <v>348</v>
      </c>
      <c r="D659" s="9" t="s">
        <v>197</v>
      </c>
      <c r="E659" s="13">
        <v>678</v>
      </c>
      <c r="F659" s="11">
        <v>0.72</v>
      </c>
      <c r="G659" s="12">
        <v>0</v>
      </c>
      <c r="H659" s="13"/>
      <c r="I659" s="13">
        <v>66.099999999999994</v>
      </c>
      <c r="J659" s="14">
        <v>-12</v>
      </c>
      <c r="K659" s="15"/>
    </row>
    <row r="660" spans="1:11" ht="16" x14ac:dyDescent="0.2">
      <c r="A660" s="7">
        <v>659</v>
      </c>
      <c r="B660" s="8" t="s">
        <v>658</v>
      </c>
      <c r="C660" s="9"/>
      <c r="D660" s="9" t="s">
        <v>191</v>
      </c>
      <c r="E660" s="13">
        <v>701.9</v>
      </c>
      <c r="F660" s="11">
        <v>0.88</v>
      </c>
      <c r="G660" s="12">
        <v>0.01</v>
      </c>
      <c r="H660" s="13">
        <v>375</v>
      </c>
      <c r="I660" s="13"/>
      <c r="J660" s="14">
        <v>-12</v>
      </c>
      <c r="K660" s="15"/>
    </row>
    <row r="661" spans="1:11" ht="16" x14ac:dyDescent="0.2">
      <c r="A661" s="7">
        <v>660</v>
      </c>
      <c r="B661" s="8" t="s">
        <v>651</v>
      </c>
      <c r="C661" s="8" t="s">
        <v>313</v>
      </c>
      <c r="D661" s="9" t="s">
        <v>192</v>
      </c>
      <c r="E661" s="13">
        <v>693.4</v>
      </c>
      <c r="F661" s="11">
        <v>0.79</v>
      </c>
      <c r="G661" s="12">
        <v>0</v>
      </c>
      <c r="H661" s="13">
        <v>208</v>
      </c>
      <c r="I661" s="13"/>
      <c r="J661" s="14">
        <v>-12</v>
      </c>
      <c r="K661" s="15"/>
    </row>
    <row r="662" spans="1:11" ht="16" x14ac:dyDescent="0.2">
      <c r="A662" s="7">
        <v>661</v>
      </c>
      <c r="B662" s="8" t="s">
        <v>1262</v>
      </c>
      <c r="C662" s="8" t="s">
        <v>385</v>
      </c>
      <c r="D662" s="9" t="s">
        <v>197</v>
      </c>
      <c r="E662" s="13">
        <v>726.1</v>
      </c>
      <c r="F662" s="11">
        <v>0.38</v>
      </c>
      <c r="G662" s="12">
        <v>0.01</v>
      </c>
      <c r="H662" s="13"/>
      <c r="I662" s="13">
        <v>49.1</v>
      </c>
      <c r="J662" s="14">
        <v>-12.1</v>
      </c>
      <c r="K662" s="15"/>
    </row>
    <row r="663" spans="1:11" ht="16" x14ac:dyDescent="0.2">
      <c r="A663" s="7">
        <v>662</v>
      </c>
      <c r="B663" s="8" t="s">
        <v>1263</v>
      </c>
      <c r="C663" s="9"/>
      <c r="D663" s="9" t="s">
        <v>196</v>
      </c>
      <c r="E663" s="13"/>
      <c r="F663" s="11">
        <v>0.01</v>
      </c>
      <c r="G663" s="12">
        <v>0</v>
      </c>
      <c r="H663" s="13"/>
      <c r="I663" s="13">
        <v>111</v>
      </c>
      <c r="J663" s="14">
        <v>-12.1</v>
      </c>
      <c r="K663" s="15"/>
    </row>
    <row r="664" spans="1:11" ht="16" x14ac:dyDescent="0.2">
      <c r="A664" s="7">
        <v>663</v>
      </c>
      <c r="B664" s="8" t="s">
        <v>1264</v>
      </c>
      <c r="C664" s="8" t="s">
        <v>325</v>
      </c>
      <c r="D664" s="9" t="s">
        <v>196</v>
      </c>
      <c r="E664" s="13">
        <v>746.6</v>
      </c>
      <c r="F664" s="11">
        <v>0.04</v>
      </c>
      <c r="G664" s="12">
        <v>0</v>
      </c>
      <c r="H664" s="13"/>
      <c r="I664" s="13">
        <v>79.099999999999994</v>
      </c>
      <c r="J664" s="14">
        <v>-12.1</v>
      </c>
      <c r="K664" s="15"/>
    </row>
    <row r="665" spans="1:11" ht="16" x14ac:dyDescent="0.2">
      <c r="A665" s="7">
        <v>664</v>
      </c>
      <c r="B665" s="8" t="s">
        <v>1265</v>
      </c>
      <c r="C665" s="9"/>
      <c r="D665" s="9" t="s">
        <v>196</v>
      </c>
      <c r="E665" s="13"/>
      <c r="F665" s="13"/>
      <c r="G665" s="16"/>
      <c r="H665" s="13"/>
      <c r="I665" s="13">
        <v>39</v>
      </c>
      <c r="J665" s="14">
        <v>-12.1</v>
      </c>
      <c r="K665" s="15"/>
    </row>
    <row r="666" spans="1:11" ht="16" x14ac:dyDescent="0.2">
      <c r="A666" s="7">
        <v>665</v>
      </c>
      <c r="B666" s="8" t="s">
        <v>517</v>
      </c>
      <c r="C666" s="8" t="s">
        <v>323</v>
      </c>
      <c r="D666" s="9" t="s">
        <v>195</v>
      </c>
      <c r="E666" s="13">
        <v>411.5</v>
      </c>
      <c r="F666" s="11">
        <v>1</v>
      </c>
      <c r="G666" s="12">
        <v>0.12</v>
      </c>
      <c r="H666" s="13">
        <v>267</v>
      </c>
      <c r="I666" s="13"/>
      <c r="J666" s="14">
        <v>-12.2</v>
      </c>
      <c r="K666" s="15"/>
    </row>
    <row r="667" spans="1:11" ht="16" x14ac:dyDescent="0.2">
      <c r="A667" s="7">
        <v>666</v>
      </c>
      <c r="B667" s="8" t="s">
        <v>734</v>
      </c>
      <c r="C667" s="8" t="s">
        <v>362</v>
      </c>
      <c r="D667" s="9" t="s">
        <v>192</v>
      </c>
      <c r="E667" s="13">
        <v>749.1</v>
      </c>
      <c r="F667" s="11">
        <v>0.05</v>
      </c>
      <c r="G667" s="12">
        <v>0</v>
      </c>
      <c r="H667" s="13">
        <v>244</v>
      </c>
      <c r="I667" s="13"/>
      <c r="J667" s="14">
        <v>-12.2</v>
      </c>
      <c r="K667" s="15"/>
    </row>
    <row r="668" spans="1:11" ht="16" x14ac:dyDescent="0.2">
      <c r="A668" s="7">
        <v>667</v>
      </c>
      <c r="B668" s="8" t="s">
        <v>586</v>
      </c>
      <c r="C668" s="8" t="s">
        <v>385</v>
      </c>
      <c r="D668" s="9" t="s">
        <v>195</v>
      </c>
      <c r="E668" s="13">
        <v>561</v>
      </c>
      <c r="F668" s="11">
        <v>0.76</v>
      </c>
      <c r="G668" s="12">
        <v>0</v>
      </c>
      <c r="H668" s="13">
        <v>172</v>
      </c>
      <c r="I668" s="13"/>
      <c r="J668" s="14">
        <v>-12.3</v>
      </c>
      <c r="K668" s="15"/>
    </row>
    <row r="669" spans="1:11" ht="16" x14ac:dyDescent="0.2">
      <c r="A669" s="7">
        <v>668</v>
      </c>
      <c r="B669" s="8" t="s">
        <v>1266</v>
      </c>
      <c r="C669" s="8" t="s">
        <v>371</v>
      </c>
      <c r="D669" s="9" t="s">
        <v>196</v>
      </c>
      <c r="E669" s="13">
        <v>419.1</v>
      </c>
      <c r="F669" s="11">
        <v>1</v>
      </c>
      <c r="G669" s="12">
        <v>0.06</v>
      </c>
      <c r="H669" s="13"/>
      <c r="I669" s="13">
        <v>37.1</v>
      </c>
      <c r="J669" s="14">
        <v>-12.3</v>
      </c>
      <c r="K669" s="15"/>
    </row>
    <row r="670" spans="1:11" ht="16" x14ac:dyDescent="0.2">
      <c r="A670" s="7">
        <v>669</v>
      </c>
      <c r="B670" s="8" t="s">
        <v>1267</v>
      </c>
      <c r="C670" s="8" t="s">
        <v>314</v>
      </c>
      <c r="D670" s="9" t="s">
        <v>197</v>
      </c>
      <c r="E670" s="13"/>
      <c r="F670" s="13"/>
      <c r="G670" s="16"/>
      <c r="H670" s="13"/>
      <c r="I670" s="13">
        <v>51.1</v>
      </c>
      <c r="J670" s="14">
        <v>-12.3</v>
      </c>
      <c r="K670" s="15"/>
    </row>
    <row r="671" spans="1:11" ht="16" x14ac:dyDescent="0.2">
      <c r="A671" s="7">
        <v>670</v>
      </c>
      <c r="B671" s="8" t="s">
        <v>604</v>
      </c>
      <c r="C671" s="8" t="s">
        <v>362</v>
      </c>
      <c r="D671" s="9" t="s">
        <v>605</v>
      </c>
      <c r="E671" s="13">
        <v>610.70000000000005</v>
      </c>
      <c r="F671" s="11">
        <v>0.99</v>
      </c>
      <c r="G671" s="12">
        <v>0.01</v>
      </c>
      <c r="H671" s="13">
        <v>325</v>
      </c>
      <c r="I671" s="13"/>
      <c r="J671" s="14">
        <v>-12.4</v>
      </c>
      <c r="K671" s="15"/>
    </row>
    <row r="672" spans="1:11" ht="16" x14ac:dyDescent="0.2">
      <c r="A672" s="7">
        <v>671</v>
      </c>
      <c r="B672" s="8" t="s">
        <v>760</v>
      </c>
      <c r="C672" s="8" t="s">
        <v>337</v>
      </c>
      <c r="D672" s="9" t="s">
        <v>190</v>
      </c>
      <c r="E672" s="13">
        <v>750.7</v>
      </c>
      <c r="F672" s="11">
        <v>0.03</v>
      </c>
      <c r="G672" s="12">
        <v>0</v>
      </c>
      <c r="H672" s="13">
        <v>130</v>
      </c>
      <c r="I672" s="13"/>
      <c r="J672" s="14">
        <v>-12.4</v>
      </c>
      <c r="K672" s="15"/>
    </row>
    <row r="673" spans="1:11" ht="16" x14ac:dyDescent="0.2">
      <c r="A673" s="7">
        <v>672</v>
      </c>
      <c r="B673" s="8" t="s">
        <v>1268</v>
      </c>
      <c r="C673" s="8" t="s">
        <v>362</v>
      </c>
      <c r="D673" s="9" t="s">
        <v>196</v>
      </c>
      <c r="E673" s="13">
        <v>459</v>
      </c>
      <c r="F673" s="11">
        <v>1</v>
      </c>
      <c r="G673" s="12">
        <v>0.04</v>
      </c>
      <c r="H673" s="13"/>
      <c r="I673" s="13">
        <v>102</v>
      </c>
      <c r="J673" s="14">
        <v>-12.4</v>
      </c>
      <c r="K673" s="15"/>
    </row>
    <row r="674" spans="1:11" ht="16" x14ac:dyDescent="0.2">
      <c r="A674" s="7">
        <v>673</v>
      </c>
      <c r="B674" s="8" t="s">
        <v>1269</v>
      </c>
      <c r="C674" s="8" t="s">
        <v>346</v>
      </c>
      <c r="D674" s="9" t="s">
        <v>196</v>
      </c>
      <c r="E674" s="13">
        <v>655.9</v>
      </c>
      <c r="F674" s="11">
        <v>0.94</v>
      </c>
      <c r="G674" s="12">
        <v>0.01</v>
      </c>
      <c r="H674" s="13"/>
      <c r="I674" s="13">
        <v>47.1</v>
      </c>
      <c r="J674" s="14">
        <v>-12.4</v>
      </c>
      <c r="K674" s="15"/>
    </row>
    <row r="675" spans="1:11" ht="16" x14ac:dyDescent="0.2">
      <c r="A675" s="7">
        <v>674</v>
      </c>
      <c r="B675" s="8" t="s">
        <v>1270</v>
      </c>
      <c r="C675" s="8" t="s">
        <v>325</v>
      </c>
      <c r="D675" s="9" t="s">
        <v>197</v>
      </c>
      <c r="E675" s="13"/>
      <c r="F675" s="13"/>
      <c r="G675" s="16"/>
      <c r="H675" s="13"/>
      <c r="I675" s="13">
        <v>48</v>
      </c>
      <c r="J675" s="14">
        <v>-12.5</v>
      </c>
      <c r="K675" s="15"/>
    </row>
    <row r="676" spans="1:11" ht="16" x14ac:dyDescent="0.2">
      <c r="A676" s="7">
        <v>675</v>
      </c>
      <c r="B676" s="8" t="s">
        <v>1271</v>
      </c>
      <c r="C676" s="8" t="s">
        <v>348</v>
      </c>
      <c r="D676" s="9" t="s">
        <v>197</v>
      </c>
      <c r="E676" s="13">
        <v>748.8</v>
      </c>
      <c r="F676" s="11">
        <v>0.02</v>
      </c>
      <c r="G676" s="12">
        <v>0</v>
      </c>
      <c r="H676" s="13"/>
      <c r="I676" s="13">
        <v>35.1</v>
      </c>
      <c r="J676" s="14">
        <v>-12.5</v>
      </c>
      <c r="K676" s="15"/>
    </row>
    <row r="677" spans="1:11" ht="16" x14ac:dyDescent="0.2">
      <c r="A677" s="7">
        <v>676</v>
      </c>
      <c r="B677" s="8" t="s">
        <v>1272</v>
      </c>
      <c r="C677" s="8" t="s">
        <v>350</v>
      </c>
      <c r="D677" s="9" t="s">
        <v>196</v>
      </c>
      <c r="E677" s="13">
        <v>708.9</v>
      </c>
      <c r="F677" s="11">
        <v>0.64</v>
      </c>
      <c r="G677" s="12">
        <v>0.01</v>
      </c>
      <c r="H677" s="13"/>
      <c r="I677" s="13">
        <v>135</v>
      </c>
      <c r="J677" s="14">
        <v>-12.6</v>
      </c>
      <c r="K677" s="15"/>
    </row>
    <row r="678" spans="1:11" ht="16" x14ac:dyDescent="0.2">
      <c r="A678" s="7">
        <v>677</v>
      </c>
      <c r="B678" s="8" t="s">
        <v>1273</v>
      </c>
      <c r="C678" s="8" t="s">
        <v>354</v>
      </c>
      <c r="D678" s="9" t="s">
        <v>196</v>
      </c>
      <c r="E678" s="13"/>
      <c r="F678" s="11">
        <v>0.04</v>
      </c>
      <c r="G678" s="12">
        <v>0</v>
      </c>
      <c r="H678" s="13"/>
      <c r="I678" s="13">
        <v>36</v>
      </c>
      <c r="J678" s="14">
        <v>-12.6</v>
      </c>
      <c r="K678" s="15"/>
    </row>
    <row r="679" spans="1:11" ht="16" x14ac:dyDescent="0.2">
      <c r="A679" s="7">
        <v>678</v>
      </c>
      <c r="B679" s="8" t="s">
        <v>1274</v>
      </c>
      <c r="C679" s="8" t="s">
        <v>995</v>
      </c>
      <c r="D679" s="9" t="s">
        <v>197</v>
      </c>
      <c r="E679" s="13"/>
      <c r="F679" s="13"/>
      <c r="G679" s="16"/>
      <c r="H679" s="13"/>
      <c r="I679" s="13">
        <v>56.1</v>
      </c>
      <c r="J679" s="14">
        <v>-12.6</v>
      </c>
      <c r="K679" s="15"/>
    </row>
    <row r="680" spans="1:11" ht="16" x14ac:dyDescent="0.2">
      <c r="A680" s="7">
        <v>679</v>
      </c>
      <c r="B680" s="8" t="s">
        <v>773</v>
      </c>
      <c r="C680" s="9"/>
      <c r="D680" s="9" t="s">
        <v>306</v>
      </c>
      <c r="E680" s="13"/>
      <c r="F680" s="13"/>
      <c r="G680" s="16"/>
      <c r="H680" s="13">
        <v>246</v>
      </c>
      <c r="I680" s="13"/>
      <c r="J680" s="14">
        <v>-12.6</v>
      </c>
      <c r="K680" s="15"/>
    </row>
    <row r="681" spans="1:11" ht="16" x14ac:dyDescent="0.2">
      <c r="A681" s="7">
        <v>680</v>
      </c>
      <c r="B681" s="8" t="s">
        <v>1275</v>
      </c>
      <c r="C681" s="8" t="s">
        <v>354</v>
      </c>
      <c r="D681" s="9" t="s">
        <v>196</v>
      </c>
      <c r="E681" s="13">
        <v>716.8</v>
      </c>
      <c r="F681" s="11">
        <v>0.24</v>
      </c>
      <c r="G681" s="12">
        <v>0</v>
      </c>
      <c r="H681" s="13"/>
      <c r="I681" s="13">
        <v>55</v>
      </c>
      <c r="J681" s="14">
        <v>-12.6</v>
      </c>
      <c r="K681" s="15"/>
    </row>
    <row r="682" spans="1:11" ht="16" x14ac:dyDescent="0.2">
      <c r="A682" s="7">
        <v>681</v>
      </c>
      <c r="B682" s="8" t="s">
        <v>1276</v>
      </c>
      <c r="C682" s="8" t="s">
        <v>349</v>
      </c>
      <c r="D682" s="9" t="s">
        <v>197</v>
      </c>
      <c r="E682" s="13">
        <v>555.4</v>
      </c>
      <c r="F682" s="11">
        <v>0.93</v>
      </c>
      <c r="G682" s="12">
        <v>0.02</v>
      </c>
      <c r="H682" s="13"/>
      <c r="I682" s="13">
        <v>64</v>
      </c>
      <c r="J682" s="14">
        <v>-12.7</v>
      </c>
      <c r="K682" s="15"/>
    </row>
    <row r="683" spans="1:11" ht="16" x14ac:dyDescent="0.2">
      <c r="A683" s="7">
        <v>682</v>
      </c>
      <c r="B683" s="8" t="s">
        <v>733</v>
      </c>
      <c r="C683" s="8" t="s">
        <v>308</v>
      </c>
      <c r="D683" s="9" t="s">
        <v>191</v>
      </c>
      <c r="E683" s="13">
        <v>749</v>
      </c>
      <c r="F683" s="11">
        <v>0.03</v>
      </c>
      <c r="G683" s="12">
        <v>0</v>
      </c>
      <c r="H683" s="13">
        <v>307</v>
      </c>
      <c r="I683" s="13"/>
      <c r="J683" s="14">
        <v>-12.7</v>
      </c>
      <c r="K683" s="15"/>
    </row>
    <row r="684" spans="1:11" ht="16" x14ac:dyDescent="0.2">
      <c r="A684" s="7">
        <v>683</v>
      </c>
      <c r="B684" s="8" t="s">
        <v>1277</v>
      </c>
      <c r="C684" s="8" t="s">
        <v>315</v>
      </c>
      <c r="D684" s="9" t="s">
        <v>197</v>
      </c>
      <c r="E684" s="13"/>
      <c r="F684" s="11">
        <v>0.01</v>
      </c>
      <c r="G684" s="12">
        <v>0</v>
      </c>
      <c r="H684" s="13"/>
      <c r="I684" s="13">
        <v>65</v>
      </c>
      <c r="J684" s="14">
        <v>-12.8</v>
      </c>
      <c r="K684" s="15"/>
    </row>
    <row r="685" spans="1:11" ht="16" x14ac:dyDescent="0.2">
      <c r="A685" s="7">
        <v>684</v>
      </c>
      <c r="B685" s="8" t="s">
        <v>723</v>
      </c>
      <c r="C685" s="8" t="s">
        <v>337</v>
      </c>
      <c r="D685" s="9" t="s">
        <v>329</v>
      </c>
      <c r="E685" s="13">
        <v>747.7</v>
      </c>
      <c r="F685" s="11">
        <v>0.05</v>
      </c>
      <c r="G685" s="12">
        <v>0</v>
      </c>
      <c r="H685" s="13">
        <v>62</v>
      </c>
      <c r="I685" s="13"/>
      <c r="J685" s="14">
        <v>-12.8</v>
      </c>
      <c r="K685" s="15"/>
    </row>
    <row r="686" spans="1:11" ht="16" x14ac:dyDescent="0.2">
      <c r="A686" s="7">
        <v>685</v>
      </c>
      <c r="B686" s="8" t="s">
        <v>741</v>
      </c>
      <c r="C686" s="8" t="s">
        <v>323</v>
      </c>
      <c r="D686" s="9" t="s">
        <v>329</v>
      </c>
      <c r="E686" s="13">
        <v>749.7</v>
      </c>
      <c r="F686" s="11">
        <v>0.01</v>
      </c>
      <c r="G686" s="12">
        <v>0</v>
      </c>
      <c r="H686" s="13">
        <v>32</v>
      </c>
      <c r="I686" s="13"/>
      <c r="J686" s="14">
        <v>-12.8</v>
      </c>
      <c r="K686" s="15"/>
    </row>
    <row r="687" spans="1:11" ht="16" x14ac:dyDescent="0.2">
      <c r="A687" s="7">
        <v>686</v>
      </c>
      <c r="B687" s="8" t="s">
        <v>682</v>
      </c>
      <c r="C687" s="8" t="s">
        <v>307</v>
      </c>
      <c r="D687" s="9" t="s">
        <v>309</v>
      </c>
      <c r="E687" s="13">
        <v>736.4</v>
      </c>
      <c r="F687" s="11">
        <v>0.31</v>
      </c>
      <c r="G687" s="12">
        <v>0</v>
      </c>
      <c r="H687" s="13">
        <v>230</v>
      </c>
      <c r="I687" s="13"/>
      <c r="J687" s="14">
        <v>-12.9</v>
      </c>
      <c r="K687" s="15"/>
    </row>
    <row r="688" spans="1:11" ht="16" x14ac:dyDescent="0.2">
      <c r="A688" s="7">
        <v>687</v>
      </c>
      <c r="B688" s="8" t="s">
        <v>1278</v>
      </c>
      <c r="C688" s="8" t="s">
        <v>349</v>
      </c>
      <c r="D688" s="9" t="s">
        <v>196</v>
      </c>
      <c r="E688" s="13">
        <v>750.1</v>
      </c>
      <c r="F688" s="11">
        <v>0.04</v>
      </c>
      <c r="G688" s="12">
        <v>0.01</v>
      </c>
      <c r="H688" s="13"/>
      <c r="I688" s="13">
        <v>113</v>
      </c>
      <c r="J688" s="14">
        <v>-13</v>
      </c>
      <c r="K688" s="15"/>
    </row>
    <row r="689" spans="1:11" ht="16" x14ac:dyDescent="0.2">
      <c r="A689" s="7">
        <v>688</v>
      </c>
      <c r="B689" s="8" t="s">
        <v>636</v>
      </c>
      <c r="C689" s="8" t="s">
        <v>334</v>
      </c>
      <c r="D689" s="9" t="s">
        <v>195</v>
      </c>
      <c r="E689" s="13">
        <v>664.2</v>
      </c>
      <c r="F689" s="11">
        <v>0.82</v>
      </c>
      <c r="G689" s="12">
        <v>0.01</v>
      </c>
      <c r="H689" s="13">
        <v>277</v>
      </c>
      <c r="I689" s="13"/>
      <c r="J689" s="14">
        <v>-13</v>
      </c>
      <c r="K689" s="15"/>
    </row>
    <row r="690" spans="1:11" ht="16" x14ac:dyDescent="0.2">
      <c r="A690" s="7">
        <v>689</v>
      </c>
      <c r="B690" s="8" t="s">
        <v>1279</v>
      </c>
      <c r="C690" s="8" t="s">
        <v>314</v>
      </c>
      <c r="D690" s="9" t="s">
        <v>197</v>
      </c>
      <c r="E690" s="13"/>
      <c r="F690" s="13"/>
      <c r="G690" s="16"/>
      <c r="H690" s="13"/>
      <c r="I690" s="13">
        <v>62.1</v>
      </c>
      <c r="J690" s="14">
        <v>-13.1</v>
      </c>
      <c r="K690" s="15"/>
    </row>
    <row r="691" spans="1:11" ht="16" x14ac:dyDescent="0.2">
      <c r="A691" s="7">
        <v>690</v>
      </c>
      <c r="B691" s="8" t="s">
        <v>1280</v>
      </c>
      <c r="C691" s="8" t="s">
        <v>310</v>
      </c>
      <c r="D691" s="9" t="s">
        <v>196</v>
      </c>
      <c r="E691" s="13">
        <v>746.5</v>
      </c>
      <c r="F691" s="11">
        <v>0.04</v>
      </c>
      <c r="G691" s="12">
        <v>0</v>
      </c>
      <c r="H691" s="13"/>
      <c r="I691" s="13">
        <v>90.1</v>
      </c>
      <c r="J691" s="14">
        <v>-13.1</v>
      </c>
      <c r="K691" s="15"/>
    </row>
    <row r="692" spans="1:11" ht="16" x14ac:dyDescent="0.2">
      <c r="A692" s="7">
        <v>691</v>
      </c>
      <c r="B692" s="8" t="s">
        <v>672</v>
      </c>
      <c r="C692" s="8" t="s">
        <v>350</v>
      </c>
      <c r="D692" s="9" t="s">
        <v>195</v>
      </c>
      <c r="E692" s="13">
        <v>728.3</v>
      </c>
      <c r="F692" s="11">
        <v>0.12</v>
      </c>
      <c r="G692" s="12">
        <v>0</v>
      </c>
      <c r="H692" s="13">
        <v>300</v>
      </c>
      <c r="I692" s="13"/>
      <c r="J692" s="14">
        <v>-13.1</v>
      </c>
      <c r="K692" s="15"/>
    </row>
    <row r="693" spans="1:11" ht="16" x14ac:dyDescent="0.2">
      <c r="A693" s="7">
        <v>692</v>
      </c>
      <c r="B693" s="8" t="s">
        <v>1281</v>
      </c>
      <c r="C693" s="8" t="s">
        <v>308</v>
      </c>
      <c r="D693" s="9" t="s">
        <v>197</v>
      </c>
      <c r="E693" s="13"/>
      <c r="F693" s="13"/>
      <c r="G693" s="16"/>
      <c r="H693" s="13"/>
      <c r="I693" s="13">
        <v>67</v>
      </c>
      <c r="J693" s="14">
        <v>-13.1</v>
      </c>
      <c r="K693" s="15"/>
    </row>
    <row r="694" spans="1:11" ht="16" x14ac:dyDescent="0.2">
      <c r="A694" s="7">
        <v>693</v>
      </c>
      <c r="B694" s="8" t="s">
        <v>1282</v>
      </c>
      <c r="C694" s="8" t="s">
        <v>385</v>
      </c>
      <c r="D694" s="9" t="s">
        <v>1005</v>
      </c>
      <c r="E694" s="13"/>
      <c r="F694" s="11">
        <v>0.01</v>
      </c>
      <c r="G694" s="12">
        <v>0</v>
      </c>
      <c r="H694" s="13"/>
      <c r="I694" s="13">
        <v>35.1</v>
      </c>
      <c r="J694" s="14">
        <v>-13.1</v>
      </c>
      <c r="K694" s="15"/>
    </row>
    <row r="695" spans="1:11" ht="16" x14ac:dyDescent="0.2">
      <c r="A695" s="7">
        <v>694</v>
      </c>
      <c r="B695" s="8" t="s">
        <v>1283</v>
      </c>
      <c r="C695" s="8" t="s">
        <v>307</v>
      </c>
      <c r="D695" s="9" t="s">
        <v>197</v>
      </c>
      <c r="E695" s="13">
        <v>711.5</v>
      </c>
      <c r="F695" s="11">
        <v>0.82</v>
      </c>
      <c r="G695" s="12">
        <v>0</v>
      </c>
      <c r="H695" s="13"/>
      <c r="I695" s="13">
        <v>50.1</v>
      </c>
      <c r="J695" s="14">
        <v>-13.1</v>
      </c>
      <c r="K695" s="15"/>
    </row>
    <row r="696" spans="1:11" ht="16" x14ac:dyDescent="0.2">
      <c r="A696" s="7">
        <v>695</v>
      </c>
      <c r="B696" s="8" t="s">
        <v>1284</v>
      </c>
      <c r="C696" s="8" t="s">
        <v>315</v>
      </c>
      <c r="D696" s="9" t="s">
        <v>197</v>
      </c>
      <c r="E696" s="13">
        <v>673</v>
      </c>
      <c r="F696" s="11">
        <v>0.92</v>
      </c>
      <c r="G696" s="12">
        <v>0.06</v>
      </c>
      <c r="H696" s="13"/>
      <c r="I696" s="13">
        <v>66</v>
      </c>
      <c r="J696" s="14">
        <v>-13.1</v>
      </c>
      <c r="K696" s="15"/>
    </row>
    <row r="697" spans="1:11" ht="16" x14ac:dyDescent="0.2">
      <c r="A697" s="7">
        <v>696</v>
      </c>
      <c r="B697" s="8" t="s">
        <v>519</v>
      </c>
      <c r="C697" s="8" t="s">
        <v>310</v>
      </c>
      <c r="D697" s="9" t="s">
        <v>195</v>
      </c>
      <c r="E697" s="13">
        <v>417.1</v>
      </c>
      <c r="F697" s="11">
        <v>1</v>
      </c>
      <c r="G697" s="12">
        <v>0.1</v>
      </c>
      <c r="H697" s="13">
        <v>255</v>
      </c>
      <c r="I697" s="13"/>
      <c r="J697" s="14">
        <v>-13.2</v>
      </c>
      <c r="K697" s="15"/>
    </row>
    <row r="698" spans="1:11" ht="16" x14ac:dyDescent="0.2">
      <c r="A698" s="7">
        <v>697</v>
      </c>
      <c r="B698" s="8" t="s">
        <v>774</v>
      </c>
      <c r="C698" s="8" t="s">
        <v>311</v>
      </c>
      <c r="D698" s="9" t="s">
        <v>190</v>
      </c>
      <c r="E698" s="13"/>
      <c r="F698" s="13"/>
      <c r="G698" s="16"/>
      <c r="H698" s="13">
        <v>146</v>
      </c>
      <c r="I698" s="13"/>
      <c r="J698" s="14">
        <v>-13.2</v>
      </c>
      <c r="K698" s="15"/>
    </row>
    <row r="699" spans="1:11" ht="16" x14ac:dyDescent="0.2">
      <c r="A699" s="7">
        <v>698</v>
      </c>
      <c r="B699" s="8" t="s">
        <v>775</v>
      </c>
      <c r="C699" s="8" t="s">
        <v>316</v>
      </c>
      <c r="D699" s="9" t="s">
        <v>190</v>
      </c>
      <c r="E699" s="13"/>
      <c r="F699" s="11">
        <v>0.01</v>
      </c>
      <c r="G699" s="12">
        <v>0</v>
      </c>
      <c r="H699" s="13">
        <v>49</v>
      </c>
      <c r="I699" s="13"/>
      <c r="J699" s="14">
        <v>-13.3</v>
      </c>
      <c r="K699" s="15"/>
    </row>
    <row r="700" spans="1:11" ht="16" x14ac:dyDescent="0.2">
      <c r="A700" s="7">
        <v>699</v>
      </c>
      <c r="B700" s="8" t="s">
        <v>397</v>
      </c>
      <c r="C700" s="8" t="s">
        <v>305</v>
      </c>
      <c r="D700" s="9" t="s">
        <v>195</v>
      </c>
      <c r="E700" s="13">
        <v>179.8</v>
      </c>
      <c r="F700" s="11">
        <v>1</v>
      </c>
      <c r="G700" s="12">
        <v>1</v>
      </c>
      <c r="H700" s="13">
        <v>153</v>
      </c>
      <c r="I700" s="13"/>
      <c r="J700" s="14">
        <v>-13.3</v>
      </c>
      <c r="K700" s="15"/>
    </row>
    <row r="701" spans="1:11" ht="16" x14ac:dyDescent="0.2">
      <c r="A701" s="7">
        <v>700</v>
      </c>
      <c r="B701" s="8" t="s">
        <v>436</v>
      </c>
      <c r="C701" s="8" t="s">
        <v>349</v>
      </c>
      <c r="D701" s="9" t="s">
        <v>195</v>
      </c>
      <c r="E701" s="13">
        <v>247.8</v>
      </c>
      <c r="F701" s="11">
        <v>1</v>
      </c>
      <c r="G701" s="12">
        <v>0.97</v>
      </c>
      <c r="H701" s="13">
        <v>297</v>
      </c>
      <c r="I701" s="13"/>
      <c r="J701" s="14">
        <v>-13.3</v>
      </c>
      <c r="K701" s="15"/>
    </row>
    <row r="702" spans="1:11" ht="16" x14ac:dyDescent="0.2">
      <c r="A702" s="7">
        <v>701</v>
      </c>
      <c r="B702" s="8" t="s">
        <v>1285</v>
      </c>
      <c r="C702" s="8" t="s">
        <v>320</v>
      </c>
      <c r="D702" s="9" t="s">
        <v>197</v>
      </c>
      <c r="E702" s="13"/>
      <c r="F702" s="13"/>
      <c r="G702" s="16"/>
      <c r="H702" s="13"/>
      <c r="I702" s="13">
        <v>45.1</v>
      </c>
      <c r="J702" s="14">
        <v>-13.4</v>
      </c>
      <c r="K702" s="15"/>
    </row>
    <row r="703" spans="1:11" ht="16" x14ac:dyDescent="0.2">
      <c r="A703" s="7">
        <v>702</v>
      </c>
      <c r="B703" s="8" t="s">
        <v>776</v>
      </c>
      <c r="C703" s="8" t="s">
        <v>331</v>
      </c>
      <c r="D703" s="9" t="s">
        <v>190</v>
      </c>
      <c r="E703" s="13"/>
      <c r="F703" s="13"/>
      <c r="G703" s="16"/>
      <c r="H703" s="13">
        <v>125</v>
      </c>
      <c r="I703" s="13"/>
      <c r="J703" s="14">
        <v>-13.4</v>
      </c>
      <c r="K703" s="15"/>
    </row>
    <row r="704" spans="1:11" ht="16" x14ac:dyDescent="0.2">
      <c r="A704" s="7">
        <v>703</v>
      </c>
      <c r="B704" s="8" t="s">
        <v>1286</v>
      </c>
      <c r="C704" s="8" t="s">
        <v>354</v>
      </c>
      <c r="D704" s="9" t="s">
        <v>197</v>
      </c>
      <c r="E704" s="13">
        <v>570.6</v>
      </c>
      <c r="F704" s="11">
        <v>0.99</v>
      </c>
      <c r="G704" s="12">
        <v>0.01</v>
      </c>
      <c r="H704" s="13"/>
      <c r="I704" s="13">
        <v>50</v>
      </c>
      <c r="J704" s="14">
        <v>-13.4</v>
      </c>
      <c r="K704" s="15"/>
    </row>
    <row r="705" spans="1:11" ht="16" x14ac:dyDescent="0.2">
      <c r="A705" s="7">
        <v>704</v>
      </c>
      <c r="B705" s="8" t="s">
        <v>1287</v>
      </c>
      <c r="C705" s="8" t="s">
        <v>371</v>
      </c>
      <c r="D705" s="9" t="s">
        <v>1005</v>
      </c>
      <c r="E705" s="13"/>
      <c r="F705" s="13"/>
      <c r="G705" s="16"/>
      <c r="H705" s="13"/>
      <c r="I705" s="13">
        <v>42</v>
      </c>
      <c r="J705" s="14">
        <v>-13.5</v>
      </c>
      <c r="K705" s="15"/>
    </row>
    <row r="706" spans="1:11" ht="16" x14ac:dyDescent="0.2">
      <c r="A706" s="7">
        <v>705</v>
      </c>
      <c r="B706" s="8" t="s">
        <v>1288</v>
      </c>
      <c r="C706" s="8" t="s">
        <v>317</v>
      </c>
      <c r="D706" s="9" t="s">
        <v>196</v>
      </c>
      <c r="E706" s="13">
        <v>711.8</v>
      </c>
      <c r="F706" s="11">
        <v>0.46</v>
      </c>
      <c r="G706" s="12">
        <v>0</v>
      </c>
      <c r="H706" s="13"/>
      <c r="I706" s="13">
        <v>98</v>
      </c>
      <c r="J706" s="14">
        <v>-13.5</v>
      </c>
      <c r="K706" s="15"/>
    </row>
    <row r="707" spans="1:11" ht="16" x14ac:dyDescent="0.2">
      <c r="A707" s="7">
        <v>706</v>
      </c>
      <c r="B707" s="8" t="s">
        <v>777</v>
      </c>
      <c r="C707" s="8" t="s">
        <v>313</v>
      </c>
      <c r="D707" s="9" t="s">
        <v>509</v>
      </c>
      <c r="E707" s="13"/>
      <c r="F707" s="11">
        <v>0.06</v>
      </c>
      <c r="G707" s="12">
        <v>0</v>
      </c>
      <c r="H707" s="13">
        <v>302</v>
      </c>
      <c r="I707" s="13"/>
      <c r="J707" s="14">
        <v>-13.5</v>
      </c>
      <c r="K707" s="15"/>
    </row>
    <row r="708" spans="1:11" ht="16" x14ac:dyDescent="0.2">
      <c r="A708" s="7">
        <v>707</v>
      </c>
      <c r="B708" s="8" t="s">
        <v>262</v>
      </c>
      <c r="C708" s="8" t="s">
        <v>335</v>
      </c>
      <c r="D708" s="9" t="s">
        <v>193</v>
      </c>
      <c r="E708" s="13">
        <v>216.6</v>
      </c>
      <c r="F708" s="11">
        <v>1</v>
      </c>
      <c r="G708" s="12">
        <v>0.99</v>
      </c>
      <c r="H708" s="13">
        <v>188</v>
      </c>
      <c r="I708" s="13"/>
      <c r="J708" s="14">
        <v>-13.5</v>
      </c>
      <c r="K708" s="15"/>
    </row>
    <row r="709" spans="1:11" ht="16" x14ac:dyDescent="0.2">
      <c r="A709" s="7">
        <v>708</v>
      </c>
      <c r="B709" s="8" t="s">
        <v>778</v>
      </c>
      <c r="C709" s="8" t="s">
        <v>316</v>
      </c>
      <c r="D709" s="9" t="s">
        <v>352</v>
      </c>
      <c r="E709" s="13"/>
      <c r="F709" s="11">
        <v>0.02</v>
      </c>
      <c r="G709" s="12">
        <v>0</v>
      </c>
      <c r="H709" s="13">
        <v>303</v>
      </c>
      <c r="I709" s="13"/>
      <c r="J709" s="14">
        <v>-13.5</v>
      </c>
      <c r="K709" s="15"/>
    </row>
    <row r="710" spans="1:11" ht="16" x14ac:dyDescent="0.2">
      <c r="A710" s="7">
        <v>709</v>
      </c>
      <c r="B710" s="8" t="s">
        <v>678</v>
      </c>
      <c r="C710" s="8" t="s">
        <v>337</v>
      </c>
      <c r="D710" s="9" t="s">
        <v>195</v>
      </c>
      <c r="E710" s="13">
        <v>733</v>
      </c>
      <c r="F710" s="11">
        <v>0.39</v>
      </c>
      <c r="G710" s="12">
        <v>0</v>
      </c>
      <c r="H710" s="13">
        <v>113</v>
      </c>
      <c r="I710" s="13"/>
      <c r="J710" s="14">
        <v>-13.6</v>
      </c>
      <c r="K710" s="15"/>
    </row>
    <row r="711" spans="1:11" ht="16" x14ac:dyDescent="0.2">
      <c r="A711" s="7">
        <v>710</v>
      </c>
      <c r="B711" s="8" t="s">
        <v>203</v>
      </c>
      <c r="C711" s="8" t="s">
        <v>367</v>
      </c>
      <c r="D711" s="9" t="s">
        <v>195</v>
      </c>
      <c r="E711" s="13">
        <v>124.5</v>
      </c>
      <c r="F711" s="11">
        <v>1</v>
      </c>
      <c r="G711" s="12">
        <v>0.99</v>
      </c>
      <c r="H711" s="13">
        <v>126</v>
      </c>
      <c r="I711" s="13"/>
      <c r="J711" s="14">
        <v>-13.6</v>
      </c>
      <c r="K711" s="15"/>
    </row>
    <row r="712" spans="1:11" ht="16" x14ac:dyDescent="0.2">
      <c r="A712" s="7">
        <v>711</v>
      </c>
      <c r="B712" s="8" t="s">
        <v>1289</v>
      </c>
      <c r="C712" s="8" t="s">
        <v>311</v>
      </c>
      <c r="D712" s="9" t="s">
        <v>196</v>
      </c>
      <c r="E712" s="13">
        <v>743.4</v>
      </c>
      <c r="F712" s="11">
        <v>0.08</v>
      </c>
      <c r="G712" s="12">
        <v>0</v>
      </c>
      <c r="H712" s="13"/>
      <c r="I712" s="13">
        <v>97</v>
      </c>
      <c r="J712" s="14">
        <v>-13.6</v>
      </c>
      <c r="K712" s="15"/>
    </row>
    <row r="713" spans="1:11" ht="16" x14ac:dyDescent="0.2">
      <c r="A713" s="7">
        <v>712</v>
      </c>
      <c r="B713" s="8" t="s">
        <v>779</v>
      </c>
      <c r="C713" s="8" t="s">
        <v>335</v>
      </c>
      <c r="D713" s="9" t="s">
        <v>190</v>
      </c>
      <c r="E713" s="13"/>
      <c r="F713" s="13"/>
      <c r="G713" s="16"/>
      <c r="H713" s="13">
        <v>96</v>
      </c>
      <c r="I713" s="13"/>
      <c r="J713" s="14">
        <v>-13.7</v>
      </c>
      <c r="K713" s="15"/>
    </row>
    <row r="714" spans="1:11" ht="16" x14ac:dyDescent="0.2">
      <c r="A714" s="7">
        <v>713</v>
      </c>
      <c r="B714" s="8" t="s">
        <v>1290</v>
      </c>
      <c r="C714" s="8" t="s">
        <v>316</v>
      </c>
      <c r="D714" s="9" t="s">
        <v>196</v>
      </c>
      <c r="E714" s="13"/>
      <c r="F714" s="13"/>
      <c r="G714" s="16"/>
      <c r="H714" s="13"/>
      <c r="I714" s="13">
        <v>38</v>
      </c>
      <c r="J714" s="14">
        <v>-13.7</v>
      </c>
      <c r="K714" s="15"/>
    </row>
    <row r="715" spans="1:11" ht="16" x14ac:dyDescent="0.2">
      <c r="A715" s="7">
        <v>714</v>
      </c>
      <c r="B715" s="8" t="s">
        <v>1291</v>
      </c>
      <c r="C715" s="8" t="s">
        <v>331</v>
      </c>
      <c r="D715" s="9" t="s">
        <v>196</v>
      </c>
      <c r="E715" s="13">
        <v>744.8</v>
      </c>
      <c r="F715" s="11">
        <v>0.09</v>
      </c>
      <c r="G715" s="12">
        <v>0</v>
      </c>
      <c r="H715" s="13"/>
      <c r="I715" s="13">
        <v>49.1</v>
      </c>
      <c r="J715" s="14">
        <v>-13.8</v>
      </c>
      <c r="K715" s="15"/>
    </row>
    <row r="716" spans="1:11" ht="16" x14ac:dyDescent="0.2">
      <c r="A716" s="7">
        <v>715</v>
      </c>
      <c r="B716" s="8" t="s">
        <v>717</v>
      </c>
      <c r="C716" s="8" t="s">
        <v>315</v>
      </c>
      <c r="D716" s="9" t="s">
        <v>384</v>
      </c>
      <c r="E716" s="13">
        <v>747.2</v>
      </c>
      <c r="F716" s="11">
        <v>0.04</v>
      </c>
      <c r="G716" s="12">
        <v>0</v>
      </c>
      <c r="H716" s="13">
        <v>445</v>
      </c>
      <c r="I716" s="13"/>
      <c r="J716" s="14">
        <v>-13.8</v>
      </c>
      <c r="K716" s="15"/>
    </row>
    <row r="717" spans="1:11" ht="16" x14ac:dyDescent="0.2">
      <c r="A717" s="7">
        <v>716</v>
      </c>
      <c r="B717" s="8" t="s">
        <v>589</v>
      </c>
      <c r="C717" s="8" t="s">
        <v>371</v>
      </c>
      <c r="D717" s="9" t="s">
        <v>192</v>
      </c>
      <c r="E717" s="13">
        <v>571.70000000000005</v>
      </c>
      <c r="F717" s="11">
        <v>1</v>
      </c>
      <c r="G717" s="12">
        <v>0</v>
      </c>
      <c r="H717" s="13">
        <v>301</v>
      </c>
      <c r="I717" s="13"/>
      <c r="J717" s="14">
        <v>-13.9</v>
      </c>
      <c r="K717" s="15"/>
    </row>
    <row r="718" spans="1:11" ht="16" x14ac:dyDescent="0.2">
      <c r="A718" s="7">
        <v>717</v>
      </c>
      <c r="B718" s="8" t="s">
        <v>369</v>
      </c>
      <c r="C718" s="8" t="s">
        <v>320</v>
      </c>
      <c r="D718" s="9" t="s">
        <v>194</v>
      </c>
      <c r="E718" s="13">
        <v>127.6</v>
      </c>
      <c r="F718" s="11">
        <v>1</v>
      </c>
      <c r="G718" s="12">
        <v>1</v>
      </c>
      <c r="H718" s="13">
        <v>336</v>
      </c>
      <c r="I718" s="13"/>
      <c r="J718" s="14">
        <v>-13.9</v>
      </c>
      <c r="K718" s="15"/>
    </row>
    <row r="719" spans="1:11" ht="16" x14ac:dyDescent="0.2">
      <c r="A719" s="7">
        <v>718</v>
      </c>
      <c r="B719" s="8" t="s">
        <v>1292</v>
      </c>
      <c r="C719" s="8" t="s">
        <v>308</v>
      </c>
      <c r="D719" s="9" t="s">
        <v>197</v>
      </c>
      <c r="E719" s="13"/>
      <c r="F719" s="11">
        <v>0.03</v>
      </c>
      <c r="G719" s="12">
        <v>0</v>
      </c>
      <c r="H719" s="13"/>
      <c r="I719" s="13">
        <v>37.1</v>
      </c>
      <c r="J719" s="14">
        <v>-13.9</v>
      </c>
      <c r="K719" s="15"/>
    </row>
    <row r="720" spans="1:11" ht="16" x14ac:dyDescent="0.2">
      <c r="A720" s="7">
        <v>719</v>
      </c>
      <c r="B720" s="8" t="s">
        <v>1293</v>
      </c>
      <c r="C720" s="8" t="s">
        <v>313</v>
      </c>
      <c r="D720" s="9" t="s">
        <v>197</v>
      </c>
      <c r="E720" s="13"/>
      <c r="F720" s="11">
        <v>0.01</v>
      </c>
      <c r="G720" s="12">
        <v>0</v>
      </c>
      <c r="H720" s="13"/>
      <c r="I720" s="13">
        <v>53</v>
      </c>
      <c r="J720" s="14">
        <v>-13.9</v>
      </c>
      <c r="K720" s="15"/>
    </row>
    <row r="721" spans="1:11" ht="16" x14ac:dyDescent="0.2">
      <c r="A721" s="7">
        <v>720</v>
      </c>
      <c r="B721" s="8" t="s">
        <v>1294</v>
      </c>
      <c r="C721" s="8" t="s">
        <v>325</v>
      </c>
      <c r="D721" s="9" t="s">
        <v>197</v>
      </c>
      <c r="E721" s="13"/>
      <c r="F721" s="13"/>
      <c r="G721" s="16"/>
      <c r="H721" s="13"/>
      <c r="I721" s="13">
        <v>41</v>
      </c>
      <c r="J721" s="14">
        <v>-13.9</v>
      </c>
      <c r="K721" s="15"/>
    </row>
    <row r="722" spans="1:11" ht="16" x14ac:dyDescent="0.2">
      <c r="A722" s="7">
        <v>721</v>
      </c>
      <c r="B722" s="8" t="s">
        <v>720</v>
      </c>
      <c r="C722" s="8" t="s">
        <v>308</v>
      </c>
      <c r="D722" s="9" t="s">
        <v>195</v>
      </c>
      <c r="E722" s="13">
        <v>747.4</v>
      </c>
      <c r="F722" s="11">
        <v>0.06</v>
      </c>
      <c r="G722" s="12">
        <v>0</v>
      </c>
      <c r="H722" s="13">
        <v>209</v>
      </c>
      <c r="I722" s="13"/>
      <c r="J722" s="14">
        <v>-13.9</v>
      </c>
      <c r="K722" s="15"/>
    </row>
    <row r="723" spans="1:11" ht="16" x14ac:dyDescent="0.2">
      <c r="A723" s="7">
        <v>722</v>
      </c>
      <c r="B723" s="8" t="s">
        <v>1295</v>
      </c>
      <c r="C723" s="9"/>
      <c r="D723" s="9" t="s">
        <v>197</v>
      </c>
      <c r="E723" s="13"/>
      <c r="F723" s="13"/>
      <c r="G723" s="16"/>
      <c r="H723" s="13"/>
      <c r="I723" s="13">
        <v>49</v>
      </c>
      <c r="J723" s="14">
        <v>-13.9</v>
      </c>
      <c r="K723" s="15"/>
    </row>
    <row r="724" spans="1:11" ht="16" x14ac:dyDescent="0.2">
      <c r="A724" s="7">
        <v>723</v>
      </c>
      <c r="B724" s="8" t="s">
        <v>744</v>
      </c>
      <c r="C724" s="8" t="s">
        <v>354</v>
      </c>
      <c r="D724" s="9" t="s">
        <v>384</v>
      </c>
      <c r="E724" s="13">
        <v>749.9</v>
      </c>
      <c r="F724" s="11">
        <v>0.08</v>
      </c>
      <c r="G724" s="12">
        <v>0</v>
      </c>
      <c r="H724" s="13">
        <v>272</v>
      </c>
      <c r="I724" s="13"/>
      <c r="J724" s="14">
        <v>-14</v>
      </c>
      <c r="K724" s="15"/>
    </row>
    <row r="725" spans="1:11" ht="16" x14ac:dyDescent="0.2">
      <c r="A725" s="7">
        <v>724</v>
      </c>
      <c r="B725" s="8" t="s">
        <v>731</v>
      </c>
      <c r="C725" s="8" t="s">
        <v>308</v>
      </c>
      <c r="D725" s="9" t="s">
        <v>190</v>
      </c>
      <c r="E725" s="13">
        <v>748.6</v>
      </c>
      <c r="F725" s="11">
        <v>0.04</v>
      </c>
      <c r="G725" s="12">
        <v>0</v>
      </c>
      <c r="H725" s="13">
        <v>155</v>
      </c>
      <c r="I725" s="13"/>
      <c r="J725" s="14">
        <v>-14</v>
      </c>
      <c r="K725" s="15"/>
    </row>
    <row r="726" spans="1:11" ht="16" x14ac:dyDescent="0.2">
      <c r="A726" s="7">
        <v>725</v>
      </c>
      <c r="B726" s="8" t="s">
        <v>719</v>
      </c>
      <c r="C726" s="8" t="s">
        <v>331</v>
      </c>
      <c r="D726" s="9" t="s">
        <v>190</v>
      </c>
      <c r="E726" s="13">
        <v>747.4</v>
      </c>
      <c r="F726" s="11">
        <v>0.02</v>
      </c>
      <c r="G726" s="12">
        <v>0</v>
      </c>
      <c r="H726" s="13">
        <v>54</v>
      </c>
      <c r="I726" s="13"/>
      <c r="J726" s="14">
        <v>-14</v>
      </c>
      <c r="K726" s="15"/>
    </row>
    <row r="727" spans="1:11" ht="16" x14ac:dyDescent="0.2">
      <c r="A727" s="7">
        <v>726</v>
      </c>
      <c r="B727" s="8" t="s">
        <v>780</v>
      </c>
      <c r="C727" s="8" t="s">
        <v>310</v>
      </c>
      <c r="D727" s="9" t="s">
        <v>190</v>
      </c>
      <c r="E727" s="13"/>
      <c r="F727" s="13"/>
      <c r="G727" s="16"/>
      <c r="H727" s="13">
        <v>20</v>
      </c>
      <c r="I727" s="13"/>
      <c r="J727" s="14">
        <v>-14</v>
      </c>
      <c r="K727" s="15"/>
    </row>
    <row r="728" spans="1:11" ht="16" x14ac:dyDescent="0.2">
      <c r="A728" s="7">
        <v>727</v>
      </c>
      <c r="B728" s="8" t="s">
        <v>1296</v>
      </c>
      <c r="C728" s="8" t="s">
        <v>320</v>
      </c>
      <c r="D728" s="9" t="s">
        <v>197</v>
      </c>
      <c r="E728" s="13">
        <v>746.7</v>
      </c>
      <c r="F728" s="11">
        <v>0.47</v>
      </c>
      <c r="G728" s="12">
        <v>0</v>
      </c>
      <c r="H728" s="13"/>
      <c r="I728" s="13">
        <v>39</v>
      </c>
      <c r="J728" s="14">
        <v>-14</v>
      </c>
      <c r="K728" s="15"/>
    </row>
    <row r="729" spans="1:11" ht="16" x14ac:dyDescent="0.2">
      <c r="A729" s="7">
        <v>728</v>
      </c>
      <c r="B729" s="8" t="s">
        <v>1297</v>
      </c>
      <c r="C729" s="8" t="s">
        <v>335</v>
      </c>
      <c r="D729" s="9" t="s">
        <v>197</v>
      </c>
      <c r="E729" s="13"/>
      <c r="F729" s="13"/>
      <c r="G729" s="16"/>
      <c r="H729" s="13"/>
      <c r="I729" s="13">
        <v>43.1</v>
      </c>
      <c r="J729" s="14">
        <v>-14.1</v>
      </c>
      <c r="K729" s="15"/>
    </row>
    <row r="730" spans="1:11" ht="16" x14ac:dyDescent="0.2">
      <c r="A730" s="7">
        <v>729</v>
      </c>
      <c r="B730" s="8" t="s">
        <v>781</v>
      </c>
      <c r="C730" s="9"/>
      <c r="D730" s="9" t="s">
        <v>195</v>
      </c>
      <c r="E730" s="13"/>
      <c r="F730" s="13"/>
      <c r="G730" s="16"/>
      <c r="H730" s="13">
        <v>281</v>
      </c>
      <c r="I730" s="13"/>
      <c r="J730" s="14">
        <v>-14.1</v>
      </c>
      <c r="K730" s="15"/>
    </row>
    <row r="731" spans="1:11" ht="16" x14ac:dyDescent="0.2">
      <c r="A731" s="7">
        <v>730</v>
      </c>
      <c r="B731" s="8" t="s">
        <v>1298</v>
      </c>
      <c r="C731" s="8" t="s">
        <v>334</v>
      </c>
      <c r="D731" s="9" t="s">
        <v>197</v>
      </c>
      <c r="E731" s="13"/>
      <c r="F731" s="13"/>
      <c r="G731" s="16"/>
      <c r="H731" s="13"/>
      <c r="I731" s="13">
        <v>56</v>
      </c>
      <c r="J731" s="14">
        <v>-14.2</v>
      </c>
      <c r="K731" s="15"/>
    </row>
    <row r="732" spans="1:11" ht="16" x14ac:dyDescent="0.2">
      <c r="A732" s="7">
        <v>731</v>
      </c>
      <c r="B732" s="8" t="s">
        <v>782</v>
      </c>
      <c r="C732" s="8" t="s">
        <v>307</v>
      </c>
      <c r="D732" s="9" t="s">
        <v>190</v>
      </c>
      <c r="E732" s="13"/>
      <c r="F732" s="13"/>
      <c r="G732" s="16"/>
      <c r="H732" s="13">
        <v>154</v>
      </c>
      <c r="I732" s="13"/>
      <c r="J732" s="14">
        <v>-14.2</v>
      </c>
      <c r="K732" s="15"/>
    </row>
    <row r="733" spans="1:11" ht="16" x14ac:dyDescent="0.2">
      <c r="A733" s="7">
        <v>732</v>
      </c>
      <c r="B733" s="8" t="s">
        <v>1299</v>
      </c>
      <c r="C733" s="8" t="s">
        <v>307</v>
      </c>
      <c r="D733" s="9" t="s">
        <v>197</v>
      </c>
      <c r="E733" s="13"/>
      <c r="F733" s="13"/>
      <c r="G733" s="16"/>
      <c r="H733" s="13"/>
      <c r="I733" s="13">
        <v>53.1</v>
      </c>
      <c r="J733" s="14">
        <v>-14.2</v>
      </c>
      <c r="K733" s="15"/>
    </row>
    <row r="734" spans="1:11" ht="16" x14ac:dyDescent="0.2">
      <c r="A734" s="7">
        <v>733</v>
      </c>
      <c r="B734" s="8" t="s">
        <v>765</v>
      </c>
      <c r="C734" s="8" t="s">
        <v>325</v>
      </c>
      <c r="D734" s="9" t="s">
        <v>329</v>
      </c>
      <c r="E734" s="13">
        <v>751</v>
      </c>
      <c r="F734" s="11">
        <v>0.03</v>
      </c>
      <c r="G734" s="12">
        <v>0</v>
      </c>
      <c r="H734" s="13">
        <v>38</v>
      </c>
      <c r="I734" s="13"/>
      <c r="J734" s="14">
        <v>-14.3</v>
      </c>
      <c r="K734" s="15"/>
    </row>
    <row r="735" spans="1:11" ht="16" x14ac:dyDescent="0.2">
      <c r="A735" s="7">
        <v>734</v>
      </c>
      <c r="B735" s="8" t="s">
        <v>1300</v>
      </c>
      <c r="C735" s="8" t="s">
        <v>323</v>
      </c>
      <c r="D735" s="9" t="s">
        <v>197</v>
      </c>
      <c r="E735" s="13"/>
      <c r="F735" s="13"/>
      <c r="G735" s="16"/>
      <c r="H735" s="13"/>
      <c r="I735" s="13">
        <v>35</v>
      </c>
      <c r="J735" s="14">
        <v>-14.3</v>
      </c>
      <c r="K735" s="15"/>
    </row>
    <row r="736" spans="1:11" ht="16" x14ac:dyDescent="0.2">
      <c r="A736" s="7">
        <v>735</v>
      </c>
      <c r="B736" s="8" t="s">
        <v>1301</v>
      </c>
      <c r="C736" s="8" t="s">
        <v>385</v>
      </c>
      <c r="D736" s="9" t="s">
        <v>197</v>
      </c>
      <c r="E736" s="13"/>
      <c r="F736" s="13"/>
      <c r="G736" s="16"/>
      <c r="H736" s="13"/>
      <c r="I736" s="13">
        <v>70</v>
      </c>
      <c r="J736" s="14">
        <v>-14.4</v>
      </c>
      <c r="K736" s="15"/>
    </row>
    <row r="737" spans="1:11" ht="16" x14ac:dyDescent="0.2">
      <c r="A737" s="7">
        <v>736</v>
      </c>
      <c r="B737" s="8" t="s">
        <v>1302</v>
      </c>
      <c r="C737" s="8" t="s">
        <v>316</v>
      </c>
      <c r="D737" s="9" t="s">
        <v>197</v>
      </c>
      <c r="E737" s="13"/>
      <c r="F737" s="13"/>
      <c r="G737" s="16"/>
      <c r="H737" s="13"/>
      <c r="I737" s="13">
        <v>59</v>
      </c>
      <c r="J737" s="14">
        <v>-14.4</v>
      </c>
      <c r="K737" s="15"/>
    </row>
    <row r="738" spans="1:11" ht="16" x14ac:dyDescent="0.2">
      <c r="A738" s="7">
        <v>737</v>
      </c>
      <c r="B738" s="8" t="s">
        <v>783</v>
      </c>
      <c r="C738" s="8" t="s">
        <v>334</v>
      </c>
      <c r="D738" s="9" t="s">
        <v>190</v>
      </c>
      <c r="E738" s="13"/>
      <c r="F738" s="13"/>
      <c r="G738" s="16"/>
      <c r="H738" s="13">
        <v>19</v>
      </c>
      <c r="I738" s="13"/>
      <c r="J738" s="14">
        <v>-14.4</v>
      </c>
      <c r="K738" s="15"/>
    </row>
    <row r="739" spans="1:11" ht="16" x14ac:dyDescent="0.2">
      <c r="A739" s="7">
        <v>738</v>
      </c>
      <c r="B739" s="8" t="s">
        <v>1303</v>
      </c>
      <c r="C739" s="8" t="s">
        <v>335</v>
      </c>
      <c r="D739" s="9" t="s">
        <v>197</v>
      </c>
      <c r="E739" s="13"/>
      <c r="F739" s="13"/>
      <c r="G739" s="16"/>
      <c r="H739" s="13"/>
      <c r="I739" s="13">
        <v>53</v>
      </c>
      <c r="J739" s="14">
        <v>-14.5</v>
      </c>
      <c r="K739" s="15"/>
    </row>
    <row r="740" spans="1:11" ht="16" x14ac:dyDescent="0.2">
      <c r="A740" s="7">
        <v>739</v>
      </c>
      <c r="B740" s="8" t="s">
        <v>643</v>
      </c>
      <c r="C740" s="8" t="s">
        <v>362</v>
      </c>
      <c r="D740" s="9" t="s">
        <v>194</v>
      </c>
      <c r="E740" s="13">
        <v>676.9</v>
      </c>
      <c r="F740" s="11">
        <v>0.64</v>
      </c>
      <c r="G740" s="12">
        <v>0</v>
      </c>
      <c r="H740" s="13">
        <v>289</v>
      </c>
      <c r="I740" s="13"/>
      <c r="J740" s="14">
        <v>-14.5</v>
      </c>
      <c r="K740" s="15"/>
    </row>
    <row r="741" spans="1:11" ht="16" x14ac:dyDescent="0.2">
      <c r="A741" s="7">
        <v>740</v>
      </c>
      <c r="B741" s="8" t="s">
        <v>1304</v>
      </c>
      <c r="C741" s="8" t="s">
        <v>308</v>
      </c>
      <c r="D741" s="9" t="s">
        <v>196</v>
      </c>
      <c r="E741" s="13">
        <v>749.2</v>
      </c>
      <c r="F741" s="11">
        <v>0.01</v>
      </c>
      <c r="G741" s="12">
        <v>0</v>
      </c>
      <c r="H741" s="13"/>
      <c r="I741" s="13">
        <v>103.1</v>
      </c>
      <c r="J741" s="14">
        <v>-14.6</v>
      </c>
      <c r="K741" s="15"/>
    </row>
    <row r="742" spans="1:11" ht="16" x14ac:dyDescent="0.2">
      <c r="A742" s="7">
        <v>741</v>
      </c>
      <c r="B742" s="8" t="s">
        <v>784</v>
      </c>
      <c r="C742" s="8" t="s">
        <v>346</v>
      </c>
      <c r="D742" s="9" t="s">
        <v>190</v>
      </c>
      <c r="E742" s="13"/>
      <c r="F742" s="13"/>
      <c r="G742" s="16"/>
      <c r="H742" s="13">
        <v>37</v>
      </c>
      <c r="I742" s="13"/>
      <c r="J742" s="14">
        <v>-14.6</v>
      </c>
      <c r="K742" s="15"/>
    </row>
    <row r="743" spans="1:11" ht="16" x14ac:dyDescent="0.2">
      <c r="A743" s="7">
        <v>742</v>
      </c>
      <c r="B743" s="8" t="s">
        <v>785</v>
      </c>
      <c r="C743" s="8" t="s">
        <v>305</v>
      </c>
      <c r="D743" s="9" t="s">
        <v>190</v>
      </c>
      <c r="E743" s="13"/>
      <c r="F743" s="13"/>
      <c r="G743" s="16"/>
      <c r="H743" s="13">
        <v>14</v>
      </c>
      <c r="I743" s="13"/>
      <c r="J743" s="14">
        <v>-14.6</v>
      </c>
      <c r="K743" s="15"/>
    </row>
    <row r="744" spans="1:11" ht="16" x14ac:dyDescent="0.2">
      <c r="A744" s="7">
        <v>743</v>
      </c>
      <c r="B744" s="8" t="s">
        <v>736</v>
      </c>
      <c r="C744" s="8" t="s">
        <v>342</v>
      </c>
      <c r="D744" s="9" t="s">
        <v>737</v>
      </c>
      <c r="E744" s="13">
        <v>749.3</v>
      </c>
      <c r="F744" s="11">
        <v>0.03</v>
      </c>
      <c r="G744" s="12">
        <v>0</v>
      </c>
      <c r="H744" s="13">
        <v>40</v>
      </c>
      <c r="I744" s="13"/>
      <c r="J744" s="14">
        <v>-14.6</v>
      </c>
      <c r="K744" s="15"/>
    </row>
    <row r="745" spans="1:11" ht="16" x14ac:dyDescent="0.2">
      <c r="A745" s="7">
        <v>744</v>
      </c>
      <c r="B745" s="8" t="s">
        <v>1305</v>
      </c>
      <c r="C745" s="8" t="s">
        <v>334</v>
      </c>
      <c r="D745" s="9" t="s">
        <v>197</v>
      </c>
      <c r="E745" s="13"/>
      <c r="F745" s="11">
        <v>0.01</v>
      </c>
      <c r="G745" s="12">
        <v>0</v>
      </c>
      <c r="H745" s="13"/>
      <c r="I745" s="13">
        <v>54.1</v>
      </c>
      <c r="J745" s="14">
        <v>-14.7</v>
      </c>
      <c r="K745" s="15"/>
    </row>
    <row r="746" spans="1:11" ht="16" x14ac:dyDescent="0.2">
      <c r="A746" s="7">
        <v>745</v>
      </c>
      <c r="B746" s="8" t="s">
        <v>1306</v>
      </c>
      <c r="C746" s="8" t="s">
        <v>313</v>
      </c>
      <c r="D746" s="9" t="s">
        <v>197</v>
      </c>
      <c r="E746" s="13"/>
      <c r="F746" s="13"/>
      <c r="G746" s="16"/>
      <c r="H746" s="13"/>
      <c r="I746" s="13">
        <v>53.1</v>
      </c>
      <c r="J746" s="14">
        <v>-14.7</v>
      </c>
      <c r="K746" s="15"/>
    </row>
    <row r="747" spans="1:11" ht="16" x14ac:dyDescent="0.2">
      <c r="A747" s="7">
        <v>746</v>
      </c>
      <c r="B747" s="8" t="s">
        <v>649</v>
      </c>
      <c r="C747" s="8" t="s">
        <v>385</v>
      </c>
      <c r="D747" s="9" t="s">
        <v>195</v>
      </c>
      <c r="E747" s="13">
        <v>686.5</v>
      </c>
      <c r="F747" s="11">
        <v>0.36</v>
      </c>
      <c r="G747" s="12">
        <v>0</v>
      </c>
      <c r="H747" s="13">
        <v>108</v>
      </c>
      <c r="I747" s="13"/>
      <c r="J747" s="14">
        <v>-14.7</v>
      </c>
      <c r="K747" s="15"/>
    </row>
    <row r="748" spans="1:11" ht="16" x14ac:dyDescent="0.2">
      <c r="A748" s="7">
        <v>747</v>
      </c>
      <c r="B748" s="8" t="s">
        <v>786</v>
      </c>
      <c r="C748" s="9"/>
      <c r="D748" s="9" t="s">
        <v>190</v>
      </c>
      <c r="E748" s="13"/>
      <c r="F748" s="11">
        <v>0.02</v>
      </c>
      <c r="G748" s="12">
        <v>0.01</v>
      </c>
      <c r="H748" s="13">
        <v>96</v>
      </c>
      <c r="I748" s="13"/>
      <c r="J748" s="14">
        <v>-14.7</v>
      </c>
      <c r="K748" s="15"/>
    </row>
    <row r="749" spans="1:11" ht="16" x14ac:dyDescent="0.2">
      <c r="A749" s="7">
        <v>748</v>
      </c>
      <c r="B749" s="8" t="s">
        <v>622</v>
      </c>
      <c r="C749" s="8" t="s">
        <v>349</v>
      </c>
      <c r="D749" s="9" t="s">
        <v>329</v>
      </c>
      <c r="E749" s="13">
        <v>641.70000000000005</v>
      </c>
      <c r="F749" s="11">
        <v>0.98</v>
      </c>
      <c r="G749" s="12">
        <v>0.01</v>
      </c>
      <c r="H749" s="13">
        <v>53</v>
      </c>
      <c r="I749" s="13"/>
      <c r="J749" s="14">
        <v>-14.8</v>
      </c>
      <c r="K749" s="15"/>
    </row>
    <row r="750" spans="1:11" ht="16" x14ac:dyDescent="0.2">
      <c r="A750" s="7">
        <v>749</v>
      </c>
      <c r="B750" s="8" t="s">
        <v>787</v>
      </c>
      <c r="C750" s="8" t="s">
        <v>314</v>
      </c>
      <c r="D750" s="9" t="s">
        <v>321</v>
      </c>
      <c r="E750" s="13"/>
      <c r="F750" s="11">
        <v>0.02</v>
      </c>
      <c r="G750" s="12">
        <v>0</v>
      </c>
      <c r="H750" s="13">
        <v>313</v>
      </c>
      <c r="I750" s="13"/>
      <c r="J750" s="14">
        <v>-14.8</v>
      </c>
      <c r="K750" s="15"/>
    </row>
    <row r="751" spans="1:11" ht="16" x14ac:dyDescent="0.2">
      <c r="A751" s="7">
        <v>750</v>
      </c>
      <c r="B751" s="8" t="s">
        <v>788</v>
      </c>
      <c r="C751" s="8" t="s">
        <v>337</v>
      </c>
      <c r="D751" s="9" t="s">
        <v>190</v>
      </c>
      <c r="E751" s="13"/>
      <c r="F751" s="13"/>
      <c r="G751" s="16"/>
      <c r="H751" s="13">
        <v>93</v>
      </c>
      <c r="I751" s="13"/>
      <c r="J751" s="14">
        <v>-14.8</v>
      </c>
      <c r="K751" s="15"/>
    </row>
    <row r="752" spans="1:11" ht="16" x14ac:dyDescent="0.2">
      <c r="A752" s="7">
        <v>751</v>
      </c>
      <c r="B752" s="8" t="s">
        <v>789</v>
      </c>
      <c r="C752" s="8" t="s">
        <v>317</v>
      </c>
      <c r="D752" s="9" t="s">
        <v>737</v>
      </c>
      <c r="E752" s="13"/>
      <c r="F752" s="13"/>
      <c r="G752" s="16"/>
      <c r="H752" s="13">
        <v>17</v>
      </c>
      <c r="I752" s="13"/>
      <c r="J752" s="14">
        <v>-14.8</v>
      </c>
      <c r="K752" s="15"/>
    </row>
    <row r="753" spans="1:11" ht="16" x14ac:dyDescent="0.2">
      <c r="A753" s="7">
        <v>752</v>
      </c>
      <c r="B753" s="8" t="s">
        <v>1307</v>
      </c>
      <c r="C753" s="8" t="s">
        <v>313</v>
      </c>
      <c r="D753" s="9" t="s">
        <v>197</v>
      </c>
      <c r="E753" s="13">
        <v>750.5</v>
      </c>
      <c r="F753" s="11">
        <v>0.04</v>
      </c>
      <c r="G753" s="12">
        <v>0</v>
      </c>
      <c r="H753" s="13"/>
      <c r="I753" s="13">
        <v>68</v>
      </c>
      <c r="J753" s="14">
        <v>-14.8</v>
      </c>
      <c r="K753" s="15"/>
    </row>
    <row r="754" spans="1:11" ht="16" x14ac:dyDescent="0.2">
      <c r="A754" s="7">
        <v>753</v>
      </c>
      <c r="B754" s="8" t="s">
        <v>596</v>
      </c>
      <c r="C754" s="8" t="s">
        <v>362</v>
      </c>
      <c r="D754" s="9" t="s">
        <v>190</v>
      </c>
      <c r="E754" s="13">
        <v>585</v>
      </c>
      <c r="F754" s="11">
        <v>0.97</v>
      </c>
      <c r="G754" s="12">
        <v>0.03</v>
      </c>
      <c r="H754" s="13">
        <v>87</v>
      </c>
      <c r="I754" s="13"/>
      <c r="J754" s="14">
        <v>-14.8</v>
      </c>
      <c r="K754" s="15"/>
    </row>
    <row r="755" spans="1:11" ht="16" x14ac:dyDescent="0.2">
      <c r="A755" s="7">
        <v>754</v>
      </c>
      <c r="B755" s="8" t="s">
        <v>1308</v>
      </c>
      <c r="C755" s="8" t="s">
        <v>325</v>
      </c>
      <c r="D755" s="9" t="s">
        <v>196</v>
      </c>
      <c r="E755" s="13">
        <v>264.89999999999998</v>
      </c>
      <c r="F755" s="11">
        <v>1</v>
      </c>
      <c r="G755" s="12">
        <v>0.96</v>
      </c>
      <c r="H755" s="13"/>
      <c r="I755" s="13">
        <v>75</v>
      </c>
      <c r="J755" s="14">
        <v>-14.9</v>
      </c>
      <c r="K755" s="15"/>
    </row>
    <row r="756" spans="1:11" ht="16" x14ac:dyDescent="0.2">
      <c r="A756" s="7">
        <v>755</v>
      </c>
      <c r="B756" s="8" t="s">
        <v>790</v>
      </c>
      <c r="C756" s="9"/>
      <c r="D756" s="9" t="s">
        <v>195</v>
      </c>
      <c r="E756" s="13"/>
      <c r="F756" s="13"/>
      <c r="G756" s="16"/>
      <c r="H756" s="13">
        <v>196</v>
      </c>
      <c r="I756" s="13"/>
      <c r="J756" s="14">
        <v>-14.9</v>
      </c>
      <c r="K756" s="15"/>
    </row>
    <row r="757" spans="1:11" ht="16" x14ac:dyDescent="0.2">
      <c r="A757" s="7">
        <v>756</v>
      </c>
      <c r="B757" s="8" t="s">
        <v>626</v>
      </c>
      <c r="C757" s="8" t="s">
        <v>335</v>
      </c>
      <c r="D757" s="9" t="s">
        <v>328</v>
      </c>
      <c r="E757" s="13">
        <v>647.20000000000005</v>
      </c>
      <c r="F757" s="11">
        <v>0.85</v>
      </c>
      <c r="G757" s="12">
        <v>0.01</v>
      </c>
      <c r="H757" s="13">
        <v>285</v>
      </c>
      <c r="I757" s="13"/>
      <c r="J757" s="14">
        <v>-15</v>
      </c>
      <c r="K757" s="15"/>
    </row>
    <row r="758" spans="1:11" ht="16" x14ac:dyDescent="0.2">
      <c r="A758" s="7">
        <v>757</v>
      </c>
      <c r="B758" s="8" t="s">
        <v>1309</v>
      </c>
      <c r="C758" s="8" t="s">
        <v>317</v>
      </c>
      <c r="D758" s="9" t="s">
        <v>197</v>
      </c>
      <c r="E758" s="13">
        <v>750.5</v>
      </c>
      <c r="F758" s="11">
        <v>0.03</v>
      </c>
      <c r="G758" s="12">
        <v>0</v>
      </c>
      <c r="H758" s="13"/>
      <c r="I758" s="13">
        <v>43.1</v>
      </c>
      <c r="J758" s="14">
        <v>-15</v>
      </c>
      <c r="K758" s="15"/>
    </row>
    <row r="759" spans="1:11" ht="16" x14ac:dyDescent="0.2">
      <c r="A759" s="7">
        <v>758</v>
      </c>
      <c r="B759" s="8" t="s">
        <v>791</v>
      </c>
      <c r="C759" s="8" t="s">
        <v>325</v>
      </c>
      <c r="D759" s="9" t="s">
        <v>190</v>
      </c>
      <c r="E759" s="13"/>
      <c r="F759" s="13"/>
      <c r="G759" s="16"/>
      <c r="H759" s="13">
        <v>43</v>
      </c>
      <c r="I759" s="13"/>
      <c r="J759" s="14">
        <v>-15</v>
      </c>
      <c r="K759" s="15"/>
    </row>
    <row r="760" spans="1:11" ht="16" x14ac:dyDescent="0.2">
      <c r="A760" s="7">
        <v>759</v>
      </c>
      <c r="B760" s="8" t="s">
        <v>1310</v>
      </c>
      <c r="C760" s="9"/>
      <c r="D760" s="9" t="s">
        <v>197</v>
      </c>
      <c r="E760" s="13"/>
      <c r="F760" s="13"/>
      <c r="G760" s="16"/>
      <c r="H760" s="13"/>
      <c r="I760" s="13">
        <v>36.1</v>
      </c>
      <c r="J760" s="14">
        <v>-15.1</v>
      </c>
      <c r="K760" s="15"/>
    </row>
    <row r="761" spans="1:11" ht="16" x14ac:dyDescent="0.2">
      <c r="A761" s="7">
        <v>760</v>
      </c>
      <c r="B761" s="8" t="s">
        <v>593</v>
      </c>
      <c r="C761" s="8" t="s">
        <v>320</v>
      </c>
      <c r="D761" s="9" t="s">
        <v>195</v>
      </c>
      <c r="E761" s="13">
        <v>577.4</v>
      </c>
      <c r="F761" s="11">
        <v>0.99</v>
      </c>
      <c r="G761" s="12">
        <v>0.01</v>
      </c>
      <c r="H761" s="13">
        <v>262</v>
      </c>
      <c r="I761" s="13"/>
      <c r="J761" s="14">
        <v>-15.1</v>
      </c>
      <c r="K761" s="15"/>
    </row>
    <row r="762" spans="1:11" ht="16" x14ac:dyDescent="0.2">
      <c r="A762" s="7">
        <v>761</v>
      </c>
      <c r="B762" s="8" t="s">
        <v>738</v>
      </c>
      <c r="C762" s="9"/>
      <c r="D762" s="9" t="s">
        <v>195</v>
      </c>
      <c r="E762" s="13">
        <v>749.3</v>
      </c>
      <c r="F762" s="11">
        <v>0.03</v>
      </c>
      <c r="G762" s="12">
        <v>0</v>
      </c>
      <c r="H762" s="13">
        <v>330</v>
      </c>
      <c r="I762" s="13"/>
      <c r="J762" s="14">
        <v>-15.1</v>
      </c>
      <c r="K762" s="15"/>
    </row>
    <row r="763" spans="1:11" ht="16" x14ac:dyDescent="0.2">
      <c r="A763" s="7">
        <v>762</v>
      </c>
      <c r="B763" s="8" t="s">
        <v>792</v>
      </c>
      <c r="C763" s="8" t="s">
        <v>314</v>
      </c>
      <c r="D763" s="9" t="s">
        <v>190</v>
      </c>
      <c r="E763" s="13"/>
      <c r="F763" s="13"/>
      <c r="G763" s="16"/>
      <c r="H763" s="13">
        <v>15</v>
      </c>
      <c r="I763" s="13"/>
      <c r="J763" s="14">
        <v>-15.1</v>
      </c>
      <c r="K763" s="15"/>
    </row>
    <row r="764" spans="1:11" ht="16" x14ac:dyDescent="0.2">
      <c r="A764" s="7">
        <v>763</v>
      </c>
      <c r="B764" s="8" t="s">
        <v>229</v>
      </c>
      <c r="C764" s="8" t="s">
        <v>342</v>
      </c>
      <c r="D764" s="9" t="s">
        <v>191</v>
      </c>
      <c r="E764" s="13">
        <v>285.3</v>
      </c>
      <c r="F764" s="11">
        <v>1</v>
      </c>
      <c r="G764" s="12">
        <v>0.9</v>
      </c>
      <c r="H764" s="13">
        <v>213</v>
      </c>
      <c r="I764" s="13"/>
      <c r="J764" s="14">
        <v>-15.2</v>
      </c>
      <c r="K764" s="15"/>
    </row>
    <row r="765" spans="1:11" ht="16" x14ac:dyDescent="0.2">
      <c r="A765" s="7">
        <v>764</v>
      </c>
      <c r="B765" s="8" t="s">
        <v>615</v>
      </c>
      <c r="C765" s="8" t="s">
        <v>349</v>
      </c>
      <c r="D765" s="9" t="s">
        <v>352</v>
      </c>
      <c r="E765" s="13">
        <v>637.9</v>
      </c>
      <c r="F765" s="11">
        <v>0.9</v>
      </c>
      <c r="G765" s="12">
        <v>0.01</v>
      </c>
      <c r="H765" s="13">
        <v>242</v>
      </c>
      <c r="I765" s="13"/>
      <c r="J765" s="14">
        <v>-15.2</v>
      </c>
      <c r="K765" s="15"/>
    </row>
    <row r="766" spans="1:11" ht="16" x14ac:dyDescent="0.2">
      <c r="A766" s="7">
        <v>765</v>
      </c>
      <c r="B766" s="8" t="s">
        <v>1311</v>
      </c>
      <c r="C766" s="8" t="s">
        <v>323</v>
      </c>
      <c r="D766" s="9" t="s">
        <v>197</v>
      </c>
      <c r="E766" s="13"/>
      <c r="F766" s="13"/>
      <c r="G766" s="16"/>
      <c r="H766" s="13"/>
      <c r="I766" s="13">
        <v>45</v>
      </c>
      <c r="J766" s="14">
        <v>-15.2</v>
      </c>
      <c r="K766" s="15"/>
    </row>
    <row r="767" spans="1:11" ht="16" x14ac:dyDescent="0.2">
      <c r="A767" s="7">
        <v>766</v>
      </c>
      <c r="B767" s="8" t="s">
        <v>1312</v>
      </c>
      <c r="C767" s="8" t="s">
        <v>337</v>
      </c>
      <c r="D767" s="9" t="s">
        <v>197</v>
      </c>
      <c r="E767" s="13">
        <v>730.8</v>
      </c>
      <c r="F767" s="11">
        <v>7.0000000000000007E-2</v>
      </c>
      <c r="G767" s="12">
        <v>0</v>
      </c>
      <c r="H767" s="13"/>
      <c r="I767" s="13">
        <v>49</v>
      </c>
      <c r="J767" s="14">
        <v>-15.2</v>
      </c>
      <c r="K767" s="15"/>
    </row>
    <row r="768" spans="1:11" ht="16" x14ac:dyDescent="0.2">
      <c r="A768" s="7">
        <v>767</v>
      </c>
      <c r="B768" s="8" t="s">
        <v>510</v>
      </c>
      <c r="C768" s="8" t="s">
        <v>310</v>
      </c>
      <c r="D768" s="9" t="s">
        <v>193</v>
      </c>
      <c r="E768" s="13">
        <v>401.5</v>
      </c>
      <c r="F768" s="11">
        <v>1</v>
      </c>
      <c r="G768" s="12">
        <v>0.28000000000000003</v>
      </c>
      <c r="H768" s="13">
        <v>242</v>
      </c>
      <c r="I768" s="13"/>
      <c r="J768" s="14">
        <v>-15.2</v>
      </c>
      <c r="K768" s="15"/>
    </row>
    <row r="769" spans="1:11" ht="16" x14ac:dyDescent="0.2">
      <c r="A769" s="7">
        <v>768</v>
      </c>
      <c r="B769" s="8" t="s">
        <v>735</v>
      </c>
      <c r="C769" s="8" t="s">
        <v>334</v>
      </c>
      <c r="D769" s="9" t="s">
        <v>192</v>
      </c>
      <c r="E769" s="13">
        <v>749.1</v>
      </c>
      <c r="F769" s="11">
        <v>0.03</v>
      </c>
      <c r="G769" s="12">
        <v>0</v>
      </c>
      <c r="H769" s="13">
        <v>223</v>
      </c>
      <c r="I769" s="13"/>
      <c r="J769" s="14">
        <v>-15.2</v>
      </c>
      <c r="K769" s="15"/>
    </row>
    <row r="770" spans="1:11" ht="16" x14ac:dyDescent="0.2">
      <c r="A770" s="7">
        <v>769</v>
      </c>
      <c r="B770" s="8" t="s">
        <v>1313</v>
      </c>
      <c r="C770" s="8" t="s">
        <v>385</v>
      </c>
      <c r="D770" s="9" t="s">
        <v>196</v>
      </c>
      <c r="E770" s="13">
        <v>691.1</v>
      </c>
      <c r="F770" s="11">
        <v>0.26</v>
      </c>
      <c r="G770" s="12">
        <v>0</v>
      </c>
      <c r="H770" s="13"/>
      <c r="I770" s="13">
        <v>148</v>
      </c>
      <c r="J770" s="14">
        <v>-15.2</v>
      </c>
      <c r="K770" s="15"/>
    </row>
    <row r="771" spans="1:11" ht="16" x14ac:dyDescent="0.2">
      <c r="A771" s="7">
        <v>770</v>
      </c>
      <c r="B771" s="8" t="s">
        <v>582</v>
      </c>
      <c r="C771" s="8" t="s">
        <v>346</v>
      </c>
      <c r="D771" s="9" t="s">
        <v>306</v>
      </c>
      <c r="E771" s="13">
        <v>556.1</v>
      </c>
      <c r="F771" s="11">
        <v>0.98</v>
      </c>
      <c r="G771" s="12">
        <v>0.04</v>
      </c>
      <c r="H771" s="13">
        <v>349</v>
      </c>
      <c r="I771" s="13"/>
      <c r="J771" s="14">
        <v>-15.3</v>
      </c>
      <c r="K771" s="15"/>
    </row>
    <row r="772" spans="1:11" ht="16" x14ac:dyDescent="0.2">
      <c r="A772" s="7">
        <v>771</v>
      </c>
      <c r="B772" s="8" t="s">
        <v>793</v>
      </c>
      <c r="C772" s="8" t="s">
        <v>320</v>
      </c>
      <c r="D772" s="9" t="s">
        <v>190</v>
      </c>
      <c r="E772" s="13"/>
      <c r="F772" s="13"/>
      <c r="G772" s="16"/>
      <c r="H772" s="13">
        <v>96</v>
      </c>
      <c r="I772" s="13"/>
      <c r="J772" s="14">
        <v>-15.3</v>
      </c>
      <c r="K772" s="15"/>
    </row>
    <row r="773" spans="1:11" ht="16" x14ac:dyDescent="0.2">
      <c r="A773" s="7">
        <v>772</v>
      </c>
      <c r="B773" s="8" t="s">
        <v>534</v>
      </c>
      <c r="C773" s="8" t="s">
        <v>337</v>
      </c>
      <c r="D773" s="9" t="s">
        <v>193</v>
      </c>
      <c r="E773" s="13">
        <v>446.2</v>
      </c>
      <c r="F773" s="11">
        <v>1</v>
      </c>
      <c r="G773" s="12">
        <v>7.0000000000000007E-2</v>
      </c>
      <c r="H773" s="13">
        <v>168</v>
      </c>
      <c r="I773" s="13"/>
      <c r="J773" s="14">
        <v>-15.4</v>
      </c>
      <c r="K773" s="15"/>
    </row>
    <row r="774" spans="1:11" ht="16" x14ac:dyDescent="0.2">
      <c r="A774" s="7">
        <v>773</v>
      </c>
      <c r="B774" s="8" t="s">
        <v>732</v>
      </c>
      <c r="C774" s="8" t="s">
        <v>354</v>
      </c>
      <c r="D774" s="9" t="s">
        <v>329</v>
      </c>
      <c r="E774" s="13">
        <v>748.7</v>
      </c>
      <c r="F774" s="11">
        <v>0.19</v>
      </c>
      <c r="G774" s="12">
        <v>0</v>
      </c>
      <c r="H774" s="13">
        <v>38</v>
      </c>
      <c r="I774" s="13"/>
      <c r="J774" s="14">
        <v>-15.4</v>
      </c>
      <c r="K774" s="15"/>
    </row>
    <row r="775" spans="1:11" ht="16" x14ac:dyDescent="0.2">
      <c r="A775" s="7">
        <v>774</v>
      </c>
      <c r="B775" s="8" t="s">
        <v>794</v>
      </c>
      <c r="C775" s="8" t="s">
        <v>317</v>
      </c>
      <c r="D775" s="9" t="s">
        <v>190</v>
      </c>
      <c r="E775" s="13"/>
      <c r="F775" s="13"/>
      <c r="G775" s="16"/>
      <c r="H775" s="13">
        <v>147</v>
      </c>
      <c r="I775" s="13"/>
      <c r="J775" s="14">
        <v>-15.4</v>
      </c>
      <c r="K775" s="15"/>
    </row>
    <row r="776" spans="1:11" ht="16" x14ac:dyDescent="0.2">
      <c r="A776" s="7">
        <v>775</v>
      </c>
      <c r="B776" s="8" t="s">
        <v>639</v>
      </c>
      <c r="C776" s="8" t="s">
        <v>320</v>
      </c>
      <c r="D776" s="9" t="s">
        <v>328</v>
      </c>
      <c r="E776" s="13">
        <v>669.7</v>
      </c>
      <c r="F776" s="11">
        <v>0.92</v>
      </c>
      <c r="G776" s="12">
        <v>0.01</v>
      </c>
      <c r="H776" s="13">
        <v>225</v>
      </c>
      <c r="I776" s="13"/>
      <c r="J776" s="14">
        <v>-15.4</v>
      </c>
      <c r="K776" s="15"/>
    </row>
    <row r="777" spans="1:11" ht="16" x14ac:dyDescent="0.2">
      <c r="A777" s="7">
        <v>776</v>
      </c>
      <c r="B777" s="8" t="s">
        <v>273</v>
      </c>
      <c r="C777" s="8" t="s">
        <v>346</v>
      </c>
      <c r="D777" s="9" t="s">
        <v>193</v>
      </c>
      <c r="E777" s="13">
        <v>74.599999999999994</v>
      </c>
      <c r="F777" s="11">
        <v>1</v>
      </c>
      <c r="G777" s="12">
        <v>1</v>
      </c>
      <c r="H777" s="13">
        <v>177</v>
      </c>
      <c r="I777" s="13"/>
      <c r="J777" s="14">
        <v>-15.4</v>
      </c>
      <c r="K777" s="15"/>
    </row>
    <row r="778" spans="1:11" ht="16" x14ac:dyDescent="0.2">
      <c r="A778" s="7">
        <v>777</v>
      </c>
      <c r="B778" s="8" t="s">
        <v>686</v>
      </c>
      <c r="C778" s="8" t="s">
        <v>325</v>
      </c>
      <c r="D778" s="9" t="s">
        <v>190</v>
      </c>
      <c r="E778" s="13">
        <v>738.1</v>
      </c>
      <c r="F778" s="11">
        <v>0.12</v>
      </c>
      <c r="G778" s="12">
        <v>0</v>
      </c>
      <c r="H778" s="13">
        <v>15</v>
      </c>
      <c r="I778" s="13"/>
      <c r="J778" s="14">
        <v>-15.4</v>
      </c>
      <c r="K778" s="15"/>
    </row>
    <row r="779" spans="1:11" ht="16" x14ac:dyDescent="0.2">
      <c r="A779" s="7">
        <v>778</v>
      </c>
      <c r="B779" s="8" t="s">
        <v>795</v>
      </c>
      <c r="C779" s="8" t="s">
        <v>362</v>
      </c>
      <c r="D779" s="9" t="s">
        <v>190</v>
      </c>
      <c r="E779" s="13"/>
      <c r="F779" s="13"/>
      <c r="G779" s="16"/>
      <c r="H779" s="13">
        <v>71</v>
      </c>
      <c r="I779" s="13"/>
      <c r="J779" s="14">
        <v>-15.4</v>
      </c>
      <c r="K779" s="15"/>
    </row>
    <row r="780" spans="1:11" ht="16" x14ac:dyDescent="0.2">
      <c r="A780" s="7">
        <v>779</v>
      </c>
      <c r="B780" s="8" t="s">
        <v>796</v>
      </c>
      <c r="C780" s="9"/>
      <c r="D780" s="9" t="s">
        <v>190</v>
      </c>
      <c r="E780" s="13"/>
      <c r="F780" s="13"/>
      <c r="G780" s="16"/>
      <c r="H780" s="13">
        <v>6</v>
      </c>
      <c r="I780" s="13"/>
      <c r="J780" s="14">
        <v>-15.5</v>
      </c>
      <c r="K780" s="15"/>
    </row>
    <row r="781" spans="1:11" ht="16" x14ac:dyDescent="0.2">
      <c r="A781" s="7">
        <v>780</v>
      </c>
      <c r="B781" s="8" t="s">
        <v>745</v>
      </c>
      <c r="C781" s="8" t="s">
        <v>320</v>
      </c>
      <c r="D781" s="9" t="s">
        <v>329</v>
      </c>
      <c r="E781" s="13">
        <v>749.9</v>
      </c>
      <c r="F781" s="11">
        <v>0.01</v>
      </c>
      <c r="G781" s="12">
        <v>0</v>
      </c>
      <c r="H781" s="13">
        <v>16</v>
      </c>
      <c r="I781" s="13"/>
      <c r="J781" s="14">
        <v>-15.5</v>
      </c>
      <c r="K781" s="15"/>
    </row>
    <row r="782" spans="1:11" ht="16" x14ac:dyDescent="0.2">
      <c r="A782" s="7">
        <v>781</v>
      </c>
      <c r="B782" s="8" t="s">
        <v>712</v>
      </c>
      <c r="C782" s="8" t="s">
        <v>354</v>
      </c>
      <c r="D782" s="9" t="s">
        <v>190</v>
      </c>
      <c r="E782" s="13">
        <v>746.4</v>
      </c>
      <c r="F782" s="11">
        <v>0.13</v>
      </c>
      <c r="G782" s="12">
        <v>0</v>
      </c>
      <c r="H782" s="13">
        <v>4</v>
      </c>
      <c r="I782" s="13"/>
      <c r="J782" s="14">
        <v>-15.6</v>
      </c>
      <c r="K782" s="15"/>
    </row>
    <row r="783" spans="1:11" ht="16" x14ac:dyDescent="0.2">
      <c r="A783" s="7">
        <v>782</v>
      </c>
      <c r="B783" s="8" t="s">
        <v>797</v>
      </c>
      <c r="C783" s="8" t="s">
        <v>371</v>
      </c>
      <c r="D783" s="9" t="s">
        <v>329</v>
      </c>
      <c r="E783" s="13"/>
      <c r="F783" s="13"/>
      <c r="G783" s="16"/>
      <c r="H783" s="13">
        <v>7</v>
      </c>
      <c r="I783" s="13"/>
      <c r="J783" s="14">
        <v>-15.6</v>
      </c>
      <c r="K783" s="15"/>
    </row>
    <row r="784" spans="1:11" ht="16" x14ac:dyDescent="0.2">
      <c r="A784" s="7">
        <v>783</v>
      </c>
      <c r="B784" s="8" t="s">
        <v>798</v>
      </c>
      <c r="C784" s="8" t="s">
        <v>350</v>
      </c>
      <c r="D784" s="9" t="s">
        <v>190</v>
      </c>
      <c r="E784" s="13"/>
      <c r="F784" s="13"/>
      <c r="G784" s="16"/>
      <c r="H784" s="13">
        <v>69</v>
      </c>
      <c r="I784" s="13"/>
      <c r="J784" s="14">
        <v>-15.6</v>
      </c>
      <c r="K784" s="15"/>
    </row>
    <row r="785" spans="1:11" ht="16" x14ac:dyDescent="0.2">
      <c r="A785" s="7">
        <v>784</v>
      </c>
      <c r="B785" s="8" t="s">
        <v>799</v>
      </c>
      <c r="C785" s="9"/>
      <c r="D785" s="9" t="s">
        <v>190</v>
      </c>
      <c r="E785" s="13"/>
      <c r="F785" s="13"/>
      <c r="G785" s="16"/>
      <c r="H785" s="13">
        <v>8</v>
      </c>
      <c r="I785" s="13"/>
      <c r="J785" s="14">
        <v>-15.6</v>
      </c>
      <c r="K785" s="15"/>
    </row>
    <row r="786" spans="1:11" ht="16" x14ac:dyDescent="0.2">
      <c r="A786" s="7">
        <v>785</v>
      </c>
      <c r="B786" s="8" t="s">
        <v>671</v>
      </c>
      <c r="C786" s="8" t="s">
        <v>305</v>
      </c>
      <c r="D786" s="9" t="s">
        <v>552</v>
      </c>
      <c r="E786" s="13">
        <v>725</v>
      </c>
      <c r="F786" s="11">
        <v>0.35</v>
      </c>
      <c r="G786" s="12">
        <v>0.04</v>
      </c>
      <c r="H786" s="13">
        <v>246</v>
      </c>
      <c r="I786" s="13"/>
      <c r="J786" s="14">
        <v>-15.6</v>
      </c>
      <c r="K786" s="15"/>
    </row>
    <row r="787" spans="1:11" ht="16" x14ac:dyDescent="0.2">
      <c r="A787" s="7">
        <v>786</v>
      </c>
      <c r="B787" s="8" t="s">
        <v>562</v>
      </c>
      <c r="C787" s="8" t="s">
        <v>334</v>
      </c>
      <c r="D787" s="9" t="s">
        <v>190</v>
      </c>
      <c r="E787" s="13">
        <v>505.6</v>
      </c>
      <c r="F787" s="11">
        <v>1</v>
      </c>
      <c r="G787" s="12">
        <v>0.04</v>
      </c>
      <c r="H787" s="13">
        <v>122</v>
      </c>
      <c r="I787" s="13"/>
      <c r="J787" s="14">
        <v>-15.7</v>
      </c>
      <c r="K787" s="15"/>
    </row>
    <row r="788" spans="1:11" ht="16" x14ac:dyDescent="0.2">
      <c r="A788" s="7">
        <v>787</v>
      </c>
      <c r="B788" s="8" t="s">
        <v>800</v>
      </c>
      <c r="C788" s="8" t="s">
        <v>385</v>
      </c>
      <c r="D788" s="9" t="s">
        <v>190</v>
      </c>
      <c r="E788" s="13"/>
      <c r="F788" s="13"/>
      <c r="G788" s="16"/>
      <c r="H788" s="13">
        <v>9</v>
      </c>
      <c r="I788" s="13"/>
      <c r="J788" s="14">
        <v>-15.7</v>
      </c>
      <c r="K788" s="15"/>
    </row>
    <row r="789" spans="1:11" ht="16" x14ac:dyDescent="0.2">
      <c r="A789" s="7">
        <v>788</v>
      </c>
      <c r="B789" s="8" t="s">
        <v>1314</v>
      </c>
      <c r="C789" s="8" t="s">
        <v>335</v>
      </c>
      <c r="D789" s="9" t="s">
        <v>1005</v>
      </c>
      <c r="E789" s="13"/>
      <c r="F789" s="13"/>
      <c r="G789" s="16"/>
      <c r="H789" s="13"/>
      <c r="I789" s="13">
        <v>69</v>
      </c>
      <c r="J789" s="14">
        <v>-15.7</v>
      </c>
      <c r="K789" s="15"/>
    </row>
    <row r="790" spans="1:11" ht="16" x14ac:dyDescent="0.2">
      <c r="A790" s="7">
        <v>789</v>
      </c>
      <c r="B790" s="8" t="s">
        <v>1315</v>
      </c>
      <c r="C790" s="8" t="s">
        <v>334</v>
      </c>
      <c r="D790" s="9" t="s">
        <v>197</v>
      </c>
      <c r="E790" s="13"/>
      <c r="F790" s="11">
        <v>0.01</v>
      </c>
      <c r="G790" s="12">
        <v>0</v>
      </c>
      <c r="H790" s="13"/>
      <c r="I790" s="13">
        <v>54</v>
      </c>
      <c r="J790" s="14">
        <v>-15.7</v>
      </c>
      <c r="K790" s="15"/>
    </row>
    <row r="791" spans="1:11" ht="16" x14ac:dyDescent="0.2">
      <c r="A791" s="7">
        <v>790</v>
      </c>
      <c r="B791" s="8" t="s">
        <v>288</v>
      </c>
      <c r="C791" s="8" t="s">
        <v>313</v>
      </c>
      <c r="D791" s="9" t="s">
        <v>192</v>
      </c>
      <c r="E791" s="13">
        <v>230.4</v>
      </c>
      <c r="F791" s="11">
        <v>1</v>
      </c>
      <c r="G791" s="12">
        <v>0.94</v>
      </c>
      <c r="H791" s="13">
        <v>208</v>
      </c>
      <c r="I791" s="13"/>
      <c r="J791" s="14">
        <v>-15.8</v>
      </c>
      <c r="K791" s="15"/>
    </row>
    <row r="792" spans="1:11" ht="16" x14ac:dyDescent="0.2">
      <c r="A792" s="7">
        <v>791</v>
      </c>
      <c r="B792" s="8" t="s">
        <v>801</v>
      </c>
      <c r="C792" s="8" t="s">
        <v>316</v>
      </c>
      <c r="D792" s="9" t="s">
        <v>190</v>
      </c>
      <c r="E792" s="13"/>
      <c r="F792" s="13"/>
      <c r="G792" s="16"/>
      <c r="H792" s="13">
        <v>7</v>
      </c>
      <c r="I792" s="13"/>
      <c r="J792" s="14">
        <v>-15.8</v>
      </c>
      <c r="K792" s="15"/>
    </row>
    <row r="793" spans="1:11" ht="16" x14ac:dyDescent="0.2">
      <c r="A793" s="7">
        <v>792</v>
      </c>
      <c r="B793" s="8" t="s">
        <v>1316</v>
      </c>
      <c r="C793" s="8" t="s">
        <v>350</v>
      </c>
      <c r="D793" s="9" t="s">
        <v>197</v>
      </c>
      <c r="E793" s="13">
        <v>653</v>
      </c>
      <c r="F793" s="11">
        <v>0.59</v>
      </c>
      <c r="G793" s="12">
        <v>0.02</v>
      </c>
      <c r="H793" s="13"/>
      <c r="I793" s="13">
        <v>53</v>
      </c>
      <c r="J793" s="14">
        <v>-15.8</v>
      </c>
      <c r="K793" s="15"/>
    </row>
    <row r="794" spans="1:11" ht="16" x14ac:dyDescent="0.2">
      <c r="A794" s="7">
        <v>793</v>
      </c>
      <c r="B794" s="8" t="s">
        <v>701</v>
      </c>
      <c r="C794" s="8" t="s">
        <v>334</v>
      </c>
      <c r="D794" s="9" t="s">
        <v>431</v>
      </c>
      <c r="E794" s="13">
        <v>743.3</v>
      </c>
      <c r="F794" s="11">
        <v>7.0000000000000007E-2</v>
      </c>
      <c r="G794" s="12">
        <v>0.01</v>
      </c>
      <c r="H794" s="13">
        <v>294</v>
      </c>
      <c r="I794" s="13"/>
      <c r="J794" s="14">
        <v>-15.8</v>
      </c>
      <c r="K794" s="15"/>
    </row>
    <row r="795" spans="1:11" ht="16" x14ac:dyDescent="0.2">
      <c r="A795" s="7">
        <v>794</v>
      </c>
      <c r="B795" s="8" t="s">
        <v>802</v>
      </c>
      <c r="C795" s="9"/>
      <c r="D795" s="9" t="s">
        <v>306</v>
      </c>
      <c r="E795" s="13"/>
      <c r="F795" s="11">
        <v>0.01</v>
      </c>
      <c r="G795" s="12">
        <v>0</v>
      </c>
      <c r="H795" s="13">
        <v>254</v>
      </c>
      <c r="I795" s="13"/>
      <c r="J795" s="14">
        <v>-15.8</v>
      </c>
      <c r="K795" s="15"/>
    </row>
    <row r="796" spans="1:11" ht="16" x14ac:dyDescent="0.2">
      <c r="A796" s="7">
        <v>795</v>
      </c>
      <c r="B796" s="8" t="s">
        <v>291</v>
      </c>
      <c r="C796" s="8" t="s">
        <v>354</v>
      </c>
      <c r="D796" s="9" t="s">
        <v>359</v>
      </c>
      <c r="E796" s="13">
        <v>464.9</v>
      </c>
      <c r="F796" s="11">
        <v>0.99</v>
      </c>
      <c r="G796" s="12">
        <v>0.05</v>
      </c>
      <c r="H796" s="13">
        <v>119</v>
      </c>
      <c r="I796" s="13"/>
      <c r="J796" s="14">
        <v>-15.9</v>
      </c>
      <c r="K796" s="15"/>
    </row>
    <row r="797" spans="1:11" ht="16" x14ac:dyDescent="0.2">
      <c r="A797" s="7">
        <v>796</v>
      </c>
      <c r="B797" s="8" t="s">
        <v>708</v>
      </c>
      <c r="C797" s="8" t="s">
        <v>316</v>
      </c>
      <c r="D797" s="9" t="s">
        <v>194</v>
      </c>
      <c r="E797" s="13">
        <v>745.1</v>
      </c>
      <c r="F797" s="11">
        <v>0.14000000000000001</v>
      </c>
      <c r="G797" s="12">
        <v>0.01</v>
      </c>
      <c r="H797" s="13">
        <v>185</v>
      </c>
      <c r="I797" s="13"/>
      <c r="J797" s="14">
        <v>-15.9</v>
      </c>
      <c r="K797" s="15"/>
    </row>
    <row r="798" spans="1:11" ht="16" x14ac:dyDescent="0.2">
      <c r="A798" s="7">
        <v>797</v>
      </c>
      <c r="B798" s="8" t="s">
        <v>1317</v>
      </c>
      <c r="C798" s="8" t="s">
        <v>311</v>
      </c>
      <c r="D798" s="9" t="s">
        <v>196</v>
      </c>
      <c r="E798" s="13">
        <v>594</v>
      </c>
      <c r="F798" s="11">
        <v>0.87</v>
      </c>
      <c r="G798" s="12">
        <v>0</v>
      </c>
      <c r="H798" s="13"/>
      <c r="I798" s="13">
        <v>77</v>
      </c>
      <c r="J798" s="14">
        <v>-16.100000000000001</v>
      </c>
      <c r="K798" s="15"/>
    </row>
    <row r="799" spans="1:11" ht="16" x14ac:dyDescent="0.2">
      <c r="A799" s="7">
        <v>798</v>
      </c>
      <c r="B799" s="8" t="s">
        <v>656</v>
      </c>
      <c r="C799" s="8" t="s">
        <v>362</v>
      </c>
      <c r="D799" s="9" t="s">
        <v>309</v>
      </c>
      <c r="E799" s="13">
        <v>699.9</v>
      </c>
      <c r="F799" s="11">
        <v>0.83</v>
      </c>
      <c r="G799" s="12">
        <v>0.01</v>
      </c>
      <c r="H799" s="13">
        <v>230</v>
      </c>
      <c r="I799" s="13"/>
      <c r="J799" s="14">
        <v>-16.100000000000001</v>
      </c>
      <c r="K799" s="15"/>
    </row>
    <row r="800" spans="1:11" ht="16" x14ac:dyDescent="0.2">
      <c r="A800" s="7">
        <v>799</v>
      </c>
      <c r="B800" s="8" t="s">
        <v>803</v>
      </c>
      <c r="C800" s="8" t="s">
        <v>313</v>
      </c>
      <c r="D800" s="9" t="s">
        <v>195</v>
      </c>
      <c r="E800" s="13"/>
      <c r="F800" s="13"/>
      <c r="G800" s="16"/>
      <c r="H800" s="13">
        <v>186</v>
      </c>
      <c r="I800" s="13"/>
      <c r="J800" s="14">
        <v>-16.2</v>
      </c>
      <c r="K800" s="15"/>
    </row>
    <row r="801" spans="1:11" ht="16" x14ac:dyDescent="0.2">
      <c r="A801" s="7">
        <v>800</v>
      </c>
      <c r="B801" s="8" t="s">
        <v>653</v>
      </c>
      <c r="C801" s="8" t="s">
        <v>315</v>
      </c>
      <c r="D801" s="9" t="s">
        <v>654</v>
      </c>
      <c r="E801" s="13">
        <v>697.8</v>
      </c>
      <c r="F801" s="11">
        <v>0.59</v>
      </c>
      <c r="G801" s="12">
        <v>0.05</v>
      </c>
      <c r="H801" s="13">
        <v>278</v>
      </c>
      <c r="I801" s="13"/>
      <c r="J801" s="14">
        <v>-16.2</v>
      </c>
      <c r="K801" s="15"/>
    </row>
    <row r="802" spans="1:11" ht="16" x14ac:dyDescent="0.2">
      <c r="A802" s="7">
        <v>801</v>
      </c>
      <c r="B802" s="8" t="s">
        <v>1318</v>
      </c>
      <c r="C802" s="8" t="s">
        <v>350</v>
      </c>
      <c r="D802" s="9" t="s">
        <v>196</v>
      </c>
      <c r="E802" s="13"/>
      <c r="F802" s="13"/>
      <c r="G802" s="16"/>
      <c r="H802" s="13"/>
      <c r="I802" s="13">
        <v>35.1</v>
      </c>
      <c r="J802" s="14">
        <v>-16.2</v>
      </c>
      <c r="K802" s="15"/>
    </row>
    <row r="803" spans="1:11" ht="16" x14ac:dyDescent="0.2">
      <c r="A803" s="7">
        <v>802</v>
      </c>
      <c r="B803" s="8" t="s">
        <v>1319</v>
      </c>
      <c r="C803" s="8" t="s">
        <v>323</v>
      </c>
      <c r="D803" s="9" t="s">
        <v>197</v>
      </c>
      <c r="E803" s="13"/>
      <c r="F803" s="13"/>
      <c r="G803" s="16"/>
      <c r="H803" s="13"/>
      <c r="I803" s="13">
        <v>38</v>
      </c>
      <c r="J803" s="14">
        <v>-16.2</v>
      </c>
      <c r="K803" s="15"/>
    </row>
    <row r="804" spans="1:11" ht="16" x14ac:dyDescent="0.2">
      <c r="A804" s="7">
        <v>803</v>
      </c>
      <c r="B804" s="8" t="s">
        <v>1320</v>
      </c>
      <c r="C804" s="8" t="s">
        <v>307</v>
      </c>
      <c r="D804" s="9" t="s">
        <v>197</v>
      </c>
      <c r="E804" s="13"/>
      <c r="F804" s="13"/>
      <c r="G804" s="16"/>
      <c r="H804" s="13"/>
      <c r="I804" s="13">
        <v>58</v>
      </c>
      <c r="J804" s="14">
        <v>-16.2</v>
      </c>
      <c r="K804" s="15"/>
    </row>
    <row r="805" spans="1:11" ht="16" x14ac:dyDescent="0.2">
      <c r="A805" s="7">
        <v>804</v>
      </c>
      <c r="B805" s="8" t="s">
        <v>1321</v>
      </c>
      <c r="C805" s="8" t="s">
        <v>315</v>
      </c>
      <c r="D805" s="9" t="s">
        <v>197</v>
      </c>
      <c r="E805" s="13"/>
      <c r="F805" s="13"/>
      <c r="G805" s="16"/>
      <c r="H805" s="13"/>
      <c r="I805" s="13">
        <v>47</v>
      </c>
      <c r="J805" s="14">
        <v>-16.2</v>
      </c>
      <c r="K805" s="15"/>
    </row>
    <row r="806" spans="1:11" ht="16" x14ac:dyDescent="0.2">
      <c r="A806" s="7">
        <v>805</v>
      </c>
      <c r="B806" s="8" t="s">
        <v>1322</v>
      </c>
      <c r="C806" s="8" t="s">
        <v>367</v>
      </c>
      <c r="D806" s="9" t="s">
        <v>196</v>
      </c>
      <c r="E806" s="13">
        <v>359.9</v>
      </c>
      <c r="F806" s="11">
        <v>1</v>
      </c>
      <c r="G806" s="12">
        <v>0.3</v>
      </c>
      <c r="H806" s="13"/>
      <c r="I806" s="13">
        <v>87</v>
      </c>
      <c r="J806" s="14">
        <v>-16.2</v>
      </c>
      <c r="K806" s="15"/>
    </row>
    <row r="807" spans="1:11" ht="16" x14ac:dyDescent="0.2">
      <c r="A807" s="7">
        <v>806</v>
      </c>
      <c r="B807" s="8" t="s">
        <v>715</v>
      </c>
      <c r="C807" s="8" t="s">
        <v>319</v>
      </c>
      <c r="D807" s="9" t="s">
        <v>195</v>
      </c>
      <c r="E807" s="13">
        <v>746.9</v>
      </c>
      <c r="F807" s="11">
        <v>0.09</v>
      </c>
      <c r="G807" s="12">
        <v>0</v>
      </c>
      <c r="H807" s="13">
        <v>188</v>
      </c>
      <c r="I807" s="13"/>
      <c r="J807" s="14">
        <v>-16.3</v>
      </c>
      <c r="K807" s="15"/>
    </row>
    <row r="808" spans="1:11" ht="16" x14ac:dyDescent="0.2">
      <c r="A808" s="7">
        <v>807</v>
      </c>
      <c r="B808" s="8" t="s">
        <v>804</v>
      </c>
      <c r="C808" s="8" t="s">
        <v>349</v>
      </c>
      <c r="D808" s="9" t="s">
        <v>306</v>
      </c>
      <c r="E808" s="13"/>
      <c r="F808" s="13"/>
      <c r="G808" s="16"/>
      <c r="H808" s="13">
        <v>163</v>
      </c>
      <c r="I808" s="13"/>
      <c r="J808" s="14">
        <v>-16.3</v>
      </c>
      <c r="K808" s="15"/>
    </row>
    <row r="809" spans="1:11" ht="16" x14ac:dyDescent="0.2">
      <c r="A809" s="7">
        <v>808</v>
      </c>
      <c r="B809" s="8" t="s">
        <v>606</v>
      </c>
      <c r="C809" s="8" t="s">
        <v>354</v>
      </c>
      <c r="D809" s="9" t="s">
        <v>195</v>
      </c>
      <c r="E809" s="13">
        <v>614.20000000000005</v>
      </c>
      <c r="F809" s="11">
        <v>0.99</v>
      </c>
      <c r="G809" s="12">
        <v>0.01</v>
      </c>
      <c r="H809" s="13">
        <v>156</v>
      </c>
      <c r="I809" s="13"/>
      <c r="J809" s="14">
        <v>-16.399999999999999</v>
      </c>
      <c r="K809" s="15"/>
    </row>
    <row r="810" spans="1:11" ht="16" x14ac:dyDescent="0.2">
      <c r="A810" s="7">
        <v>809</v>
      </c>
      <c r="B810" s="8" t="s">
        <v>756</v>
      </c>
      <c r="C810" s="8" t="s">
        <v>317</v>
      </c>
      <c r="D810" s="9" t="s">
        <v>328</v>
      </c>
      <c r="E810" s="13">
        <v>750.7</v>
      </c>
      <c r="F810" s="11">
        <v>0.02</v>
      </c>
      <c r="G810" s="12">
        <v>0</v>
      </c>
      <c r="H810" s="13">
        <v>156</v>
      </c>
      <c r="I810" s="13"/>
      <c r="J810" s="14">
        <v>-16.5</v>
      </c>
      <c r="K810" s="15"/>
    </row>
    <row r="811" spans="1:11" ht="16" x14ac:dyDescent="0.2">
      <c r="A811" s="7">
        <v>810</v>
      </c>
      <c r="B811" s="8" t="s">
        <v>1323</v>
      </c>
      <c r="C811" s="8" t="s">
        <v>317</v>
      </c>
      <c r="D811" s="9" t="s">
        <v>197</v>
      </c>
      <c r="E811" s="13"/>
      <c r="F811" s="11">
        <v>0.01</v>
      </c>
      <c r="G811" s="12">
        <v>0</v>
      </c>
      <c r="H811" s="13"/>
      <c r="I811" s="13">
        <v>46.1</v>
      </c>
      <c r="J811" s="14">
        <v>-16.5</v>
      </c>
      <c r="K811" s="15"/>
    </row>
    <row r="812" spans="1:11" ht="16" x14ac:dyDescent="0.2">
      <c r="A812" s="7">
        <v>811</v>
      </c>
      <c r="B812" s="8" t="s">
        <v>1324</v>
      </c>
      <c r="C812" s="8" t="s">
        <v>320</v>
      </c>
      <c r="D812" s="9" t="s">
        <v>197</v>
      </c>
      <c r="E812" s="13"/>
      <c r="F812" s="13"/>
      <c r="G812" s="16"/>
      <c r="H812" s="13"/>
      <c r="I812" s="13">
        <v>48</v>
      </c>
      <c r="J812" s="14">
        <v>-16.5</v>
      </c>
      <c r="K812" s="15"/>
    </row>
    <row r="813" spans="1:11" ht="16" x14ac:dyDescent="0.2">
      <c r="A813" s="7">
        <v>812</v>
      </c>
      <c r="B813" s="8" t="s">
        <v>247</v>
      </c>
      <c r="C813" s="8" t="s">
        <v>337</v>
      </c>
      <c r="D813" s="9" t="s">
        <v>195</v>
      </c>
      <c r="E813" s="13">
        <v>132.80000000000001</v>
      </c>
      <c r="F813" s="11">
        <v>1</v>
      </c>
      <c r="G813" s="12">
        <v>1</v>
      </c>
      <c r="H813" s="13">
        <v>132</v>
      </c>
      <c r="I813" s="13"/>
      <c r="J813" s="14">
        <v>-16.600000000000001</v>
      </c>
      <c r="K813" s="15"/>
    </row>
    <row r="814" spans="1:11" ht="16" x14ac:dyDescent="0.2">
      <c r="A814" s="7">
        <v>813</v>
      </c>
      <c r="B814" s="8" t="s">
        <v>1325</v>
      </c>
      <c r="C814" s="8" t="s">
        <v>349</v>
      </c>
      <c r="D814" s="9" t="s">
        <v>197</v>
      </c>
      <c r="E814" s="13"/>
      <c r="F814" s="13"/>
      <c r="G814" s="16"/>
      <c r="H814" s="13"/>
      <c r="I814" s="13">
        <v>40</v>
      </c>
      <c r="J814" s="14">
        <v>-16.600000000000001</v>
      </c>
      <c r="K814" s="15"/>
    </row>
    <row r="815" spans="1:11" ht="16" x14ac:dyDescent="0.2">
      <c r="A815" s="7">
        <v>814</v>
      </c>
      <c r="B815" s="8" t="s">
        <v>718</v>
      </c>
      <c r="C815" s="8" t="s">
        <v>350</v>
      </c>
      <c r="D815" s="9" t="s">
        <v>195</v>
      </c>
      <c r="E815" s="13">
        <v>747.2</v>
      </c>
      <c r="F815" s="11">
        <v>0.03</v>
      </c>
      <c r="G815" s="12">
        <v>0</v>
      </c>
      <c r="H815" s="13">
        <v>212</v>
      </c>
      <c r="I815" s="13"/>
      <c r="J815" s="14">
        <v>-16.7</v>
      </c>
      <c r="K815" s="15"/>
    </row>
    <row r="816" spans="1:11" ht="16" x14ac:dyDescent="0.2">
      <c r="A816" s="7">
        <v>815</v>
      </c>
      <c r="B816" s="8" t="s">
        <v>662</v>
      </c>
      <c r="C816" s="8" t="s">
        <v>346</v>
      </c>
      <c r="D816" s="9" t="s">
        <v>194</v>
      </c>
      <c r="E816" s="13">
        <v>702.3</v>
      </c>
      <c r="F816" s="11">
        <v>0.48</v>
      </c>
      <c r="G816" s="12">
        <v>0.02</v>
      </c>
      <c r="H816" s="13">
        <v>252</v>
      </c>
      <c r="I816" s="13"/>
      <c r="J816" s="14">
        <v>-16.7</v>
      </c>
      <c r="K816" s="15"/>
    </row>
    <row r="817" spans="1:11" ht="16" x14ac:dyDescent="0.2">
      <c r="A817" s="7">
        <v>816</v>
      </c>
      <c r="B817" s="8" t="s">
        <v>805</v>
      </c>
      <c r="C817" s="8" t="s">
        <v>326</v>
      </c>
      <c r="D817" s="9" t="s">
        <v>195</v>
      </c>
      <c r="E817" s="13"/>
      <c r="F817" s="11">
        <v>0.04</v>
      </c>
      <c r="G817" s="12">
        <v>0</v>
      </c>
      <c r="H817" s="13">
        <v>98</v>
      </c>
      <c r="I817" s="13"/>
      <c r="J817" s="14">
        <v>-16.7</v>
      </c>
      <c r="K817" s="15"/>
    </row>
    <row r="818" spans="1:11" ht="16" x14ac:dyDescent="0.2">
      <c r="A818" s="7">
        <v>817</v>
      </c>
      <c r="B818" s="8" t="s">
        <v>806</v>
      </c>
      <c r="C818" s="8" t="s">
        <v>307</v>
      </c>
      <c r="D818" s="9" t="s">
        <v>192</v>
      </c>
      <c r="E818" s="13"/>
      <c r="F818" s="11">
        <v>0.01</v>
      </c>
      <c r="G818" s="12">
        <v>0</v>
      </c>
      <c r="H818" s="13">
        <v>224</v>
      </c>
      <c r="I818" s="13"/>
      <c r="J818" s="14">
        <v>-16.8</v>
      </c>
      <c r="K818" s="15"/>
    </row>
    <row r="819" spans="1:11" ht="16" x14ac:dyDescent="0.2">
      <c r="A819" s="7">
        <v>818</v>
      </c>
      <c r="B819" s="8" t="s">
        <v>807</v>
      </c>
      <c r="C819" s="9"/>
      <c r="D819" s="9" t="s">
        <v>808</v>
      </c>
      <c r="E819" s="13"/>
      <c r="F819" s="11">
        <v>0.01</v>
      </c>
      <c r="G819" s="12">
        <v>0</v>
      </c>
      <c r="H819" s="13">
        <v>278</v>
      </c>
      <c r="I819" s="13"/>
      <c r="J819" s="14">
        <v>-16.8</v>
      </c>
      <c r="K819" s="15"/>
    </row>
    <row r="820" spans="1:11" ht="16" x14ac:dyDescent="0.2">
      <c r="A820" s="7">
        <v>819</v>
      </c>
      <c r="B820" s="8" t="s">
        <v>753</v>
      </c>
      <c r="C820" s="9"/>
      <c r="D820" s="9" t="s">
        <v>195</v>
      </c>
      <c r="E820" s="13">
        <v>750.4</v>
      </c>
      <c r="F820" s="11">
        <v>0.09</v>
      </c>
      <c r="G820" s="12">
        <v>0.01</v>
      </c>
      <c r="H820" s="13">
        <v>178</v>
      </c>
      <c r="I820" s="13"/>
      <c r="J820" s="14">
        <v>-16.8</v>
      </c>
      <c r="K820" s="15"/>
    </row>
    <row r="821" spans="1:11" ht="16" x14ac:dyDescent="0.2">
      <c r="A821" s="7">
        <v>820</v>
      </c>
      <c r="B821" s="8" t="s">
        <v>1326</v>
      </c>
      <c r="C821" s="8" t="s">
        <v>314</v>
      </c>
      <c r="D821" s="9" t="s">
        <v>196</v>
      </c>
      <c r="E821" s="13">
        <v>538.79999999999995</v>
      </c>
      <c r="F821" s="11">
        <v>1</v>
      </c>
      <c r="G821" s="12">
        <v>0</v>
      </c>
      <c r="H821" s="13"/>
      <c r="I821" s="13">
        <v>171.1</v>
      </c>
      <c r="J821" s="14">
        <v>-16.8</v>
      </c>
      <c r="K821" s="15"/>
    </row>
    <row r="822" spans="1:11" ht="16" x14ac:dyDescent="0.2">
      <c r="A822" s="7">
        <v>821</v>
      </c>
      <c r="B822" s="8" t="s">
        <v>1327</v>
      </c>
      <c r="C822" s="8" t="s">
        <v>346</v>
      </c>
      <c r="D822" s="9" t="s">
        <v>197</v>
      </c>
      <c r="E822" s="13"/>
      <c r="F822" s="13"/>
      <c r="G822" s="16"/>
      <c r="H822" s="13"/>
      <c r="I822" s="13">
        <v>43</v>
      </c>
      <c r="J822" s="14">
        <v>-16.8</v>
      </c>
      <c r="K822" s="15"/>
    </row>
    <row r="823" spans="1:11" ht="16" x14ac:dyDescent="0.2">
      <c r="A823" s="7">
        <v>822</v>
      </c>
      <c r="B823" s="8" t="s">
        <v>457</v>
      </c>
      <c r="C823" s="8" t="s">
        <v>335</v>
      </c>
      <c r="D823" s="9" t="s">
        <v>195</v>
      </c>
      <c r="E823" s="13">
        <v>284</v>
      </c>
      <c r="F823" s="11">
        <v>1</v>
      </c>
      <c r="G823" s="12">
        <v>0.88</v>
      </c>
      <c r="H823" s="13">
        <v>162</v>
      </c>
      <c r="I823" s="13"/>
      <c r="J823" s="14">
        <v>-16.8</v>
      </c>
      <c r="K823" s="15"/>
    </row>
    <row r="824" spans="1:11" ht="16" x14ac:dyDescent="0.2">
      <c r="A824" s="7">
        <v>823</v>
      </c>
      <c r="B824" s="8" t="s">
        <v>703</v>
      </c>
      <c r="C824" s="8" t="s">
        <v>311</v>
      </c>
      <c r="D824" s="9" t="s">
        <v>318</v>
      </c>
      <c r="E824" s="13">
        <v>744</v>
      </c>
      <c r="F824" s="11">
        <v>0.17</v>
      </c>
      <c r="G824" s="12">
        <v>0</v>
      </c>
      <c r="H824" s="13">
        <v>221</v>
      </c>
      <c r="I824" s="13"/>
      <c r="J824" s="14">
        <v>-16.899999999999999</v>
      </c>
      <c r="K824" s="15"/>
    </row>
    <row r="825" spans="1:11" ht="16" x14ac:dyDescent="0.2">
      <c r="A825" s="7">
        <v>824</v>
      </c>
      <c r="B825" s="8" t="s">
        <v>1328</v>
      </c>
      <c r="C825" s="8" t="s">
        <v>334</v>
      </c>
      <c r="D825" s="9" t="s">
        <v>197</v>
      </c>
      <c r="E825" s="13"/>
      <c r="F825" s="13"/>
      <c r="G825" s="16"/>
      <c r="H825" s="13"/>
      <c r="I825" s="13">
        <v>67</v>
      </c>
      <c r="J825" s="14">
        <v>-16.899999999999999</v>
      </c>
      <c r="K825" s="15"/>
    </row>
    <row r="826" spans="1:11" ht="16" x14ac:dyDescent="0.2">
      <c r="A826" s="7">
        <v>825</v>
      </c>
      <c r="B826" s="8" t="s">
        <v>1329</v>
      </c>
      <c r="C826" s="8" t="s">
        <v>350</v>
      </c>
      <c r="D826" s="9" t="s">
        <v>197</v>
      </c>
      <c r="E826" s="13"/>
      <c r="F826" s="13"/>
      <c r="G826" s="16"/>
      <c r="H826" s="13"/>
      <c r="I826" s="13">
        <v>73</v>
      </c>
      <c r="J826" s="14">
        <v>-17</v>
      </c>
      <c r="K826" s="15"/>
    </row>
    <row r="827" spans="1:11" ht="16" x14ac:dyDescent="0.2">
      <c r="A827" s="7">
        <v>826</v>
      </c>
      <c r="B827" s="8" t="s">
        <v>1330</v>
      </c>
      <c r="C827" s="8" t="s">
        <v>362</v>
      </c>
      <c r="D827" s="9" t="s">
        <v>196</v>
      </c>
      <c r="E827" s="13">
        <v>647.4</v>
      </c>
      <c r="F827" s="11">
        <v>0.5</v>
      </c>
      <c r="G827" s="12">
        <v>0</v>
      </c>
      <c r="H827" s="13"/>
      <c r="I827" s="13">
        <v>112</v>
      </c>
      <c r="J827" s="14">
        <v>-17</v>
      </c>
      <c r="K827" s="15"/>
    </row>
    <row r="828" spans="1:11" ht="16" x14ac:dyDescent="0.2">
      <c r="A828" s="7">
        <v>827</v>
      </c>
      <c r="B828" s="8" t="s">
        <v>749</v>
      </c>
      <c r="C828" s="8" t="s">
        <v>350</v>
      </c>
      <c r="D828" s="9" t="s">
        <v>193</v>
      </c>
      <c r="E828" s="13">
        <v>750.3</v>
      </c>
      <c r="F828" s="11">
        <v>0.03</v>
      </c>
      <c r="G828" s="12">
        <v>0</v>
      </c>
      <c r="H828" s="13">
        <v>267</v>
      </c>
      <c r="I828" s="13"/>
      <c r="J828" s="14">
        <v>-17</v>
      </c>
      <c r="K828" s="15"/>
    </row>
    <row r="829" spans="1:11" ht="16" x14ac:dyDescent="0.2">
      <c r="A829" s="7">
        <v>828</v>
      </c>
      <c r="B829" s="8" t="s">
        <v>1331</v>
      </c>
      <c r="C829" s="8" t="s">
        <v>325</v>
      </c>
      <c r="D829" s="9" t="s">
        <v>197</v>
      </c>
      <c r="E829" s="13"/>
      <c r="F829" s="13"/>
      <c r="G829" s="16"/>
      <c r="H829" s="13"/>
      <c r="I829" s="13">
        <v>46.1</v>
      </c>
      <c r="J829" s="14">
        <v>-17</v>
      </c>
      <c r="K829" s="15"/>
    </row>
    <row r="830" spans="1:11" ht="16" x14ac:dyDescent="0.2">
      <c r="A830" s="7">
        <v>829</v>
      </c>
      <c r="B830" s="8" t="s">
        <v>692</v>
      </c>
      <c r="C830" s="8" t="s">
        <v>313</v>
      </c>
      <c r="D830" s="9" t="s">
        <v>195</v>
      </c>
      <c r="E830" s="13">
        <v>740.3</v>
      </c>
      <c r="F830" s="11">
        <v>0.38</v>
      </c>
      <c r="G830" s="12">
        <v>0</v>
      </c>
      <c r="H830" s="13">
        <v>265</v>
      </c>
      <c r="I830" s="13"/>
      <c r="J830" s="14">
        <v>-17</v>
      </c>
      <c r="K830" s="15"/>
    </row>
    <row r="831" spans="1:11" ht="16" x14ac:dyDescent="0.2">
      <c r="A831" s="7">
        <v>830</v>
      </c>
      <c r="B831" s="8" t="s">
        <v>1332</v>
      </c>
      <c r="C831" s="8" t="s">
        <v>335</v>
      </c>
      <c r="D831" s="9" t="s">
        <v>196</v>
      </c>
      <c r="E831" s="13">
        <v>539.79999999999995</v>
      </c>
      <c r="F831" s="11">
        <v>1</v>
      </c>
      <c r="G831" s="12">
        <v>0</v>
      </c>
      <c r="H831" s="13"/>
      <c r="I831" s="13">
        <v>35.1</v>
      </c>
      <c r="J831" s="14">
        <v>-17</v>
      </c>
      <c r="K831" s="15"/>
    </row>
    <row r="832" spans="1:11" ht="16" x14ac:dyDescent="0.2">
      <c r="A832" s="7">
        <v>831</v>
      </c>
      <c r="B832" s="8" t="s">
        <v>469</v>
      </c>
      <c r="C832" s="8" t="s">
        <v>346</v>
      </c>
      <c r="D832" s="9" t="s">
        <v>191</v>
      </c>
      <c r="E832" s="13">
        <v>317.2</v>
      </c>
      <c r="F832" s="11">
        <v>1</v>
      </c>
      <c r="G832" s="12">
        <v>0.63</v>
      </c>
      <c r="H832" s="13">
        <v>143</v>
      </c>
      <c r="I832" s="13"/>
      <c r="J832" s="14">
        <v>-17.100000000000001</v>
      </c>
      <c r="K832" s="15"/>
    </row>
    <row r="833" spans="1:11" ht="16" x14ac:dyDescent="0.2">
      <c r="A833" s="7">
        <v>832</v>
      </c>
      <c r="B833" s="8" t="s">
        <v>677</v>
      </c>
      <c r="C833" s="8" t="s">
        <v>350</v>
      </c>
      <c r="D833" s="9" t="s">
        <v>191</v>
      </c>
      <c r="E833" s="13">
        <v>732.3</v>
      </c>
      <c r="F833" s="11">
        <v>0.1</v>
      </c>
      <c r="G833" s="12">
        <v>0</v>
      </c>
      <c r="H833" s="13">
        <v>260</v>
      </c>
      <c r="I833" s="13"/>
      <c r="J833" s="14">
        <v>-17.100000000000001</v>
      </c>
      <c r="K833" s="15"/>
    </row>
    <row r="834" spans="1:11" ht="16" x14ac:dyDescent="0.2">
      <c r="A834" s="7">
        <v>833</v>
      </c>
      <c r="B834" s="8" t="s">
        <v>1333</v>
      </c>
      <c r="C834" s="8" t="s">
        <v>331</v>
      </c>
      <c r="D834" s="9" t="s">
        <v>197</v>
      </c>
      <c r="E834" s="13"/>
      <c r="F834" s="11">
        <v>0.01</v>
      </c>
      <c r="G834" s="12">
        <v>0</v>
      </c>
      <c r="H834" s="13"/>
      <c r="I834" s="13">
        <v>64</v>
      </c>
      <c r="J834" s="14">
        <v>-17.100000000000001</v>
      </c>
      <c r="K834" s="15"/>
    </row>
    <row r="835" spans="1:11" ht="16" x14ac:dyDescent="0.2">
      <c r="A835" s="7">
        <v>834</v>
      </c>
      <c r="B835" s="8" t="s">
        <v>683</v>
      </c>
      <c r="C835" s="8" t="s">
        <v>311</v>
      </c>
      <c r="D835" s="9" t="s">
        <v>193</v>
      </c>
      <c r="E835" s="13">
        <v>736.8</v>
      </c>
      <c r="F835" s="11">
        <v>0.19</v>
      </c>
      <c r="G835" s="12">
        <v>0</v>
      </c>
      <c r="H835" s="13">
        <v>161</v>
      </c>
      <c r="I835" s="13"/>
      <c r="J835" s="14">
        <v>-17.2</v>
      </c>
      <c r="K835" s="15"/>
    </row>
    <row r="836" spans="1:11" ht="16" x14ac:dyDescent="0.2">
      <c r="A836" s="7">
        <v>835</v>
      </c>
      <c r="B836" s="8" t="s">
        <v>685</v>
      </c>
      <c r="C836" s="8" t="s">
        <v>310</v>
      </c>
      <c r="D836" s="9" t="s">
        <v>195</v>
      </c>
      <c r="E836" s="13">
        <v>737.6</v>
      </c>
      <c r="F836" s="11">
        <v>0.42</v>
      </c>
      <c r="G836" s="12">
        <v>0</v>
      </c>
      <c r="H836" s="13">
        <v>51</v>
      </c>
      <c r="I836" s="13"/>
      <c r="J836" s="14">
        <v>-17.2</v>
      </c>
      <c r="K836" s="15"/>
    </row>
    <row r="837" spans="1:11" ht="16" x14ac:dyDescent="0.2">
      <c r="A837" s="7">
        <v>836</v>
      </c>
      <c r="B837" s="8" t="s">
        <v>454</v>
      </c>
      <c r="C837" s="8" t="s">
        <v>348</v>
      </c>
      <c r="D837" s="9" t="s">
        <v>195</v>
      </c>
      <c r="E837" s="13">
        <v>277.5</v>
      </c>
      <c r="F837" s="11">
        <v>1</v>
      </c>
      <c r="G837" s="12">
        <v>0.94</v>
      </c>
      <c r="H837" s="13">
        <v>178</v>
      </c>
      <c r="I837" s="13"/>
      <c r="J837" s="14">
        <v>-17.3</v>
      </c>
      <c r="K837" s="15"/>
    </row>
    <row r="838" spans="1:11" ht="16" x14ac:dyDescent="0.2">
      <c r="A838" s="7">
        <v>837</v>
      </c>
      <c r="B838" s="8" t="s">
        <v>809</v>
      </c>
      <c r="C838" s="9"/>
      <c r="D838" s="9" t="s">
        <v>191</v>
      </c>
      <c r="E838" s="13"/>
      <c r="F838" s="11">
        <v>0.01</v>
      </c>
      <c r="G838" s="12">
        <v>0</v>
      </c>
      <c r="H838" s="13">
        <v>174</v>
      </c>
      <c r="I838" s="13"/>
      <c r="J838" s="14">
        <v>-17.3</v>
      </c>
      <c r="K838" s="15"/>
    </row>
    <row r="839" spans="1:11" ht="16" x14ac:dyDescent="0.2">
      <c r="A839" s="7">
        <v>838</v>
      </c>
      <c r="B839" s="8" t="s">
        <v>661</v>
      </c>
      <c r="C839" s="8" t="s">
        <v>385</v>
      </c>
      <c r="D839" s="9" t="s">
        <v>195</v>
      </c>
      <c r="E839" s="13">
        <v>702.2</v>
      </c>
      <c r="F839" s="11">
        <v>0.8</v>
      </c>
      <c r="G839" s="12">
        <v>0.01</v>
      </c>
      <c r="H839" s="13">
        <v>89</v>
      </c>
      <c r="I839" s="13"/>
      <c r="J839" s="14">
        <v>-17.3</v>
      </c>
      <c r="K839" s="15"/>
    </row>
    <row r="840" spans="1:11" ht="16" x14ac:dyDescent="0.2">
      <c r="A840" s="7">
        <v>839</v>
      </c>
      <c r="B840" s="8" t="s">
        <v>810</v>
      </c>
      <c r="C840" s="8" t="s">
        <v>367</v>
      </c>
      <c r="D840" s="9" t="s">
        <v>190</v>
      </c>
      <c r="E840" s="13"/>
      <c r="F840" s="13"/>
      <c r="G840" s="16"/>
      <c r="H840" s="13">
        <v>76</v>
      </c>
      <c r="I840" s="13"/>
      <c r="J840" s="14">
        <v>-17.3</v>
      </c>
      <c r="K840" s="15"/>
    </row>
    <row r="841" spans="1:11" ht="16" x14ac:dyDescent="0.2">
      <c r="A841" s="7">
        <v>840</v>
      </c>
      <c r="B841" s="8" t="s">
        <v>811</v>
      </c>
      <c r="C841" s="8" t="s">
        <v>326</v>
      </c>
      <c r="D841" s="9" t="s">
        <v>812</v>
      </c>
      <c r="E841" s="13"/>
      <c r="F841" s="13"/>
      <c r="G841" s="16"/>
      <c r="H841" s="13">
        <v>120</v>
      </c>
      <c r="I841" s="13"/>
      <c r="J841" s="14">
        <v>-17.3</v>
      </c>
      <c r="K841" s="15"/>
    </row>
    <row r="842" spans="1:11" ht="16" x14ac:dyDescent="0.2">
      <c r="A842" s="7">
        <v>841</v>
      </c>
      <c r="B842" s="8" t="s">
        <v>813</v>
      </c>
      <c r="C842" s="8" t="s">
        <v>350</v>
      </c>
      <c r="D842" s="9" t="s">
        <v>195</v>
      </c>
      <c r="E842" s="13"/>
      <c r="F842" s="13"/>
      <c r="G842" s="16"/>
      <c r="H842" s="13">
        <v>189</v>
      </c>
      <c r="I842" s="13"/>
      <c r="J842" s="14">
        <v>-17.3</v>
      </c>
      <c r="K842" s="15"/>
    </row>
    <row r="843" spans="1:11" ht="16" x14ac:dyDescent="0.2">
      <c r="A843" s="7">
        <v>842</v>
      </c>
      <c r="B843" s="8" t="s">
        <v>814</v>
      </c>
      <c r="C843" s="8" t="s">
        <v>315</v>
      </c>
      <c r="D843" s="9" t="s">
        <v>309</v>
      </c>
      <c r="E843" s="13"/>
      <c r="F843" s="13"/>
      <c r="G843" s="16"/>
      <c r="H843" s="13">
        <v>207</v>
      </c>
      <c r="I843" s="13"/>
      <c r="J843" s="14">
        <v>-17.3</v>
      </c>
      <c r="K843" s="15"/>
    </row>
    <row r="844" spans="1:11" ht="16" x14ac:dyDescent="0.2">
      <c r="A844" s="7">
        <v>843</v>
      </c>
      <c r="B844" s="8" t="s">
        <v>815</v>
      </c>
      <c r="C844" s="9"/>
      <c r="D844" s="9" t="s">
        <v>309</v>
      </c>
      <c r="E844" s="13"/>
      <c r="F844" s="13"/>
      <c r="G844" s="16"/>
      <c r="H844" s="13">
        <v>245</v>
      </c>
      <c r="I844" s="13"/>
      <c r="J844" s="14">
        <v>-17.399999999999999</v>
      </c>
      <c r="K844" s="15"/>
    </row>
    <row r="845" spans="1:11" ht="16" x14ac:dyDescent="0.2">
      <c r="A845" s="7">
        <v>844</v>
      </c>
      <c r="B845" s="8" t="s">
        <v>725</v>
      </c>
      <c r="C845" s="8" t="s">
        <v>354</v>
      </c>
      <c r="D845" s="9" t="s">
        <v>726</v>
      </c>
      <c r="E845" s="13">
        <v>748</v>
      </c>
      <c r="F845" s="11">
        <v>0.15</v>
      </c>
      <c r="G845" s="12">
        <v>0</v>
      </c>
      <c r="H845" s="13">
        <v>113</v>
      </c>
      <c r="I845" s="13"/>
      <c r="J845" s="14">
        <v>-17.399999999999999</v>
      </c>
      <c r="K845" s="15"/>
    </row>
    <row r="846" spans="1:11" ht="16" x14ac:dyDescent="0.2">
      <c r="A846" s="7">
        <v>845</v>
      </c>
      <c r="B846" s="8" t="s">
        <v>564</v>
      </c>
      <c r="C846" s="8" t="s">
        <v>316</v>
      </c>
      <c r="D846" s="9" t="s">
        <v>195</v>
      </c>
      <c r="E846" s="13">
        <v>508.9</v>
      </c>
      <c r="F846" s="11">
        <v>1</v>
      </c>
      <c r="G846" s="12">
        <v>0.03</v>
      </c>
      <c r="H846" s="13">
        <v>103</v>
      </c>
      <c r="I846" s="13"/>
      <c r="J846" s="14">
        <v>-17.5</v>
      </c>
      <c r="K846" s="15"/>
    </row>
    <row r="847" spans="1:11" ht="16" x14ac:dyDescent="0.2">
      <c r="A847" s="7">
        <v>846</v>
      </c>
      <c r="B847" s="8" t="s">
        <v>713</v>
      </c>
      <c r="C847" s="8" t="s">
        <v>311</v>
      </c>
      <c r="D847" s="9" t="s">
        <v>195</v>
      </c>
      <c r="E847" s="13">
        <v>746.5</v>
      </c>
      <c r="F847" s="11">
        <v>0.28000000000000003</v>
      </c>
      <c r="G847" s="12">
        <v>0</v>
      </c>
      <c r="H847" s="13">
        <v>169</v>
      </c>
      <c r="I847" s="13"/>
      <c r="J847" s="14">
        <v>-17.600000000000001</v>
      </c>
      <c r="K847" s="15"/>
    </row>
    <row r="848" spans="1:11" ht="16" x14ac:dyDescent="0.2">
      <c r="A848" s="7">
        <v>847</v>
      </c>
      <c r="B848" s="8" t="s">
        <v>1334</v>
      </c>
      <c r="C848" s="9"/>
      <c r="D848" s="9" t="s">
        <v>197</v>
      </c>
      <c r="E848" s="13"/>
      <c r="F848" s="13"/>
      <c r="G848" s="16"/>
      <c r="H848" s="13"/>
      <c r="I848" s="13">
        <v>58</v>
      </c>
      <c r="J848" s="14">
        <v>-17.600000000000001</v>
      </c>
      <c r="K848" s="15"/>
    </row>
    <row r="849" spans="1:11" ht="16" x14ac:dyDescent="0.2">
      <c r="A849" s="7">
        <v>848</v>
      </c>
      <c r="B849" s="8" t="s">
        <v>755</v>
      </c>
      <c r="C849" s="9"/>
      <c r="D849" s="9" t="s">
        <v>191</v>
      </c>
      <c r="E849" s="13">
        <v>750.6</v>
      </c>
      <c r="F849" s="11">
        <v>0.03</v>
      </c>
      <c r="G849" s="12">
        <v>0</v>
      </c>
      <c r="H849" s="13">
        <v>247</v>
      </c>
      <c r="I849" s="13"/>
      <c r="J849" s="14">
        <v>-17.600000000000001</v>
      </c>
      <c r="K849" s="15"/>
    </row>
    <row r="850" spans="1:11" ht="16" x14ac:dyDescent="0.2">
      <c r="A850" s="7">
        <v>849</v>
      </c>
      <c r="B850" s="8" t="s">
        <v>695</v>
      </c>
      <c r="C850" s="8" t="s">
        <v>320</v>
      </c>
      <c r="D850" s="9" t="s">
        <v>195</v>
      </c>
      <c r="E850" s="13">
        <v>741.2</v>
      </c>
      <c r="F850" s="11">
        <v>0.23</v>
      </c>
      <c r="G850" s="12">
        <v>0.01</v>
      </c>
      <c r="H850" s="13">
        <v>91</v>
      </c>
      <c r="I850" s="13"/>
      <c r="J850" s="14">
        <v>-17.600000000000001</v>
      </c>
      <c r="K850" s="15"/>
    </row>
    <row r="851" spans="1:11" ht="16" x14ac:dyDescent="0.2">
      <c r="A851" s="7">
        <v>850</v>
      </c>
      <c r="B851" s="8" t="s">
        <v>816</v>
      </c>
      <c r="C851" s="8" t="s">
        <v>320</v>
      </c>
      <c r="D851" s="9" t="s">
        <v>384</v>
      </c>
      <c r="E851" s="13"/>
      <c r="F851" s="11">
        <v>0.03</v>
      </c>
      <c r="G851" s="12">
        <v>0</v>
      </c>
      <c r="H851" s="13">
        <v>210</v>
      </c>
      <c r="I851" s="13"/>
      <c r="J851" s="14">
        <v>-17.7</v>
      </c>
      <c r="K851" s="15"/>
    </row>
    <row r="852" spans="1:11" ht="16" x14ac:dyDescent="0.2">
      <c r="A852" s="7">
        <v>851</v>
      </c>
      <c r="B852" s="8" t="s">
        <v>1335</v>
      </c>
      <c r="C852" s="8" t="s">
        <v>362</v>
      </c>
      <c r="D852" s="9" t="s">
        <v>197</v>
      </c>
      <c r="E852" s="13"/>
      <c r="F852" s="13"/>
      <c r="G852" s="16"/>
      <c r="H852" s="13"/>
      <c r="I852" s="13">
        <v>55</v>
      </c>
      <c r="J852" s="14">
        <v>-17.7</v>
      </c>
      <c r="K852" s="15"/>
    </row>
    <row r="853" spans="1:11" ht="16" x14ac:dyDescent="0.2">
      <c r="A853" s="7">
        <v>852</v>
      </c>
      <c r="B853" s="8" t="s">
        <v>432</v>
      </c>
      <c r="C853" s="8" t="s">
        <v>354</v>
      </c>
      <c r="D853" s="9" t="s">
        <v>195</v>
      </c>
      <c r="E853" s="13">
        <v>238.2</v>
      </c>
      <c r="F853" s="11">
        <v>1</v>
      </c>
      <c r="G853" s="12">
        <v>0.98</v>
      </c>
      <c r="H853" s="13">
        <v>158</v>
      </c>
      <c r="I853" s="13"/>
      <c r="J853" s="14">
        <v>-17.7</v>
      </c>
      <c r="K853" s="15"/>
    </row>
    <row r="854" spans="1:11" ht="16" x14ac:dyDescent="0.2">
      <c r="A854" s="7">
        <v>853</v>
      </c>
      <c r="B854" s="8" t="s">
        <v>594</v>
      </c>
      <c r="C854" s="8" t="s">
        <v>314</v>
      </c>
      <c r="D854" s="9" t="s">
        <v>193</v>
      </c>
      <c r="E854" s="13">
        <v>581</v>
      </c>
      <c r="F854" s="11">
        <v>1</v>
      </c>
      <c r="G854" s="12">
        <v>0.01</v>
      </c>
      <c r="H854" s="13">
        <v>171</v>
      </c>
      <c r="I854" s="13"/>
      <c r="J854" s="14">
        <v>-17.7</v>
      </c>
      <c r="K854" s="15"/>
    </row>
    <row r="855" spans="1:11" ht="16" x14ac:dyDescent="0.2">
      <c r="A855" s="7">
        <v>854</v>
      </c>
      <c r="B855" s="8" t="s">
        <v>722</v>
      </c>
      <c r="C855" s="8" t="s">
        <v>337</v>
      </c>
      <c r="D855" s="9" t="s">
        <v>193</v>
      </c>
      <c r="E855" s="13">
        <v>747.6</v>
      </c>
      <c r="F855" s="11">
        <v>0.06</v>
      </c>
      <c r="G855" s="12">
        <v>0</v>
      </c>
      <c r="H855" s="13">
        <v>211</v>
      </c>
      <c r="I855" s="13"/>
      <c r="J855" s="14">
        <v>-17.7</v>
      </c>
      <c r="K855" s="15"/>
    </row>
    <row r="856" spans="1:11" ht="16" x14ac:dyDescent="0.2">
      <c r="A856" s="7">
        <v>855</v>
      </c>
      <c r="B856" s="8" t="s">
        <v>483</v>
      </c>
      <c r="C856" s="8" t="s">
        <v>313</v>
      </c>
      <c r="D856" s="9" t="s">
        <v>309</v>
      </c>
      <c r="E856" s="13">
        <v>344</v>
      </c>
      <c r="F856" s="11">
        <v>1</v>
      </c>
      <c r="G856" s="12">
        <v>0.54</v>
      </c>
      <c r="H856" s="13">
        <v>114</v>
      </c>
      <c r="I856" s="13"/>
      <c r="J856" s="14">
        <v>-17.7</v>
      </c>
      <c r="K856" s="15"/>
    </row>
    <row r="857" spans="1:11" ht="16" x14ac:dyDescent="0.2">
      <c r="A857" s="7">
        <v>856</v>
      </c>
      <c r="B857" s="8" t="s">
        <v>505</v>
      </c>
      <c r="C857" s="8" t="s">
        <v>371</v>
      </c>
      <c r="D857" s="9" t="s">
        <v>194</v>
      </c>
      <c r="E857" s="13">
        <v>392.4</v>
      </c>
      <c r="F857" s="11">
        <v>1</v>
      </c>
      <c r="G857" s="12">
        <v>0.15</v>
      </c>
      <c r="H857" s="13">
        <v>185</v>
      </c>
      <c r="I857" s="13"/>
      <c r="J857" s="14">
        <v>-17.8</v>
      </c>
      <c r="K857" s="15"/>
    </row>
    <row r="858" spans="1:11" ht="16" x14ac:dyDescent="0.2">
      <c r="A858" s="7">
        <v>857</v>
      </c>
      <c r="B858" s="8" t="s">
        <v>697</v>
      </c>
      <c r="C858" s="8" t="s">
        <v>354</v>
      </c>
      <c r="D858" s="9" t="s">
        <v>195</v>
      </c>
      <c r="E858" s="13">
        <v>742.4</v>
      </c>
      <c r="F858" s="11">
        <v>0.28999999999999998</v>
      </c>
      <c r="G858" s="12">
        <v>0</v>
      </c>
      <c r="H858" s="13">
        <v>130</v>
      </c>
      <c r="I858" s="13"/>
      <c r="J858" s="14">
        <v>-17.8</v>
      </c>
      <c r="K858" s="15"/>
    </row>
    <row r="859" spans="1:11" ht="16" x14ac:dyDescent="0.2">
      <c r="A859" s="7">
        <v>858</v>
      </c>
      <c r="B859" s="8" t="s">
        <v>590</v>
      </c>
      <c r="C859" s="8" t="s">
        <v>308</v>
      </c>
      <c r="D859" s="9" t="s">
        <v>509</v>
      </c>
      <c r="E859" s="13">
        <v>573.5</v>
      </c>
      <c r="F859" s="11">
        <v>0.83</v>
      </c>
      <c r="G859" s="12">
        <v>0.02</v>
      </c>
      <c r="H859" s="13">
        <v>228</v>
      </c>
      <c r="I859" s="13"/>
      <c r="J859" s="14">
        <v>-17.8</v>
      </c>
      <c r="K859" s="15"/>
    </row>
    <row r="860" spans="1:11" ht="16" x14ac:dyDescent="0.2">
      <c r="A860" s="7">
        <v>859</v>
      </c>
      <c r="B860" s="8" t="s">
        <v>1336</v>
      </c>
      <c r="C860" s="9"/>
      <c r="D860" s="9" t="s">
        <v>197</v>
      </c>
      <c r="E860" s="13"/>
      <c r="F860" s="13"/>
      <c r="G860" s="16"/>
      <c r="H860" s="13"/>
      <c r="I860" s="13">
        <v>58</v>
      </c>
      <c r="J860" s="14">
        <v>-17.8</v>
      </c>
      <c r="K860" s="15"/>
    </row>
    <row r="861" spans="1:11" ht="16" x14ac:dyDescent="0.2">
      <c r="A861" s="7">
        <v>860</v>
      </c>
      <c r="B861" s="8" t="s">
        <v>567</v>
      </c>
      <c r="C861" s="8" t="s">
        <v>385</v>
      </c>
      <c r="D861" s="9" t="s">
        <v>195</v>
      </c>
      <c r="E861" s="13">
        <v>512.29999999999995</v>
      </c>
      <c r="F861" s="11">
        <v>1</v>
      </c>
      <c r="G861" s="12">
        <v>0.06</v>
      </c>
      <c r="H861" s="13">
        <v>209</v>
      </c>
      <c r="I861" s="13"/>
      <c r="J861" s="14">
        <v>-17.8</v>
      </c>
      <c r="K861" s="15"/>
    </row>
    <row r="862" spans="1:11" ht="16" x14ac:dyDescent="0.2">
      <c r="A862" s="7">
        <v>861</v>
      </c>
      <c r="B862" s="8" t="s">
        <v>724</v>
      </c>
      <c r="C862" s="8" t="s">
        <v>367</v>
      </c>
      <c r="D862" s="9" t="s">
        <v>193</v>
      </c>
      <c r="E862" s="13">
        <v>748</v>
      </c>
      <c r="F862" s="11">
        <v>0.34</v>
      </c>
      <c r="G862" s="12">
        <v>0</v>
      </c>
      <c r="H862" s="13">
        <v>238</v>
      </c>
      <c r="I862" s="13"/>
      <c r="J862" s="14">
        <v>-17.899999999999999</v>
      </c>
      <c r="K862" s="15"/>
    </row>
    <row r="863" spans="1:11" ht="16" x14ac:dyDescent="0.2">
      <c r="A863" s="7">
        <v>862</v>
      </c>
      <c r="B863" s="8" t="s">
        <v>817</v>
      </c>
      <c r="C863" s="8" t="s">
        <v>335</v>
      </c>
      <c r="D863" s="9" t="s">
        <v>194</v>
      </c>
      <c r="E863" s="13"/>
      <c r="F863" s="13"/>
      <c r="G863" s="16"/>
      <c r="H863" s="13">
        <v>228</v>
      </c>
      <c r="I863" s="13"/>
      <c r="J863" s="14">
        <v>-18.100000000000001</v>
      </c>
      <c r="K863" s="15"/>
    </row>
    <row r="864" spans="1:11" ht="16" x14ac:dyDescent="0.2">
      <c r="A864" s="7">
        <v>863</v>
      </c>
      <c r="B864" s="8" t="s">
        <v>1337</v>
      </c>
      <c r="C864" s="8" t="s">
        <v>371</v>
      </c>
      <c r="D864" s="9" t="s">
        <v>1005</v>
      </c>
      <c r="E864" s="13">
        <v>739.9</v>
      </c>
      <c r="F864" s="11">
        <v>0.41</v>
      </c>
      <c r="G864" s="12">
        <v>0</v>
      </c>
      <c r="H864" s="13"/>
      <c r="I864" s="13">
        <v>49.1</v>
      </c>
      <c r="J864" s="14">
        <v>-18.100000000000001</v>
      </c>
      <c r="K864" s="15"/>
    </row>
    <row r="865" spans="1:11" ht="16" x14ac:dyDescent="0.2">
      <c r="A865" s="7">
        <v>864</v>
      </c>
      <c r="B865" s="8" t="s">
        <v>1338</v>
      </c>
      <c r="C865" s="8" t="s">
        <v>334</v>
      </c>
      <c r="D865" s="9" t="s">
        <v>197</v>
      </c>
      <c r="E865" s="13"/>
      <c r="F865" s="13"/>
      <c r="G865" s="16"/>
      <c r="H865" s="13"/>
      <c r="I865" s="13">
        <v>51</v>
      </c>
      <c r="J865" s="14">
        <v>-18.100000000000001</v>
      </c>
      <c r="K865" s="15"/>
    </row>
    <row r="866" spans="1:11" ht="16" x14ac:dyDescent="0.2">
      <c r="A866" s="7">
        <v>865</v>
      </c>
      <c r="B866" s="8" t="s">
        <v>727</v>
      </c>
      <c r="C866" s="8" t="s">
        <v>323</v>
      </c>
      <c r="D866" s="9" t="s">
        <v>195</v>
      </c>
      <c r="E866" s="13">
        <v>748.1</v>
      </c>
      <c r="F866" s="11">
        <v>0.03</v>
      </c>
      <c r="G866" s="12">
        <v>0</v>
      </c>
      <c r="H866" s="13">
        <v>99</v>
      </c>
      <c r="I866" s="13"/>
      <c r="J866" s="14">
        <v>-18.2</v>
      </c>
      <c r="K866" s="15"/>
    </row>
    <row r="867" spans="1:11" ht="16" x14ac:dyDescent="0.2">
      <c r="A867" s="7">
        <v>866</v>
      </c>
      <c r="B867" s="8" t="s">
        <v>573</v>
      </c>
      <c r="C867" s="8" t="s">
        <v>308</v>
      </c>
      <c r="D867" s="9" t="s">
        <v>191</v>
      </c>
      <c r="E867" s="13">
        <v>523.29999999999995</v>
      </c>
      <c r="F867" s="11">
        <v>1</v>
      </c>
      <c r="G867" s="12">
        <v>0.01</v>
      </c>
      <c r="H867" s="13">
        <v>178</v>
      </c>
      <c r="I867" s="13"/>
      <c r="J867" s="14">
        <v>-18.2</v>
      </c>
      <c r="K867" s="15"/>
    </row>
    <row r="868" spans="1:11" ht="16" x14ac:dyDescent="0.2">
      <c r="A868" s="7">
        <v>867</v>
      </c>
      <c r="B868" s="8" t="s">
        <v>740</v>
      </c>
      <c r="C868" s="8" t="s">
        <v>316</v>
      </c>
      <c r="D868" s="9" t="s">
        <v>431</v>
      </c>
      <c r="E868" s="13">
        <v>749.4</v>
      </c>
      <c r="F868" s="11">
        <v>0.02</v>
      </c>
      <c r="G868" s="12">
        <v>0</v>
      </c>
      <c r="H868" s="13">
        <v>231</v>
      </c>
      <c r="I868" s="13"/>
      <c r="J868" s="14">
        <v>-18.2</v>
      </c>
      <c r="K868" s="15"/>
    </row>
    <row r="869" spans="1:11" ht="16" x14ac:dyDescent="0.2">
      <c r="A869" s="7">
        <v>868</v>
      </c>
      <c r="B869" s="8" t="s">
        <v>1339</v>
      </c>
      <c r="C869" s="8" t="s">
        <v>316</v>
      </c>
      <c r="D869" s="9" t="s">
        <v>197</v>
      </c>
      <c r="E869" s="13"/>
      <c r="F869" s="13"/>
      <c r="G869" s="16"/>
      <c r="H869" s="13"/>
      <c r="I869" s="13">
        <v>38</v>
      </c>
      <c r="J869" s="14">
        <v>-18.3</v>
      </c>
      <c r="K869" s="15"/>
    </row>
    <row r="870" spans="1:11" ht="16" x14ac:dyDescent="0.2">
      <c r="A870" s="7">
        <v>869</v>
      </c>
      <c r="B870" s="8" t="s">
        <v>818</v>
      </c>
      <c r="C870" s="8" t="s">
        <v>334</v>
      </c>
      <c r="D870" s="9" t="s">
        <v>309</v>
      </c>
      <c r="E870" s="13"/>
      <c r="F870" s="13"/>
      <c r="G870" s="16"/>
      <c r="H870" s="13">
        <v>194</v>
      </c>
      <c r="I870" s="13"/>
      <c r="J870" s="14">
        <v>-18.3</v>
      </c>
      <c r="K870" s="15"/>
    </row>
    <row r="871" spans="1:11" ht="16" x14ac:dyDescent="0.2">
      <c r="A871" s="7">
        <v>870</v>
      </c>
      <c r="B871" s="8" t="s">
        <v>545</v>
      </c>
      <c r="C871" s="8" t="s">
        <v>362</v>
      </c>
      <c r="D871" s="9" t="s">
        <v>194</v>
      </c>
      <c r="E871" s="13">
        <v>475.5</v>
      </c>
      <c r="F871" s="11">
        <v>1</v>
      </c>
      <c r="G871" s="12">
        <v>0.02</v>
      </c>
      <c r="H871" s="13">
        <v>119</v>
      </c>
      <c r="I871" s="13"/>
      <c r="J871" s="14">
        <v>-18.399999999999999</v>
      </c>
      <c r="K871" s="15"/>
    </row>
    <row r="872" spans="1:11" ht="16" x14ac:dyDescent="0.2">
      <c r="A872" s="7">
        <v>871</v>
      </c>
      <c r="B872" s="8" t="s">
        <v>617</v>
      </c>
      <c r="C872" s="8" t="s">
        <v>354</v>
      </c>
      <c r="D872" s="9" t="s">
        <v>191</v>
      </c>
      <c r="E872" s="13">
        <v>638.4</v>
      </c>
      <c r="F872" s="11">
        <v>0.72</v>
      </c>
      <c r="G872" s="12">
        <v>0.01</v>
      </c>
      <c r="H872" s="13">
        <v>242</v>
      </c>
      <c r="I872" s="13"/>
      <c r="J872" s="14">
        <v>-18.399999999999999</v>
      </c>
      <c r="K872" s="15"/>
    </row>
    <row r="873" spans="1:11" ht="16" x14ac:dyDescent="0.2">
      <c r="A873" s="7">
        <v>872</v>
      </c>
      <c r="B873" s="8" t="s">
        <v>819</v>
      </c>
      <c r="C873" s="8" t="s">
        <v>322</v>
      </c>
      <c r="D873" s="9" t="s">
        <v>352</v>
      </c>
      <c r="E873" s="13"/>
      <c r="F873" s="13"/>
      <c r="G873" s="16"/>
      <c r="H873" s="13">
        <v>142</v>
      </c>
      <c r="I873" s="13"/>
      <c r="J873" s="14">
        <v>-18.5</v>
      </c>
      <c r="K873" s="15"/>
    </row>
    <row r="874" spans="1:11" ht="16" x14ac:dyDescent="0.2">
      <c r="A874" s="7">
        <v>873</v>
      </c>
      <c r="B874" s="8" t="s">
        <v>1340</v>
      </c>
      <c r="C874" s="8" t="s">
        <v>331</v>
      </c>
      <c r="D874" s="9" t="s">
        <v>197</v>
      </c>
      <c r="E874" s="13"/>
      <c r="F874" s="13"/>
      <c r="G874" s="16"/>
      <c r="H874" s="13"/>
      <c r="I874" s="13">
        <v>53</v>
      </c>
      <c r="J874" s="14">
        <v>-18.5</v>
      </c>
      <c r="K874" s="15"/>
    </row>
    <row r="875" spans="1:11" ht="16" x14ac:dyDescent="0.2">
      <c r="A875" s="7">
        <v>874</v>
      </c>
      <c r="B875" s="8" t="s">
        <v>518</v>
      </c>
      <c r="C875" s="8" t="s">
        <v>349</v>
      </c>
      <c r="D875" s="9" t="s">
        <v>195</v>
      </c>
      <c r="E875" s="13">
        <v>415.9</v>
      </c>
      <c r="F875" s="11">
        <v>1</v>
      </c>
      <c r="G875" s="12">
        <v>0.04</v>
      </c>
      <c r="H875" s="13">
        <v>184</v>
      </c>
      <c r="I875" s="13"/>
      <c r="J875" s="14">
        <v>-18.5</v>
      </c>
      <c r="K875" s="15"/>
    </row>
    <row r="876" spans="1:11" ht="16" x14ac:dyDescent="0.2">
      <c r="A876" s="7">
        <v>875</v>
      </c>
      <c r="B876" s="8" t="s">
        <v>1341</v>
      </c>
      <c r="C876" s="8" t="s">
        <v>307</v>
      </c>
      <c r="D876" s="9" t="s">
        <v>196</v>
      </c>
      <c r="E876" s="13"/>
      <c r="F876" s="13"/>
      <c r="G876" s="16"/>
      <c r="H876" s="13"/>
      <c r="I876" s="13">
        <v>85</v>
      </c>
      <c r="J876" s="14">
        <v>-18.600000000000001</v>
      </c>
      <c r="K876" s="15"/>
    </row>
    <row r="877" spans="1:11" ht="16" x14ac:dyDescent="0.2">
      <c r="A877" s="7">
        <v>876</v>
      </c>
      <c r="B877" s="8" t="s">
        <v>439</v>
      </c>
      <c r="C877" s="8" t="s">
        <v>325</v>
      </c>
      <c r="D877" s="9" t="s">
        <v>194</v>
      </c>
      <c r="E877" s="13">
        <v>250.2</v>
      </c>
      <c r="F877" s="11">
        <v>1</v>
      </c>
      <c r="G877" s="12">
        <v>0.98</v>
      </c>
      <c r="H877" s="13">
        <v>106</v>
      </c>
      <c r="I877" s="13"/>
      <c r="J877" s="14">
        <v>-18.7</v>
      </c>
      <c r="K877" s="15"/>
    </row>
    <row r="878" spans="1:11" ht="16" x14ac:dyDescent="0.2">
      <c r="A878" s="7">
        <v>877</v>
      </c>
      <c r="B878" s="8" t="s">
        <v>565</v>
      </c>
      <c r="C878" s="8" t="s">
        <v>342</v>
      </c>
      <c r="D878" s="9" t="s">
        <v>195</v>
      </c>
      <c r="E878" s="13">
        <v>509.6</v>
      </c>
      <c r="F878" s="11">
        <v>1</v>
      </c>
      <c r="G878" s="12">
        <v>0.03</v>
      </c>
      <c r="H878" s="13">
        <v>65</v>
      </c>
      <c r="I878" s="13"/>
      <c r="J878" s="14">
        <v>-18.7</v>
      </c>
      <c r="K878" s="15"/>
    </row>
    <row r="879" spans="1:11" ht="16" x14ac:dyDescent="0.2">
      <c r="A879" s="7">
        <v>878</v>
      </c>
      <c r="B879" s="8" t="s">
        <v>1342</v>
      </c>
      <c r="C879" s="8" t="s">
        <v>315</v>
      </c>
      <c r="D879" s="9" t="s">
        <v>197</v>
      </c>
      <c r="E879" s="13">
        <v>750.1</v>
      </c>
      <c r="F879" s="11">
        <v>0.01</v>
      </c>
      <c r="G879" s="12">
        <v>0</v>
      </c>
      <c r="H879" s="13"/>
      <c r="I879" s="13">
        <v>41</v>
      </c>
      <c r="J879" s="14">
        <v>-18.7</v>
      </c>
      <c r="K879" s="15"/>
    </row>
    <row r="880" spans="1:11" ht="16" x14ac:dyDescent="0.2">
      <c r="A880" s="7">
        <v>879</v>
      </c>
      <c r="B880" s="8" t="s">
        <v>691</v>
      </c>
      <c r="C880" s="8" t="s">
        <v>342</v>
      </c>
      <c r="D880" s="9" t="s">
        <v>193</v>
      </c>
      <c r="E880" s="13">
        <v>739.9</v>
      </c>
      <c r="F880" s="11">
        <v>0.05</v>
      </c>
      <c r="G880" s="12">
        <v>0</v>
      </c>
      <c r="H880" s="13">
        <v>109</v>
      </c>
      <c r="I880" s="13"/>
      <c r="J880" s="14">
        <v>-18.8</v>
      </c>
      <c r="K880" s="15"/>
    </row>
    <row r="881" spans="1:11" ht="16" x14ac:dyDescent="0.2">
      <c r="A881" s="7">
        <v>880</v>
      </c>
      <c r="B881" s="8" t="s">
        <v>1343</v>
      </c>
      <c r="C881" s="8" t="s">
        <v>313</v>
      </c>
      <c r="D881" s="9" t="s">
        <v>196</v>
      </c>
      <c r="E881" s="13">
        <v>687.3</v>
      </c>
      <c r="F881" s="11">
        <v>0.9</v>
      </c>
      <c r="G881" s="12">
        <v>0</v>
      </c>
      <c r="H881" s="13"/>
      <c r="I881" s="13">
        <v>124</v>
      </c>
      <c r="J881" s="14">
        <v>-18.8</v>
      </c>
      <c r="K881" s="15"/>
    </row>
    <row r="882" spans="1:11" ht="16" x14ac:dyDescent="0.2">
      <c r="A882" s="7">
        <v>881</v>
      </c>
      <c r="B882" s="8" t="s">
        <v>1344</v>
      </c>
      <c r="C882" s="8" t="s">
        <v>322</v>
      </c>
      <c r="D882" s="9" t="s">
        <v>197</v>
      </c>
      <c r="E882" s="13">
        <v>728.8</v>
      </c>
      <c r="F882" s="11">
        <v>0.37</v>
      </c>
      <c r="G882" s="12">
        <v>0</v>
      </c>
      <c r="H882" s="13"/>
      <c r="I882" s="13">
        <v>57.1</v>
      </c>
      <c r="J882" s="14">
        <v>-18.899999999999999</v>
      </c>
      <c r="K882" s="15"/>
    </row>
    <row r="883" spans="1:11" ht="16" x14ac:dyDescent="0.2">
      <c r="A883" s="7">
        <v>882</v>
      </c>
      <c r="B883" s="8" t="s">
        <v>820</v>
      </c>
      <c r="C883" s="9"/>
      <c r="D883" s="9" t="s">
        <v>306</v>
      </c>
      <c r="E883" s="13"/>
      <c r="F883" s="13"/>
      <c r="G883" s="16"/>
      <c r="H883" s="13">
        <v>157</v>
      </c>
      <c r="I883" s="13"/>
      <c r="J883" s="14">
        <v>-18.899999999999999</v>
      </c>
      <c r="K883" s="15"/>
    </row>
    <row r="884" spans="1:11" ht="16" x14ac:dyDescent="0.2">
      <c r="A884" s="7">
        <v>883</v>
      </c>
      <c r="B884" s="8" t="s">
        <v>570</v>
      </c>
      <c r="C884" s="8" t="s">
        <v>320</v>
      </c>
      <c r="D884" s="9" t="s">
        <v>192</v>
      </c>
      <c r="E884" s="13">
        <v>514</v>
      </c>
      <c r="F884" s="11">
        <v>1</v>
      </c>
      <c r="G884" s="12">
        <v>0.05</v>
      </c>
      <c r="H884" s="13">
        <v>86</v>
      </c>
      <c r="I884" s="13"/>
      <c r="J884" s="14">
        <v>-19</v>
      </c>
      <c r="K884" s="15"/>
    </row>
    <row r="885" spans="1:11" ht="16" x14ac:dyDescent="0.2">
      <c r="A885" s="7">
        <v>884</v>
      </c>
      <c r="B885" s="8" t="s">
        <v>821</v>
      </c>
      <c r="C885" s="8" t="s">
        <v>350</v>
      </c>
      <c r="D885" s="9" t="s">
        <v>193</v>
      </c>
      <c r="E885" s="13"/>
      <c r="F885" s="13"/>
      <c r="G885" s="16"/>
      <c r="H885" s="13">
        <v>141</v>
      </c>
      <c r="I885" s="13"/>
      <c r="J885" s="14">
        <v>-19.100000000000001</v>
      </c>
      <c r="K885" s="15"/>
    </row>
    <row r="886" spans="1:11" ht="16" x14ac:dyDescent="0.2">
      <c r="A886" s="7">
        <v>885</v>
      </c>
      <c r="B886" s="8" t="s">
        <v>591</v>
      </c>
      <c r="C886" s="8" t="s">
        <v>319</v>
      </c>
      <c r="D886" s="9" t="s">
        <v>192</v>
      </c>
      <c r="E886" s="13">
        <v>576.1</v>
      </c>
      <c r="F886" s="11">
        <v>0.92</v>
      </c>
      <c r="G886" s="12">
        <v>0.01</v>
      </c>
      <c r="H886" s="13">
        <v>71</v>
      </c>
      <c r="I886" s="13"/>
      <c r="J886" s="14">
        <v>-19.2</v>
      </c>
      <c r="K886" s="15"/>
    </row>
    <row r="887" spans="1:11" ht="16" x14ac:dyDescent="0.2">
      <c r="A887" s="7">
        <v>886</v>
      </c>
      <c r="B887" s="8" t="s">
        <v>494</v>
      </c>
      <c r="C887" s="8" t="s">
        <v>311</v>
      </c>
      <c r="D887" s="9" t="s">
        <v>306</v>
      </c>
      <c r="E887" s="13">
        <v>375.9</v>
      </c>
      <c r="F887" s="11">
        <v>1</v>
      </c>
      <c r="G887" s="12">
        <v>0.25</v>
      </c>
      <c r="H887" s="13">
        <v>156</v>
      </c>
      <c r="I887" s="13"/>
      <c r="J887" s="14">
        <v>-19.2</v>
      </c>
      <c r="K887" s="15"/>
    </row>
    <row r="888" spans="1:11" ht="16" x14ac:dyDescent="0.2">
      <c r="A888" s="7">
        <v>887</v>
      </c>
      <c r="B888" s="8" t="s">
        <v>644</v>
      </c>
      <c r="C888" s="8" t="s">
        <v>315</v>
      </c>
      <c r="D888" s="9" t="s">
        <v>645</v>
      </c>
      <c r="E888" s="13">
        <v>677.7</v>
      </c>
      <c r="F888" s="11">
        <v>0.53</v>
      </c>
      <c r="G888" s="12">
        <v>0.03</v>
      </c>
      <c r="H888" s="13">
        <v>74</v>
      </c>
      <c r="I888" s="13"/>
      <c r="J888" s="14">
        <v>-19.2</v>
      </c>
      <c r="K888" s="15"/>
    </row>
    <row r="889" spans="1:11" ht="16" x14ac:dyDescent="0.2">
      <c r="A889" s="7">
        <v>888</v>
      </c>
      <c r="B889" s="8" t="s">
        <v>1345</v>
      </c>
      <c r="C889" s="8" t="s">
        <v>334</v>
      </c>
      <c r="D889" s="9" t="s">
        <v>197</v>
      </c>
      <c r="E889" s="13"/>
      <c r="F889" s="13"/>
      <c r="G889" s="16"/>
      <c r="H889" s="13"/>
      <c r="I889" s="13">
        <v>45</v>
      </c>
      <c r="J889" s="14">
        <v>-19.3</v>
      </c>
      <c r="K889" s="15"/>
    </row>
    <row r="890" spans="1:11" ht="16" x14ac:dyDescent="0.2">
      <c r="A890" s="7">
        <v>889</v>
      </c>
      <c r="B890" s="8" t="s">
        <v>822</v>
      </c>
      <c r="C890" s="8" t="s">
        <v>325</v>
      </c>
      <c r="D890" s="9" t="s">
        <v>823</v>
      </c>
      <c r="E890" s="13"/>
      <c r="F890" s="13"/>
      <c r="G890" s="16"/>
      <c r="H890" s="13">
        <v>86</v>
      </c>
      <c r="I890" s="13"/>
      <c r="J890" s="14">
        <v>-19.3</v>
      </c>
      <c r="K890" s="15"/>
    </row>
    <row r="891" spans="1:11" ht="16" x14ac:dyDescent="0.2">
      <c r="A891" s="7">
        <v>890</v>
      </c>
      <c r="B891" s="8" t="s">
        <v>709</v>
      </c>
      <c r="C891" s="8" t="s">
        <v>334</v>
      </c>
      <c r="D891" s="9" t="s">
        <v>195</v>
      </c>
      <c r="E891" s="13">
        <v>745.7</v>
      </c>
      <c r="F891" s="11">
        <v>0.22</v>
      </c>
      <c r="G891" s="12">
        <v>0</v>
      </c>
      <c r="H891" s="13">
        <v>78</v>
      </c>
      <c r="I891" s="13"/>
      <c r="J891" s="14">
        <v>-19.399999999999999</v>
      </c>
      <c r="K891" s="15"/>
    </row>
    <row r="892" spans="1:11" ht="16" x14ac:dyDescent="0.2">
      <c r="A892" s="7">
        <v>891</v>
      </c>
      <c r="B892" s="8" t="s">
        <v>824</v>
      </c>
      <c r="C892" s="8" t="s">
        <v>331</v>
      </c>
      <c r="D892" s="9" t="s">
        <v>195</v>
      </c>
      <c r="E892" s="13"/>
      <c r="F892" s="13"/>
      <c r="G892" s="16"/>
      <c r="H892" s="13">
        <v>42</v>
      </c>
      <c r="I892" s="13"/>
      <c r="J892" s="14">
        <v>-19.399999999999999</v>
      </c>
      <c r="K892" s="15"/>
    </row>
    <row r="893" spans="1:11" ht="16" x14ac:dyDescent="0.2">
      <c r="A893" s="7">
        <v>892</v>
      </c>
      <c r="B893" s="8" t="s">
        <v>1346</v>
      </c>
      <c r="C893" s="8" t="s">
        <v>348</v>
      </c>
      <c r="D893" s="9" t="s">
        <v>196</v>
      </c>
      <c r="E893" s="13"/>
      <c r="F893" s="13"/>
      <c r="G893" s="16"/>
      <c r="H893" s="13"/>
      <c r="I893" s="13">
        <v>82.1</v>
      </c>
      <c r="J893" s="14">
        <v>-19.399999999999999</v>
      </c>
      <c r="K893" s="15"/>
    </row>
    <row r="894" spans="1:11" ht="16" x14ac:dyDescent="0.2">
      <c r="A894" s="7">
        <v>893</v>
      </c>
      <c r="B894" s="8" t="s">
        <v>825</v>
      </c>
      <c r="C894" s="8" t="s">
        <v>337</v>
      </c>
      <c r="D894" s="9" t="s">
        <v>194</v>
      </c>
      <c r="E894" s="13"/>
      <c r="F894" s="11">
        <v>0.03</v>
      </c>
      <c r="G894" s="12">
        <v>0</v>
      </c>
      <c r="H894" s="13">
        <v>78</v>
      </c>
      <c r="I894" s="13"/>
      <c r="J894" s="14">
        <v>-19.5</v>
      </c>
      <c r="K894" s="15"/>
    </row>
    <row r="895" spans="1:11" ht="16" x14ac:dyDescent="0.2">
      <c r="A895" s="7">
        <v>894</v>
      </c>
      <c r="B895" s="8" t="s">
        <v>629</v>
      </c>
      <c r="C895" s="8" t="s">
        <v>350</v>
      </c>
      <c r="D895" s="9" t="s">
        <v>193</v>
      </c>
      <c r="E895" s="13">
        <v>653</v>
      </c>
      <c r="F895" s="11">
        <v>0.96</v>
      </c>
      <c r="G895" s="12">
        <v>0.01</v>
      </c>
      <c r="H895" s="13">
        <v>108</v>
      </c>
      <c r="I895" s="13"/>
      <c r="J895" s="14">
        <v>-19.5</v>
      </c>
      <c r="K895" s="15"/>
    </row>
    <row r="896" spans="1:11" ht="16" x14ac:dyDescent="0.2">
      <c r="A896" s="7">
        <v>895</v>
      </c>
      <c r="B896" s="8" t="s">
        <v>706</v>
      </c>
      <c r="C896" s="8" t="s">
        <v>349</v>
      </c>
      <c r="D896" s="9" t="s">
        <v>195</v>
      </c>
      <c r="E896" s="13">
        <v>744.5</v>
      </c>
      <c r="F896" s="11">
        <v>0.13</v>
      </c>
      <c r="G896" s="12">
        <v>0</v>
      </c>
      <c r="H896" s="13">
        <v>108</v>
      </c>
      <c r="I896" s="13"/>
      <c r="J896" s="14">
        <v>-19.5</v>
      </c>
      <c r="K896" s="15"/>
    </row>
    <row r="897" spans="1:11" ht="16" x14ac:dyDescent="0.2">
      <c r="A897" s="7">
        <v>896</v>
      </c>
      <c r="B897" s="8" t="s">
        <v>574</v>
      </c>
      <c r="C897" s="8" t="s">
        <v>349</v>
      </c>
      <c r="D897" s="9" t="s">
        <v>359</v>
      </c>
      <c r="E897" s="13">
        <v>531</v>
      </c>
      <c r="F897" s="11">
        <v>0.99</v>
      </c>
      <c r="G897" s="12">
        <v>0.06</v>
      </c>
      <c r="H897" s="13">
        <v>155</v>
      </c>
      <c r="I897" s="13"/>
      <c r="J897" s="14">
        <v>-19.600000000000001</v>
      </c>
      <c r="K897" s="15"/>
    </row>
    <row r="898" spans="1:11" ht="16" x14ac:dyDescent="0.2">
      <c r="A898" s="7">
        <v>897</v>
      </c>
      <c r="B898" s="8" t="s">
        <v>764</v>
      </c>
      <c r="C898" s="8" t="s">
        <v>337</v>
      </c>
      <c r="D898" s="9" t="s">
        <v>306</v>
      </c>
      <c r="E898" s="13">
        <v>751</v>
      </c>
      <c r="F898" s="11">
        <v>0.25</v>
      </c>
      <c r="G898" s="12">
        <v>0</v>
      </c>
      <c r="H898" s="13">
        <v>132</v>
      </c>
      <c r="I898" s="13"/>
      <c r="J898" s="14">
        <v>-19.600000000000001</v>
      </c>
      <c r="K898" s="15"/>
    </row>
    <row r="899" spans="1:11" ht="16" x14ac:dyDescent="0.2">
      <c r="A899" s="7">
        <v>898</v>
      </c>
      <c r="B899" s="8" t="s">
        <v>826</v>
      </c>
      <c r="C899" s="9"/>
      <c r="D899" s="9" t="s">
        <v>195</v>
      </c>
      <c r="E899" s="13"/>
      <c r="F899" s="13"/>
      <c r="G899" s="16"/>
      <c r="H899" s="13">
        <v>111</v>
      </c>
      <c r="I899" s="13"/>
      <c r="J899" s="14">
        <v>-19.8</v>
      </c>
      <c r="K899" s="15"/>
    </row>
    <row r="900" spans="1:11" ht="16" x14ac:dyDescent="0.2">
      <c r="A900" s="7">
        <v>899</v>
      </c>
      <c r="B900" s="8" t="s">
        <v>514</v>
      </c>
      <c r="C900" s="8" t="s">
        <v>348</v>
      </c>
      <c r="D900" s="9" t="s">
        <v>195</v>
      </c>
      <c r="E900" s="13">
        <v>403.6</v>
      </c>
      <c r="F900" s="11">
        <v>1</v>
      </c>
      <c r="G900" s="12">
        <v>0.18</v>
      </c>
      <c r="H900" s="13">
        <v>155</v>
      </c>
      <c r="I900" s="13"/>
      <c r="J900" s="14">
        <v>-19.8</v>
      </c>
      <c r="K900" s="15"/>
    </row>
    <row r="901" spans="1:11" ht="16" x14ac:dyDescent="0.2">
      <c r="A901" s="7">
        <v>900</v>
      </c>
      <c r="B901" s="8" t="s">
        <v>827</v>
      </c>
      <c r="C901" s="8" t="s">
        <v>334</v>
      </c>
      <c r="D901" s="9" t="s">
        <v>195</v>
      </c>
      <c r="E901" s="13"/>
      <c r="F901" s="11">
        <v>0.02</v>
      </c>
      <c r="G901" s="12">
        <v>0</v>
      </c>
      <c r="H901" s="13">
        <v>81</v>
      </c>
      <c r="I901" s="13"/>
      <c r="J901" s="14">
        <v>-19.8</v>
      </c>
      <c r="K901" s="15"/>
    </row>
    <row r="902" spans="1:11" ht="16" x14ac:dyDescent="0.2">
      <c r="A902" s="7">
        <v>901</v>
      </c>
      <c r="B902" s="8" t="s">
        <v>828</v>
      </c>
      <c r="C902" s="8" t="s">
        <v>314</v>
      </c>
      <c r="D902" s="9" t="s">
        <v>195</v>
      </c>
      <c r="E902" s="13"/>
      <c r="F902" s="13"/>
      <c r="G902" s="16"/>
      <c r="H902" s="13">
        <v>79</v>
      </c>
      <c r="I902" s="13"/>
      <c r="J902" s="14">
        <v>-19.8</v>
      </c>
      <c r="K902" s="15"/>
    </row>
    <row r="903" spans="1:11" ht="16" x14ac:dyDescent="0.2">
      <c r="A903" s="7">
        <v>902</v>
      </c>
      <c r="B903" s="8" t="s">
        <v>630</v>
      </c>
      <c r="C903" s="8" t="s">
        <v>334</v>
      </c>
      <c r="D903" s="9" t="s">
        <v>374</v>
      </c>
      <c r="E903" s="13">
        <v>655.7</v>
      </c>
      <c r="F903" s="11">
        <v>0.98</v>
      </c>
      <c r="G903" s="12">
        <v>0</v>
      </c>
      <c r="H903" s="13">
        <v>49</v>
      </c>
      <c r="I903" s="13"/>
      <c r="J903" s="14">
        <v>-19.8</v>
      </c>
      <c r="K903" s="15"/>
    </row>
    <row r="904" spans="1:11" ht="16" x14ac:dyDescent="0.2">
      <c r="A904" s="7">
        <v>903</v>
      </c>
      <c r="B904" s="8" t="s">
        <v>228</v>
      </c>
      <c r="C904" s="8" t="s">
        <v>350</v>
      </c>
      <c r="D904" s="9" t="s">
        <v>328</v>
      </c>
      <c r="E904" s="13">
        <v>413.6</v>
      </c>
      <c r="F904" s="11">
        <v>1</v>
      </c>
      <c r="G904" s="12">
        <v>0.1</v>
      </c>
      <c r="H904" s="13">
        <v>237</v>
      </c>
      <c r="I904" s="13"/>
      <c r="J904" s="14">
        <v>-19.899999999999999</v>
      </c>
      <c r="K904" s="15"/>
    </row>
    <row r="905" spans="1:11" ht="16" x14ac:dyDescent="0.2">
      <c r="A905" s="7">
        <v>904</v>
      </c>
      <c r="B905" s="8" t="s">
        <v>675</v>
      </c>
      <c r="C905" s="8" t="s">
        <v>322</v>
      </c>
      <c r="D905" s="9" t="s">
        <v>193</v>
      </c>
      <c r="E905" s="13">
        <v>730</v>
      </c>
      <c r="F905" s="11">
        <v>0.14000000000000001</v>
      </c>
      <c r="G905" s="12">
        <v>0.01</v>
      </c>
      <c r="H905" s="13">
        <v>104</v>
      </c>
      <c r="I905" s="13"/>
      <c r="J905" s="14">
        <v>-19.899999999999999</v>
      </c>
      <c r="K905" s="15"/>
    </row>
    <row r="906" spans="1:11" ht="16" x14ac:dyDescent="0.2">
      <c r="A906" s="7">
        <v>905</v>
      </c>
      <c r="B906" s="8" t="s">
        <v>710</v>
      </c>
      <c r="C906" s="8" t="s">
        <v>385</v>
      </c>
      <c r="D906" s="9" t="s">
        <v>328</v>
      </c>
      <c r="E906" s="13">
        <v>746.1</v>
      </c>
      <c r="F906" s="11">
        <v>0.11</v>
      </c>
      <c r="G906" s="12">
        <v>0</v>
      </c>
      <c r="H906" s="13">
        <v>74</v>
      </c>
      <c r="I906" s="13"/>
      <c r="J906" s="14">
        <v>-19.899999999999999</v>
      </c>
      <c r="K906" s="15"/>
    </row>
    <row r="907" spans="1:11" ht="16" x14ac:dyDescent="0.2">
      <c r="A907" s="7">
        <v>906</v>
      </c>
      <c r="B907" s="8" t="s">
        <v>829</v>
      </c>
      <c r="C907" s="8" t="s">
        <v>316</v>
      </c>
      <c r="D907" s="9" t="s">
        <v>195</v>
      </c>
      <c r="E907" s="13"/>
      <c r="F907" s="13"/>
      <c r="G907" s="16"/>
      <c r="H907" s="13">
        <v>183</v>
      </c>
      <c r="I907" s="13"/>
      <c r="J907" s="14">
        <v>-19.899999999999999</v>
      </c>
      <c r="K907" s="15"/>
    </row>
    <row r="908" spans="1:11" ht="16" x14ac:dyDescent="0.2">
      <c r="A908" s="7">
        <v>907</v>
      </c>
      <c r="B908" s="8" t="s">
        <v>633</v>
      </c>
      <c r="C908" s="8" t="s">
        <v>320</v>
      </c>
      <c r="D908" s="9" t="s">
        <v>195</v>
      </c>
      <c r="E908" s="13">
        <v>659</v>
      </c>
      <c r="F908" s="11">
        <v>0.94</v>
      </c>
      <c r="G908" s="12">
        <v>0.01</v>
      </c>
      <c r="H908" s="13">
        <v>66</v>
      </c>
      <c r="I908" s="13"/>
      <c r="J908" s="14">
        <v>-20</v>
      </c>
      <c r="K908" s="15"/>
    </row>
    <row r="909" spans="1:11" ht="16" x14ac:dyDescent="0.2">
      <c r="A909" s="7">
        <v>908</v>
      </c>
      <c r="B909" s="8" t="s">
        <v>743</v>
      </c>
      <c r="C909" s="8" t="s">
        <v>367</v>
      </c>
      <c r="D909" s="9" t="s">
        <v>195</v>
      </c>
      <c r="E909" s="13">
        <v>749.9</v>
      </c>
      <c r="F909" s="11">
        <v>0.12</v>
      </c>
      <c r="G909" s="12">
        <v>0</v>
      </c>
      <c r="H909" s="13">
        <v>48</v>
      </c>
      <c r="I909" s="13"/>
      <c r="J909" s="14">
        <v>-20</v>
      </c>
      <c r="K909" s="15"/>
    </row>
    <row r="910" spans="1:11" ht="16" x14ac:dyDescent="0.2">
      <c r="A910" s="7">
        <v>909</v>
      </c>
      <c r="B910" s="8" t="s">
        <v>381</v>
      </c>
      <c r="C910" s="8" t="s">
        <v>308</v>
      </c>
      <c r="D910" s="9" t="s">
        <v>309</v>
      </c>
      <c r="E910" s="13">
        <v>146.80000000000001</v>
      </c>
      <c r="F910" s="11">
        <v>1</v>
      </c>
      <c r="G910" s="12">
        <v>1</v>
      </c>
      <c r="H910" s="13">
        <v>67</v>
      </c>
      <c r="I910" s="13"/>
      <c r="J910" s="14">
        <v>-20</v>
      </c>
      <c r="K910" s="15"/>
    </row>
    <row r="911" spans="1:11" ht="16" x14ac:dyDescent="0.2">
      <c r="A911" s="7">
        <v>910</v>
      </c>
      <c r="B911" s="8" t="s">
        <v>830</v>
      </c>
      <c r="C911" s="9"/>
      <c r="D911" s="9" t="s">
        <v>195</v>
      </c>
      <c r="E911" s="13"/>
      <c r="F911" s="11">
        <v>0.02</v>
      </c>
      <c r="G911" s="12">
        <v>0</v>
      </c>
      <c r="H911" s="13">
        <v>91</v>
      </c>
      <c r="I911" s="13"/>
      <c r="J911" s="14">
        <v>-20</v>
      </c>
      <c r="K911" s="15"/>
    </row>
    <row r="912" spans="1:11" ht="16" x14ac:dyDescent="0.2">
      <c r="A912" s="7">
        <v>911</v>
      </c>
      <c r="B912" s="8" t="s">
        <v>357</v>
      </c>
      <c r="C912" s="9"/>
      <c r="D912" s="9" t="s">
        <v>197</v>
      </c>
      <c r="E912" s="13">
        <v>748.1</v>
      </c>
      <c r="F912" s="11">
        <v>0.01</v>
      </c>
      <c r="G912" s="12">
        <v>0</v>
      </c>
      <c r="H912" s="13"/>
      <c r="I912" s="13">
        <v>41</v>
      </c>
      <c r="J912" s="14">
        <v>-20.2</v>
      </c>
      <c r="K912" s="15"/>
    </row>
    <row r="913" spans="1:11" ht="16" x14ac:dyDescent="0.2">
      <c r="A913" s="7">
        <v>912</v>
      </c>
      <c r="B913" s="8" t="s">
        <v>704</v>
      </c>
      <c r="C913" s="8" t="s">
        <v>349</v>
      </c>
      <c r="D913" s="9" t="s">
        <v>475</v>
      </c>
      <c r="E913" s="13">
        <v>744.5</v>
      </c>
      <c r="F913" s="11">
        <v>0.08</v>
      </c>
      <c r="G913" s="12">
        <v>0</v>
      </c>
      <c r="H913" s="13">
        <v>98</v>
      </c>
      <c r="I913" s="13"/>
      <c r="J913" s="14">
        <v>-20.2</v>
      </c>
      <c r="K913" s="15"/>
    </row>
    <row r="914" spans="1:11" ht="16" x14ac:dyDescent="0.2">
      <c r="A914" s="7">
        <v>913</v>
      </c>
      <c r="B914" s="8" t="s">
        <v>831</v>
      </c>
      <c r="C914" s="9"/>
      <c r="D914" s="9" t="s">
        <v>309</v>
      </c>
      <c r="E914" s="13"/>
      <c r="F914" s="13"/>
      <c r="G914" s="16"/>
      <c r="H914" s="13">
        <v>62</v>
      </c>
      <c r="I914" s="13"/>
      <c r="J914" s="14">
        <v>-20.3</v>
      </c>
      <c r="K914" s="15"/>
    </row>
    <row r="915" spans="1:11" ht="16" x14ac:dyDescent="0.2">
      <c r="A915" s="7">
        <v>914</v>
      </c>
      <c r="B915" s="8" t="s">
        <v>1347</v>
      </c>
      <c r="C915" s="8" t="s">
        <v>367</v>
      </c>
      <c r="D915" s="9" t="s">
        <v>197</v>
      </c>
      <c r="E915" s="13"/>
      <c r="F915" s="11">
        <v>0.01</v>
      </c>
      <c r="G915" s="12">
        <v>0</v>
      </c>
      <c r="H915" s="13"/>
      <c r="I915" s="13">
        <v>52</v>
      </c>
      <c r="J915" s="14">
        <v>-20.3</v>
      </c>
      <c r="K915" s="15"/>
    </row>
    <row r="916" spans="1:11" ht="16" x14ac:dyDescent="0.2">
      <c r="A916" s="7">
        <v>915</v>
      </c>
      <c r="B916" s="8" t="s">
        <v>511</v>
      </c>
      <c r="C916" s="8" t="s">
        <v>314</v>
      </c>
      <c r="D916" s="9" t="s">
        <v>512</v>
      </c>
      <c r="E916" s="13">
        <v>402.8</v>
      </c>
      <c r="F916" s="11">
        <v>1</v>
      </c>
      <c r="G916" s="12">
        <v>7.0000000000000007E-2</v>
      </c>
      <c r="H916" s="13">
        <v>40</v>
      </c>
      <c r="I916" s="13"/>
      <c r="J916" s="14">
        <v>-20.3</v>
      </c>
      <c r="K916" s="15"/>
    </row>
    <row r="917" spans="1:11" ht="16" x14ac:dyDescent="0.2">
      <c r="A917" s="7">
        <v>916</v>
      </c>
      <c r="B917" s="8" t="s">
        <v>1348</v>
      </c>
      <c r="C917" s="8" t="s">
        <v>315</v>
      </c>
      <c r="D917" s="9" t="s">
        <v>196</v>
      </c>
      <c r="E917" s="13"/>
      <c r="F917" s="11">
        <v>0.01</v>
      </c>
      <c r="G917" s="12">
        <v>0</v>
      </c>
      <c r="H917" s="13"/>
      <c r="I917" s="13">
        <v>160</v>
      </c>
      <c r="J917" s="14">
        <v>-20.399999999999999</v>
      </c>
      <c r="K917" s="15"/>
    </row>
    <row r="918" spans="1:11" ht="16" x14ac:dyDescent="0.2">
      <c r="A918" s="7">
        <v>917</v>
      </c>
      <c r="B918" s="8" t="s">
        <v>832</v>
      </c>
      <c r="C918" s="8" t="s">
        <v>350</v>
      </c>
      <c r="D918" s="9" t="s">
        <v>195</v>
      </c>
      <c r="E918" s="13"/>
      <c r="F918" s="11">
        <v>0.01</v>
      </c>
      <c r="G918" s="12">
        <v>0</v>
      </c>
      <c r="H918" s="13">
        <v>241</v>
      </c>
      <c r="I918" s="13"/>
      <c r="J918" s="14">
        <v>-20.399999999999999</v>
      </c>
      <c r="K918" s="15"/>
    </row>
    <row r="919" spans="1:11" ht="16" x14ac:dyDescent="0.2">
      <c r="A919" s="7">
        <v>918</v>
      </c>
      <c r="B919" s="8" t="s">
        <v>632</v>
      </c>
      <c r="C919" s="8" t="s">
        <v>317</v>
      </c>
      <c r="D919" s="9" t="s">
        <v>193</v>
      </c>
      <c r="E919" s="13">
        <v>658.2</v>
      </c>
      <c r="F919" s="11">
        <v>0.79</v>
      </c>
      <c r="G919" s="12">
        <v>0</v>
      </c>
      <c r="H919" s="13">
        <v>57</v>
      </c>
      <c r="I919" s="13"/>
      <c r="J919" s="14">
        <v>-20.399999999999999</v>
      </c>
      <c r="K919" s="15"/>
    </row>
    <row r="920" spans="1:11" ht="16" x14ac:dyDescent="0.2">
      <c r="A920" s="7">
        <v>919</v>
      </c>
      <c r="B920" s="8" t="s">
        <v>833</v>
      </c>
      <c r="C920" s="8" t="s">
        <v>342</v>
      </c>
      <c r="D920" s="9" t="s">
        <v>193</v>
      </c>
      <c r="E920" s="13"/>
      <c r="F920" s="13"/>
      <c r="G920" s="16"/>
      <c r="H920" s="13">
        <v>123</v>
      </c>
      <c r="I920" s="13"/>
      <c r="J920" s="14">
        <v>-20.5</v>
      </c>
      <c r="K920" s="15"/>
    </row>
    <row r="921" spans="1:11" ht="16" x14ac:dyDescent="0.2">
      <c r="A921" s="7">
        <v>920</v>
      </c>
      <c r="B921" s="8" t="s">
        <v>568</v>
      </c>
      <c r="C921" s="8" t="s">
        <v>323</v>
      </c>
      <c r="D921" s="9" t="s">
        <v>365</v>
      </c>
      <c r="E921" s="13">
        <v>513.20000000000005</v>
      </c>
      <c r="F921" s="11">
        <v>0.99</v>
      </c>
      <c r="G921" s="12">
        <v>0</v>
      </c>
      <c r="H921" s="13">
        <v>65</v>
      </c>
      <c r="I921" s="13"/>
      <c r="J921" s="14">
        <v>-20.5</v>
      </c>
      <c r="K921" s="15"/>
    </row>
    <row r="922" spans="1:11" ht="16" x14ac:dyDescent="0.2">
      <c r="A922" s="7">
        <v>921</v>
      </c>
      <c r="B922" s="8" t="s">
        <v>834</v>
      </c>
      <c r="C922" s="8" t="s">
        <v>319</v>
      </c>
      <c r="D922" s="9" t="s">
        <v>194</v>
      </c>
      <c r="E922" s="13"/>
      <c r="F922" s="13"/>
      <c r="G922" s="16"/>
      <c r="H922" s="13">
        <v>86</v>
      </c>
      <c r="I922" s="13"/>
      <c r="J922" s="14">
        <v>-20.6</v>
      </c>
      <c r="K922" s="15"/>
    </row>
    <row r="923" spans="1:11" ht="16" x14ac:dyDescent="0.2">
      <c r="A923" s="7">
        <v>922</v>
      </c>
      <c r="B923" s="8" t="s">
        <v>652</v>
      </c>
      <c r="C923" s="8" t="s">
        <v>350</v>
      </c>
      <c r="D923" s="9" t="s">
        <v>192</v>
      </c>
      <c r="E923" s="13">
        <v>696.5</v>
      </c>
      <c r="F923" s="11">
        <v>0.75</v>
      </c>
      <c r="G923" s="12">
        <v>0.01</v>
      </c>
      <c r="H923" s="13">
        <v>121</v>
      </c>
      <c r="I923" s="13"/>
      <c r="J923" s="14">
        <v>-20.6</v>
      </c>
      <c r="K923" s="15"/>
    </row>
    <row r="924" spans="1:11" ht="16" x14ac:dyDescent="0.2">
      <c r="A924" s="7">
        <v>923</v>
      </c>
      <c r="B924" s="8" t="s">
        <v>757</v>
      </c>
      <c r="C924" s="8" t="s">
        <v>320</v>
      </c>
      <c r="D924" s="9" t="s">
        <v>195</v>
      </c>
      <c r="E924" s="13">
        <v>750.7</v>
      </c>
      <c r="F924" s="11">
        <v>0.02</v>
      </c>
      <c r="G924" s="12">
        <v>0</v>
      </c>
      <c r="H924" s="13">
        <v>45</v>
      </c>
      <c r="I924" s="13"/>
      <c r="J924" s="14">
        <v>-20.6</v>
      </c>
      <c r="K924" s="15"/>
    </row>
    <row r="925" spans="1:11" ht="16" x14ac:dyDescent="0.2">
      <c r="A925" s="7">
        <v>924</v>
      </c>
      <c r="B925" s="8" t="s">
        <v>544</v>
      </c>
      <c r="C925" s="8" t="s">
        <v>362</v>
      </c>
      <c r="D925" s="9" t="s">
        <v>193</v>
      </c>
      <c r="E925" s="13">
        <v>474.5</v>
      </c>
      <c r="F925" s="11">
        <v>1</v>
      </c>
      <c r="G925" s="12">
        <v>0.03</v>
      </c>
      <c r="H925" s="13">
        <v>94</v>
      </c>
      <c r="I925" s="13"/>
      <c r="J925" s="14">
        <v>-20.7</v>
      </c>
      <c r="K925" s="15"/>
    </row>
    <row r="926" spans="1:11" ht="16" x14ac:dyDescent="0.2">
      <c r="A926" s="7">
        <v>925</v>
      </c>
      <c r="B926" s="8" t="s">
        <v>663</v>
      </c>
      <c r="C926" s="8" t="s">
        <v>346</v>
      </c>
      <c r="D926" s="9" t="s">
        <v>192</v>
      </c>
      <c r="E926" s="13">
        <v>706</v>
      </c>
      <c r="F926" s="11">
        <v>0.5</v>
      </c>
      <c r="G926" s="12">
        <v>0</v>
      </c>
      <c r="H926" s="13">
        <v>132</v>
      </c>
      <c r="I926" s="13"/>
      <c r="J926" s="14">
        <v>-20.7</v>
      </c>
      <c r="K926" s="15"/>
    </row>
    <row r="927" spans="1:11" ht="16" x14ac:dyDescent="0.2">
      <c r="A927" s="7">
        <v>926</v>
      </c>
      <c r="B927" s="8" t="s">
        <v>1349</v>
      </c>
      <c r="C927" s="9"/>
      <c r="D927" s="9" t="s">
        <v>196</v>
      </c>
      <c r="E927" s="13"/>
      <c r="F927" s="13"/>
      <c r="G927" s="16"/>
      <c r="H927" s="13"/>
      <c r="I927" s="13">
        <v>71</v>
      </c>
      <c r="J927" s="14">
        <v>-20.8</v>
      </c>
      <c r="K927" s="15"/>
    </row>
    <row r="928" spans="1:11" ht="16" x14ac:dyDescent="0.2">
      <c r="A928" s="7">
        <v>927</v>
      </c>
      <c r="B928" s="8" t="s">
        <v>1350</v>
      </c>
      <c r="C928" s="8" t="s">
        <v>305</v>
      </c>
      <c r="D928" s="9" t="s">
        <v>196</v>
      </c>
      <c r="E928" s="13">
        <v>401.2</v>
      </c>
      <c r="F928" s="11">
        <v>1</v>
      </c>
      <c r="G928" s="12">
        <v>0.24</v>
      </c>
      <c r="H928" s="13"/>
      <c r="I928" s="13">
        <v>56</v>
      </c>
      <c r="J928" s="14">
        <v>-20.8</v>
      </c>
      <c r="K928" s="15"/>
    </row>
    <row r="929" spans="1:11" ht="16" x14ac:dyDescent="0.2">
      <c r="A929" s="7">
        <v>928</v>
      </c>
      <c r="B929" s="8" t="s">
        <v>1351</v>
      </c>
      <c r="C929" s="8" t="s">
        <v>316</v>
      </c>
      <c r="D929" s="9" t="s">
        <v>196</v>
      </c>
      <c r="E929" s="13">
        <v>446.6</v>
      </c>
      <c r="F929" s="11">
        <v>1</v>
      </c>
      <c r="G929" s="12">
        <v>0.09</v>
      </c>
      <c r="H929" s="13"/>
      <c r="I929" s="13">
        <v>117</v>
      </c>
      <c r="J929" s="14">
        <v>-20.8</v>
      </c>
      <c r="K929" s="15"/>
    </row>
    <row r="930" spans="1:11" ht="16" x14ac:dyDescent="0.2">
      <c r="A930" s="7">
        <v>929</v>
      </c>
      <c r="B930" s="8" t="s">
        <v>835</v>
      </c>
      <c r="C930" s="8" t="s">
        <v>350</v>
      </c>
      <c r="D930" s="9" t="s">
        <v>309</v>
      </c>
      <c r="E930" s="13"/>
      <c r="F930" s="11">
        <v>0.21</v>
      </c>
      <c r="G930" s="12">
        <v>0</v>
      </c>
      <c r="H930" s="13">
        <v>75</v>
      </c>
      <c r="I930" s="13"/>
      <c r="J930" s="14">
        <v>-20.9</v>
      </c>
      <c r="K930" s="15"/>
    </row>
    <row r="931" spans="1:11" ht="16" x14ac:dyDescent="0.2">
      <c r="A931" s="7">
        <v>930</v>
      </c>
      <c r="B931" s="8" t="s">
        <v>437</v>
      </c>
      <c r="C931" s="8" t="s">
        <v>310</v>
      </c>
      <c r="D931" s="9" t="s">
        <v>191</v>
      </c>
      <c r="E931" s="13">
        <v>247.8</v>
      </c>
      <c r="F931" s="11">
        <v>1</v>
      </c>
      <c r="G931" s="12">
        <v>0.99</v>
      </c>
      <c r="H931" s="13">
        <v>123</v>
      </c>
      <c r="I931" s="13"/>
      <c r="J931" s="14">
        <v>-21</v>
      </c>
      <c r="K931" s="15"/>
    </row>
    <row r="932" spans="1:11" ht="16" x14ac:dyDescent="0.2">
      <c r="A932" s="7">
        <v>931</v>
      </c>
      <c r="B932" s="8" t="s">
        <v>836</v>
      </c>
      <c r="C932" s="8" t="s">
        <v>323</v>
      </c>
      <c r="D932" s="9" t="s">
        <v>192</v>
      </c>
      <c r="E932" s="13"/>
      <c r="F932" s="13"/>
      <c r="G932" s="16"/>
      <c r="H932" s="13">
        <v>187</v>
      </c>
      <c r="I932" s="13"/>
      <c r="J932" s="14">
        <v>-21</v>
      </c>
      <c r="K932" s="15"/>
    </row>
    <row r="933" spans="1:11" ht="16" x14ac:dyDescent="0.2">
      <c r="A933" s="7">
        <v>932</v>
      </c>
      <c r="B933" s="8" t="s">
        <v>659</v>
      </c>
      <c r="C933" s="8" t="s">
        <v>305</v>
      </c>
      <c r="D933" s="9" t="s">
        <v>195</v>
      </c>
      <c r="E933" s="13">
        <v>701.9</v>
      </c>
      <c r="F933" s="11">
        <v>0.87</v>
      </c>
      <c r="G933" s="12">
        <v>0.04</v>
      </c>
      <c r="H933" s="13">
        <v>156</v>
      </c>
      <c r="I933" s="13"/>
      <c r="J933" s="14">
        <v>-21</v>
      </c>
      <c r="K933" s="15"/>
    </row>
    <row r="934" spans="1:11" ht="16" x14ac:dyDescent="0.2">
      <c r="A934" s="7">
        <v>933</v>
      </c>
      <c r="B934" s="8" t="s">
        <v>739</v>
      </c>
      <c r="C934" s="8" t="s">
        <v>305</v>
      </c>
      <c r="D934" s="9" t="s">
        <v>193</v>
      </c>
      <c r="E934" s="13">
        <v>749.4</v>
      </c>
      <c r="F934" s="11">
        <v>0.01</v>
      </c>
      <c r="G934" s="12">
        <v>0</v>
      </c>
      <c r="H934" s="13">
        <v>48</v>
      </c>
      <c r="I934" s="13"/>
      <c r="J934" s="14">
        <v>-21</v>
      </c>
      <c r="K934" s="15"/>
    </row>
    <row r="935" spans="1:11" ht="16" x14ac:dyDescent="0.2">
      <c r="A935" s="7">
        <v>934</v>
      </c>
      <c r="B935" s="8" t="s">
        <v>837</v>
      </c>
      <c r="C935" s="8" t="s">
        <v>313</v>
      </c>
      <c r="D935" s="9" t="s">
        <v>195</v>
      </c>
      <c r="E935" s="13"/>
      <c r="F935" s="11">
        <v>0.01</v>
      </c>
      <c r="G935" s="12">
        <v>0</v>
      </c>
      <c r="H935" s="13">
        <v>38</v>
      </c>
      <c r="I935" s="13"/>
      <c r="J935" s="14">
        <v>-21</v>
      </c>
      <c r="K935" s="15"/>
    </row>
    <row r="936" spans="1:11" ht="16" x14ac:dyDescent="0.2">
      <c r="A936" s="7">
        <v>935</v>
      </c>
      <c r="B936" s="8" t="s">
        <v>838</v>
      </c>
      <c r="C936" s="8" t="s">
        <v>362</v>
      </c>
      <c r="D936" s="9" t="s">
        <v>839</v>
      </c>
      <c r="E936" s="13"/>
      <c r="F936" s="13"/>
      <c r="G936" s="16"/>
      <c r="H936" s="13">
        <v>58</v>
      </c>
      <c r="I936" s="13"/>
      <c r="J936" s="14">
        <v>-21</v>
      </c>
      <c r="K936" s="15"/>
    </row>
    <row r="937" spans="1:11" ht="16" x14ac:dyDescent="0.2">
      <c r="A937" s="7">
        <v>936</v>
      </c>
      <c r="B937" s="8" t="s">
        <v>1352</v>
      </c>
      <c r="C937" s="8" t="s">
        <v>367</v>
      </c>
      <c r="D937" s="9" t="s">
        <v>196</v>
      </c>
      <c r="E937" s="13">
        <v>708.8</v>
      </c>
      <c r="F937" s="11">
        <v>0.35</v>
      </c>
      <c r="G937" s="12">
        <v>0.01</v>
      </c>
      <c r="H937" s="13"/>
      <c r="I937" s="13">
        <v>130.1</v>
      </c>
      <c r="J937" s="14">
        <v>-21</v>
      </c>
      <c r="K937" s="15"/>
    </row>
    <row r="938" spans="1:11" ht="16" x14ac:dyDescent="0.2">
      <c r="A938" s="7">
        <v>937</v>
      </c>
      <c r="B938" s="8" t="s">
        <v>761</v>
      </c>
      <c r="C938" s="8" t="s">
        <v>307</v>
      </c>
      <c r="D938" s="9" t="s">
        <v>192</v>
      </c>
      <c r="E938" s="13">
        <v>750.8</v>
      </c>
      <c r="F938" s="11">
        <v>0.03</v>
      </c>
      <c r="G938" s="12">
        <v>0</v>
      </c>
      <c r="H938" s="13">
        <v>171</v>
      </c>
      <c r="I938" s="13"/>
      <c r="J938" s="14">
        <v>-21</v>
      </c>
      <c r="K938" s="15"/>
    </row>
    <row r="939" spans="1:11" ht="16" x14ac:dyDescent="0.2">
      <c r="A939" s="7">
        <v>938</v>
      </c>
      <c r="B939" s="8" t="s">
        <v>840</v>
      </c>
      <c r="C939" s="9"/>
      <c r="D939" s="9" t="s">
        <v>365</v>
      </c>
      <c r="E939" s="13"/>
      <c r="F939" s="13"/>
      <c r="G939" s="16"/>
      <c r="H939" s="13">
        <v>95</v>
      </c>
      <c r="I939" s="13"/>
      <c r="J939" s="14">
        <v>-21.1</v>
      </c>
      <c r="K939" s="15"/>
    </row>
    <row r="940" spans="1:11" ht="16" x14ac:dyDescent="0.2">
      <c r="A940" s="7">
        <v>939</v>
      </c>
      <c r="B940" s="8" t="s">
        <v>841</v>
      </c>
      <c r="C940" s="9"/>
      <c r="D940" s="9" t="s">
        <v>195</v>
      </c>
      <c r="E940" s="13"/>
      <c r="F940" s="13"/>
      <c r="G940" s="16"/>
      <c r="H940" s="13">
        <v>15</v>
      </c>
      <c r="I940" s="13"/>
      <c r="J940" s="14">
        <v>-21.1</v>
      </c>
      <c r="K940" s="15"/>
    </row>
    <row r="941" spans="1:11" ht="16" x14ac:dyDescent="0.2">
      <c r="A941" s="7">
        <v>940</v>
      </c>
      <c r="B941" s="8" t="s">
        <v>842</v>
      </c>
      <c r="C941" s="8" t="s">
        <v>317</v>
      </c>
      <c r="D941" s="9" t="s">
        <v>195</v>
      </c>
      <c r="E941" s="13"/>
      <c r="F941" s="13"/>
      <c r="G941" s="16"/>
      <c r="H941" s="13">
        <v>35</v>
      </c>
      <c r="I941" s="13"/>
      <c r="J941" s="14">
        <v>-21.1</v>
      </c>
      <c r="K941" s="15"/>
    </row>
    <row r="942" spans="1:11" ht="16" x14ac:dyDescent="0.2">
      <c r="A942" s="7">
        <v>941</v>
      </c>
      <c r="B942" s="8" t="s">
        <v>705</v>
      </c>
      <c r="C942" s="8" t="s">
        <v>314</v>
      </c>
      <c r="D942" s="9" t="s">
        <v>309</v>
      </c>
      <c r="E942" s="13">
        <v>744.5</v>
      </c>
      <c r="F942" s="11">
        <v>0.09</v>
      </c>
      <c r="G942" s="12">
        <v>0</v>
      </c>
      <c r="H942" s="13">
        <v>28</v>
      </c>
      <c r="I942" s="13"/>
      <c r="J942" s="14">
        <v>-21.2</v>
      </c>
      <c r="K942" s="15"/>
    </row>
    <row r="943" spans="1:11" ht="16" x14ac:dyDescent="0.2">
      <c r="A943" s="7">
        <v>942</v>
      </c>
      <c r="B943" s="8" t="s">
        <v>843</v>
      </c>
      <c r="C943" s="8" t="s">
        <v>331</v>
      </c>
      <c r="D943" s="9" t="s">
        <v>359</v>
      </c>
      <c r="E943" s="13"/>
      <c r="F943" s="11">
        <v>0.01</v>
      </c>
      <c r="G943" s="12">
        <v>0</v>
      </c>
      <c r="H943" s="13">
        <v>116</v>
      </c>
      <c r="I943" s="13"/>
      <c r="J943" s="14">
        <v>-21.2</v>
      </c>
      <c r="K943" s="15"/>
    </row>
    <row r="944" spans="1:11" ht="16" x14ac:dyDescent="0.2">
      <c r="A944" s="7">
        <v>943</v>
      </c>
      <c r="B944" s="8" t="s">
        <v>844</v>
      </c>
      <c r="C944" s="8" t="s">
        <v>310</v>
      </c>
      <c r="D944" s="9" t="s">
        <v>309</v>
      </c>
      <c r="E944" s="13"/>
      <c r="F944" s="11">
        <v>0.01</v>
      </c>
      <c r="G944" s="12">
        <v>0</v>
      </c>
      <c r="H944" s="13">
        <v>29</v>
      </c>
      <c r="I944" s="13"/>
      <c r="J944" s="14">
        <v>-21.2</v>
      </c>
      <c r="K944" s="15"/>
    </row>
    <row r="945" spans="1:11" ht="16" x14ac:dyDescent="0.2">
      <c r="A945" s="7">
        <v>944</v>
      </c>
      <c r="B945" s="8" t="s">
        <v>845</v>
      </c>
      <c r="C945" s="8" t="s">
        <v>314</v>
      </c>
      <c r="D945" s="9" t="s">
        <v>193</v>
      </c>
      <c r="E945" s="13"/>
      <c r="F945" s="11">
        <v>0.02</v>
      </c>
      <c r="G945" s="12">
        <v>0</v>
      </c>
      <c r="H945" s="13">
        <v>94</v>
      </c>
      <c r="I945" s="13"/>
      <c r="J945" s="14">
        <v>-21.2</v>
      </c>
      <c r="K945" s="15"/>
    </row>
    <row r="946" spans="1:11" ht="16" x14ac:dyDescent="0.2">
      <c r="A946" s="7">
        <v>945</v>
      </c>
      <c r="B946" s="8" t="s">
        <v>750</v>
      </c>
      <c r="C946" s="8" t="s">
        <v>342</v>
      </c>
      <c r="D946" s="9" t="s">
        <v>193</v>
      </c>
      <c r="E946" s="13">
        <v>750.3</v>
      </c>
      <c r="F946" s="11">
        <v>0.2</v>
      </c>
      <c r="G946" s="12">
        <v>0</v>
      </c>
      <c r="H946" s="13">
        <v>135</v>
      </c>
      <c r="I946" s="13"/>
      <c r="J946" s="14">
        <v>-21.3</v>
      </c>
      <c r="K946" s="15"/>
    </row>
    <row r="947" spans="1:11" ht="16" x14ac:dyDescent="0.2">
      <c r="A947" s="7">
        <v>946</v>
      </c>
      <c r="B947" s="8" t="s">
        <v>680</v>
      </c>
      <c r="C947" s="8" t="s">
        <v>367</v>
      </c>
      <c r="D947" s="9" t="s">
        <v>191</v>
      </c>
      <c r="E947" s="13">
        <v>733.3</v>
      </c>
      <c r="F947" s="11">
        <v>0.08</v>
      </c>
      <c r="G947" s="12">
        <v>0</v>
      </c>
      <c r="H947" s="13">
        <v>157</v>
      </c>
      <c r="I947" s="13"/>
      <c r="J947" s="14">
        <v>-21.3</v>
      </c>
      <c r="K947" s="15"/>
    </row>
    <row r="948" spans="1:11" ht="16" x14ac:dyDescent="0.2">
      <c r="A948" s="7">
        <v>947</v>
      </c>
      <c r="B948" s="8" t="s">
        <v>846</v>
      </c>
      <c r="C948" s="8" t="s">
        <v>334</v>
      </c>
      <c r="D948" s="9" t="s">
        <v>195</v>
      </c>
      <c r="E948" s="13"/>
      <c r="F948" s="13"/>
      <c r="G948" s="16"/>
      <c r="H948" s="13">
        <v>73</v>
      </c>
      <c r="I948" s="13"/>
      <c r="J948" s="14">
        <v>-21.3</v>
      </c>
      <c r="K948" s="15"/>
    </row>
    <row r="949" spans="1:11" ht="16" x14ac:dyDescent="0.2">
      <c r="A949" s="7">
        <v>948</v>
      </c>
      <c r="B949" s="8" t="s">
        <v>627</v>
      </c>
      <c r="C949" s="8" t="s">
        <v>367</v>
      </c>
      <c r="D949" s="9" t="s">
        <v>194</v>
      </c>
      <c r="E949" s="13">
        <v>650.20000000000005</v>
      </c>
      <c r="F949" s="11">
        <v>0.37</v>
      </c>
      <c r="G949" s="12">
        <v>0</v>
      </c>
      <c r="H949" s="13">
        <v>241</v>
      </c>
      <c r="I949" s="13"/>
      <c r="J949" s="14">
        <v>-21.3</v>
      </c>
      <c r="K949" s="15"/>
    </row>
    <row r="950" spans="1:11" ht="16" x14ac:dyDescent="0.2">
      <c r="A950" s="7">
        <v>949</v>
      </c>
      <c r="B950" s="8" t="s">
        <v>847</v>
      </c>
      <c r="C950" s="8" t="s">
        <v>367</v>
      </c>
      <c r="D950" s="9" t="s">
        <v>306</v>
      </c>
      <c r="E950" s="13"/>
      <c r="F950" s="11">
        <v>0.02</v>
      </c>
      <c r="G950" s="12">
        <v>0</v>
      </c>
      <c r="H950" s="13">
        <v>106</v>
      </c>
      <c r="I950" s="13"/>
      <c r="J950" s="14">
        <v>-21.4</v>
      </c>
      <c r="K950" s="15"/>
    </row>
    <row r="951" spans="1:11" ht="16" x14ac:dyDescent="0.2">
      <c r="A951" s="7">
        <v>950</v>
      </c>
      <c r="B951" s="8" t="s">
        <v>848</v>
      </c>
      <c r="C951" s="8" t="s">
        <v>362</v>
      </c>
      <c r="D951" s="9" t="s">
        <v>645</v>
      </c>
      <c r="E951" s="13"/>
      <c r="F951" s="13"/>
      <c r="G951" s="16"/>
      <c r="H951" s="13">
        <v>47</v>
      </c>
      <c r="I951" s="13"/>
      <c r="J951" s="14">
        <v>-21.4</v>
      </c>
      <c r="K951" s="15"/>
    </row>
    <row r="952" spans="1:11" ht="16" x14ac:dyDescent="0.2">
      <c r="A952" s="7">
        <v>951</v>
      </c>
      <c r="B952" s="8" t="s">
        <v>849</v>
      </c>
      <c r="C952" s="9"/>
      <c r="D952" s="9" t="s">
        <v>195</v>
      </c>
      <c r="E952" s="13"/>
      <c r="F952" s="13"/>
      <c r="G952" s="16"/>
      <c r="H952" s="13">
        <v>51</v>
      </c>
      <c r="I952" s="13"/>
      <c r="J952" s="14">
        <v>-21.4</v>
      </c>
      <c r="K952" s="15"/>
    </row>
    <row r="953" spans="1:11" ht="16" x14ac:dyDescent="0.2">
      <c r="A953" s="7">
        <v>952</v>
      </c>
      <c r="B953" s="8" t="s">
        <v>850</v>
      </c>
      <c r="C953" s="9"/>
      <c r="D953" s="9" t="s">
        <v>309</v>
      </c>
      <c r="E953" s="13"/>
      <c r="F953" s="13"/>
      <c r="G953" s="16"/>
      <c r="H953" s="13">
        <v>18</v>
      </c>
      <c r="I953" s="13"/>
      <c r="J953" s="14">
        <v>-21.4</v>
      </c>
      <c r="K953" s="15"/>
    </row>
    <row r="954" spans="1:11" ht="16" x14ac:dyDescent="0.2">
      <c r="A954" s="7">
        <v>953</v>
      </c>
      <c r="B954" s="8" t="s">
        <v>851</v>
      </c>
      <c r="C954" s="8" t="s">
        <v>331</v>
      </c>
      <c r="D954" s="9" t="s">
        <v>852</v>
      </c>
      <c r="E954" s="13"/>
      <c r="F954" s="13"/>
      <c r="G954" s="16"/>
      <c r="H954" s="13">
        <v>28</v>
      </c>
      <c r="I954" s="13"/>
      <c r="J954" s="14">
        <v>-21.4</v>
      </c>
      <c r="K954" s="15"/>
    </row>
    <row r="955" spans="1:11" ht="16" x14ac:dyDescent="0.2">
      <c r="A955" s="7">
        <v>954</v>
      </c>
      <c r="B955" s="8" t="s">
        <v>551</v>
      </c>
      <c r="C955" s="8" t="s">
        <v>334</v>
      </c>
      <c r="D955" s="9" t="s">
        <v>552</v>
      </c>
      <c r="E955" s="13">
        <v>484.1</v>
      </c>
      <c r="F955" s="11">
        <v>1</v>
      </c>
      <c r="G955" s="12">
        <v>0.01</v>
      </c>
      <c r="H955" s="13">
        <v>42</v>
      </c>
      <c r="I955" s="13"/>
      <c r="J955" s="14">
        <v>-21.5</v>
      </c>
      <c r="K955" s="15"/>
    </row>
    <row r="956" spans="1:11" ht="16" x14ac:dyDescent="0.2">
      <c r="A956" s="7">
        <v>955</v>
      </c>
      <c r="B956" s="8" t="s">
        <v>759</v>
      </c>
      <c r="C956" s="8" t="s">
        <v>317</v>
      </c>
      <c r="D956" s="9" t="s">
        <v>195</v>
      </c>
      <c r="E956" s="13">
        <v>750.7</v>
      </c>
      <c r="F956" s="11">
        <v>0.06</v>
      </c>
      <c r="G956" s="12">
        <v>0</v>
      </c>
      <c r="H956" s="13">
        <v>12</v>
      </c>
      <c r="I956" s="13"/>
      <c r="J956" s="14">
        <v>-21.5</v>
      </c>
      <c r="K956" s="15"/>
    </row>
    <row r="957" spans="1:11" ht="16" x14ac:dyDescent="0.2">
      <c r="A957" s="7">
        <v>956</v>
      </c>
      <c r="B957" s="8" t="s">
        <v>853</v>
      </c>
      <c r="C957" s="8" t="s">
        <v>308</v>
      </c>
      <c r="D957" s="9" t="s">
        <v>309</v>
      </c>
      <c r="E957" s="13"/>
      <c r="F957" s="13"/>
      <c r="G957" s="16"/>
      <c r="H957" s="13">
        <v>5</v>
      </c>
      <c r="I957" s="13"/>
      <c r="J957" s="14">
        <v>-21.5</v>
      </c>
      <c r="K957" s="15"/>
    </row>
    <row r="958" spans="1:11" ht="16" x14ac:dyDescent="0.2">
      <c r="A958" s="7">
        <v>957</v>
      </c>
      <c r="B958" s="8" t="s">
        <v>854</v>
      </c>
      <c r="C958" s="8" t="s">
        <v>310</v>
      </c>
      <c r="D958" s="9" t="s">
        <v>195</v>
      </c>
      <c r="E958" s="13"/>
      <c r="F958" s="13"/>
      <c r="G958" s="16"/>
      <c r="H958" s="13">
        <v>68</v>
      </c>
      <c r="I958" s="13"/>
      <c r="J958" s="14">
        <v>-21.6</v>
      </c>
      <c r="K958" s="15"/>
    </row>
    <row r="959" spans="1:11" ht="16" x14ac:dyDescent="0.2">
      <c r="A959" s="7">
        <v>958</v>
      </c>
      <c r="B959" s="8" t="s">
        <v>855</v>
      </c>
      <c r="C959" s="8" t="s">
        <v>326</v>
      </c>
      <c r="D959" s="9" t="s">
        <v>195</v>
      </c>
      <c r="E959" s="13"/>
      <c r="F959" s="13"/>
      <c r="G959" s="16"/>
      <c r="H959" s="13">
        <v>27</v>
      </c>
      <c r="I959" s="13"/>
      <c r="J959" s="14">
        <v>-21.6</v>
      </c>
      <c r="K959" s="15"/>
    </row>
    <row r="960" spans="1:11" ht="16" x14ac:dyDescent="0.2">
      <c r="A960" s="7">
        <v>959</v>
      </c>
      <c r="B960" s="8" t="s">
        <v>856</v>
      </c>
      <c r="C960" s="8" t="s">
        <v>334</v>
      </c>
      <c r="D960" s="9" t="s">
        <v>192</v>
      </c>
      <c r="E960" s="13"/>
      <c r="F960" s="13"/>
      <c r="G960" s="16"/>
      <c r="H960" s="13">
        <v>96</v>
      </c>
      <c r="I960" s="13"/>
      <c r="J960" s="14">
        <v>-21.7</v>
      </c>
      <c r="K960" s="15"/>
    </row>
    <row r="961" spans="1:11" ht="16" x14ac:dyDescent="0.2">
      <c r="A961" s="7">
        <v>960</v>
      </c>
      <c r="B961" s="8" t="s">
        <v>481</v>
      </c>
      <c r="C961" s="8" t="s">
        <v>342</v>
      </c>
      <c r="D961" s="9" t="s">
        <v>194</v>
      </c>
      <c r="E961" s="13">
        <v>342.8</v>
      </c>
      <c r="F961" s="11">
        <v>1</v>
      </c>
      <c r="G961" s="12">
        <v>0.35</v>
      </c>
      <c r="H961" s="13">
        <v>103</v>
      </c>
      <c r="I961" s="13"/>
      <c r="J961" s="14">
        <v>-21.7</v>
      </c>
      <c r="K961" s="15"/>
    </row>
    <row r="962" spans="1:11" ht="16" x14ac:dyDescent="0.2">
      <c r="A962" s="7">
        <v>961</v>
      </c>
      <c r="B962" s="8" t="s">
        <v>857</v>
      </c>
      <c r="C962" s="8" t="s">
        <v>362</v>
      </c>
      <c r="D962" s="9" t="s">
        <v>191</v>
      </c>
      <c r="E962" s="13"/>
      <c r="F962" s="13"/>
      <c r="G962" s="16"/>
      <c r="H962" s="13">
        <v>75</v>
      </c>
      <c r="I962" s="13"/>
      <c r="J962" s="14">
        <v>-21.8</v>
      </c>
      <c r="K962" s="15"/>
    </row>
    <row r="963" spans="1:11" ht="16" x14ac:dyDescent="0.2">
      <c r="A963" s="7">
        <v>962</v>
      </c>
      <c r="B963" s="8" t="s">
        <v>858</v>
      </c>
      <c r="C963" s="8" t="s">
        <v>348</v>
      </c>
      <c r="D963" s="9" t="s">
        <v>195</v>
      </c>
      <c r="E963" s="13"/>
      <c r="F963" s="13"/>
      <c r="G963" s="16"/>
      <c r="H963" s="13">
        <v>49</v>
      </c>
      <c r="I963" s="13"/>
      <c r="J963" s="14">
        <v>-21.8</v>
      </c>
      <c r="K963" s="15"/>
    </row>
    <row r="964" spans="1:11" ht="16" x14ac:dyDescent="0.2">
      <c r="A964" s="7">
        <v>963</v>
      </c>
      <c r="B964" s="8" t="s">
        <v>859</v>
      </c>
      <c r="C964" s="8" t="s">
        <v>331</v>
      </c>
      <c r="D964" s="9" t="s">
        <v>860</v>
      </c>
      <c r="E964" s="13"/>
      <c r="F964" s="13"/>
      <c r="G964" s="16"/>
      <c r="H964" s="13">
        <v>52</v>
      </c>
      <c r="I964" s="13"/>
      <c r="J964" s="14">
        <v>-21.8</v>
      </c>
      <c r="K964" s="15"/>
    </row>
    <row r="965" spans="1:11" ht="16" x14ac:dyDescent="0.2">
      <c r="A965" s="7">
        <v>964</v>
      </c>
      <c r="B965" s="8" t="s">
        <v>861</v>
      </c>
      <c r="C965" s="9"/>
      <c r="D965" s="9" t="s">
        <v>191</v>
      </c>
      <c r="E965" s="13"/>
      <c r="F965" s="13"/>
      <c r="G965" s="16"/>
      <c r="H965" s="13">
        <v>60</v>
      </c>
      <c r="I965" s="13"/>
      <c r="J965" s="14">
        <v>-21.9</v>
      </c>
      <c r="K965" s="15"/>
    </row>
    <row r="966" spans="1:11" ht="16" x14ac:dyDescent="0.2">
      <c r="A966" s="7">
        <v>965</v>
      </c>
      <c r="B966" s="8" t="s">
        <v>862</v>
      </c>
      <c r="C966" s="8" t="s">
        <v>319</v>
      </c>
      <c r="D966" s="9" t="s">
        <v>192</v>
      </c>
      <c r="E966" s="13"/>
      <c r="F966" s="13"/>
      <c r="G966" s="16"/>
      <c r="H966" s="13">
        <v>71</v>
      </c>
      <c r="I966" s="13"/>
      <c r="J966" s="14">
        <v>-21.9</v>
      </c>
      <c r="K966" s="15"/>
    </row>
    <row r="967" spans="1:11" ht="16" x14ac:dyDescent="0.2">
      <c r="A967" s="7">
        <v>966</v>
      </c>
      <c r="B967" s="8" t="s">
        <v>1353</v>
      </c>
      <c r="C967" s="8" t="s">
        <v>334</v>
      </c>
      <c r="D967" s="9" t="s">
        <v>197</v>
      </c>
      <c r="E967" s="13"/>
      <c r="F967" s="13"/>
      <c r="G967" s="16"/>
      <c r="H967" s="13"/>
      <c r="I967" s="13">
        <v>42.1</v>
      </c>
      <c r="J967" s="14">
        <v>-21.9</v>
      </c>
      <c r="K967" s="15"/>
    </row>
    <row r="968" spans="1:11" ht="16" x14ac:dyDescent="0.2">
      <c r="A968" s="7">
        <v>967</v>
      </c>
      <c r="B968" s="8" t="s">
        <v>684</v>
      </c>
      <c r="C968" s="8" t="s">
        <v>350</v>
      </c>
      <c r="D968" s="9" t="s">
        <v>195</v>
      </c>
      <c r="E968" s="13">
        <v>736.8</v>
      </c>
      <c r="F968" s="11">
        <v>0.17</v>
      </c>
      <c r="G968" s="12">
        <v>0</v>
      </c>
      <c r="H968" s="13">
        <v>38</v>
      </c>
      <c r="I968" s="13"/>
      <c r="J968" s="14">
        <v>-22</v>
      </c>
      <c r="K968" s="15"/>
    </row>
    <row r="969" spans="1:11" ht="16" x14ac:dyDescent="0.2">
      <c r="A969" s="7">
        <v>968</v>
      </c>
      <c r="B969" s="8" t="s">
        <v>1354</v>
      </c>
      <c r="C969" s="9"/>
      <c r="D969" s="9" t="s">
        <v>197</v>
      </c>
      <c r="E969" s="13"/>
      <c r="F969" s="13"/>
      <c r="G969" s="16"/>
      <c r="H969" s="13"/>
      <c r="I969" s="13">
        <v>61</v>
      </c>
      <c r="J969" s="14">
        <v>-22</v>
      </c>
      <c r="K969" s="15"/>
    </row>
    <row r="970" spans="1:11" ht="16" x14ac:dyDescent="0.2">
      <c r="A970" s="7">
        <v>969</v>
      </c>
      <c r="B970" s="8" t="s">
        <v>863</v>
      </c>
      <c r="C970" s="8" t="s">
        <v>385</v>
      </c>
      <c r="D970" s="9" t="s">
        <v>365</v>
      </c>
      <c r="E970" s="13"/>
      <c r="F970" s="11">
        <v>0.02</v>
      </c>
      <c r="G970" s="12">
        <v>0</v>
      </c>
      <c r="H970" s="13">
        <v>32</v>
      </c>
      <c r="I970" s="13"/>
      <c r="J970" s="14">
        <v>-22</v>
      </c>
      <c r="K970" s="15"/>
    </row>
    <row r="971" spans="1:11" ht="16" x14ac:dyDescent="0.2">
      <c r="A971" s="7">
        <v>970</v>
      </c>
      <c r="B971" s="8" t="s">
        <v>538</v>
      </c>
      <c r="C971" s="8" t="s">
        <v>367</v>
      </c>
      <c r="D971" s="9" t="s">
        <v>312</v>
      </c>
      <c r="E971" s="13">
        <v>452.4</v>
      </c>
      <c r="F971" s="11">
        <v>1</v>
      </c>
      <c r="G971" s="12">
        <v>0.03</v>
      </c>
      <c r="H971" s="13">
        <v>45</v>
      </c>
      <c r="I971" s="13"/>
      <c r="J971" s="14">
        <v>-22</v>
      </c>
      <c r="K971" s="15"/>
    </row>
    <row r="972" spans="1:11" ht="16" x14ac:dyDescent="0.2">
      <c r="A972" s="7">
        <v>971</v>
      </c>
      <c r="B972" s="8" t="s">
        <v>864</v>
      </c>
      <c r="C972" s="8" t="s">
        <v>326</v>
      </c>
      <c r="D972" s="9" t="s">
        <v>450</v>
      </c>
      <c r="E972" s="13"/>
      <c r="F972" s="13"/>
      <c r="G972" s="16"/>
      <c r="H972" s="13">
        <v>26</v>
      </c>
      <c r="I972" s="13"/>
      <c r="J972" s="14">
        <v>-22.1</v>
      </c>
      <c r="K972" s="15"/>
    </row>
    <row r="973" spans="1:11" ht="16" x14ac:dyDescent="0.2">
      <c r="A973" s="7">
        <v>972</v>
      </c>
      <c r="B973" s="8" t="s">
        <v>865</v>
      </c>
      <c r="C973" s="8" t="s">
        <v>320</v>
      </c>
      <c r="D973" s="9" t="s">
        <v>309</v>
      </c>
      <c r="E973" s="13"/>
      <c r="F973" s="11">
        <v>0.01</v>
      </c>
      <c r="G973" s="12">
        <v>0</v>
      </c>
      <c r="H973" s="13">
        <v>4</v>
      </c>
      <c r="I973" s="13"/>
      <c r="J973" s="14">
        <v>-22.1</v>
      </c>
      <c r="K973" s="15"/>
    </row>
    <row r="974" spans="1:11" ht="16" x14ac:dyDescent="0.2">
      <c r="A974" s="7">
        <v>973</v>
      </c>
      <c r="B974" s="8" t="s">
        <v>620</v>
      </c>
      <c r="C974" s="8" t="s">
        <v>311</v>
      </c>
      <c r="D974" s="9" t="s">
        <v>309</v>
      </c>
      <c r="E974" s="13">
        <v>641.29999999999995</v>
      </c>
      <c r="F974" s="11">
        <v>0.96</v>
      </c>
      <c r="G974" s="12">
        <v>0</v>
      </c>
      <c r="H974" s="13">
        <v>40</v>
      </c>
      <c r="I974" s="13"/>
      <c r="J974" s="14">
        <v>-22.1</v>
      </c>
      <c r="K974" s="15"/>
    </row>
    <row r="975" spans="1:11" ht="16" x14ac:dyDescent="0.2">
      <c r="A975" s="7">
        <v>974</v>
      </c>
      <c r="B975" s="8" t="s">
        <v>1355</v>
      </c>
      <c r="C975" s="8" t="s">
        <v>331</v>
      </c>
      <c r="D975" s="9" t="s">
        <v>197</v>
      </c>
      <c r="E975" s="13"/>
      <c r="F975" s="13"/>
      <c r="G975" s="16"/>
      <c r="H975" s="13"/>
      <c r="I975" s="13">
        <v>41.1</v>
      </c>
      <c r="J975" s="14">
        <v>-22.1</v>
      </c>
      <c r="K975" s="15"/>
    </row>
    <row r="976" spans="1:11" ht="16" x14ac:dyDescent="0.2">
      <c r="A976" s="7">
        <v>975</v>
      </c>
      <c r="B976" s="8" t="s">
        <v>866</v>
      </c>
      <c r="C976" s="8" t="s">
        <v>362</v>
      </c>
      <c r="D976" s="9" t="s">
        <v>195</v>
      </c>
      <c r="E976" s="13"/>
      <c r="F976" s="11">
        <v>0.01</v>
      </c>
      <c r="G976" s="12">
        <v>0</v>
      </c>
      <c r="H976" s="13">
        <v>82</v>
      </c>
      <c r="I976" s="13"/>
      <c r="J976" s="14">
        <v>-22.2</v>
      </c>
      <c r="K976" s="15"/>
    </row>
    <row r="977" spans="1:11" ht="16" x14ac:dyDescent="0.2">
      <c r="A977" s="7">
        <v>976</v>
      </c>
      <c r="B977" s="8" t="s">
        <v>867</v>
      </c>
      <c r="C977" s="8" t="s">
        <v>371</v>
      </c>
      <c r="D977" s="9" t="s">
        <v>868</v>
      </c>
      <c r="E977" s="13"/>
      <c r="F977" s="13"/>
      <c r="G977" s="16"/>
      <c r="H977" s="13">
        <v>39</v>
      </c>
      <c r="I977" s="13"/>
      <c r="J977" s="14">
        <v>-22.2</v>
      </c>
      <c r="K977" s="15"/>
    </row>
    <row r="978" spans="1:11" ht="16" x14ac:dyDescent="0.2">
      <c r="A978" s="7">
        <v>977</v>
      </c>
      <c r="B978" s="8" t="s">
        <v>694</v>
      </c>
      <c r="C978" s="8" t="s">
        <v>348</v>
      </c>
      <c r="D978" s="9" t="s">
        <v>321</v>
      </c>
      <c r="E978" s="13">
        <v>741</v>
      </c>
      <c r="F978" s="11">
        <v>0.21</v>
      </c>
      <c r="G978" s="12">
        <v>0</v>
      </c>
      <c r="H978" s="13">
        <v>49</v>
      </c>
      <c r="I978" s="13"/>
      <c r="J978" s="14">
        <v>-22.2</v>
      </c>
      <c r="K978" s="15"/>
    </row>
    <row r="979" spans="1:11" ht="16" x14ac:dyDescent="0.2">
      <c r="A979" s="7">
        <v>978</v>
      </c>
      <c r="B979" s="8" t="s">
        <v>869</v>
      </c>
      <c r="C979" s="9"/>
      <c r="D979" s="9" t="s">
        <v>312</v>
      </c>
      <c r="E979" s="13"/>
      <c r="F979" s="13"/>
      <c r="G979" s="16"/>
      <c r="H979" s="13">
        <v>8</v>
      </c>
      <c r="I979" s="13"/>
      <c r="J979" s="14">
        <v>-22.2</v>
      </c>
      <c r="K979" s="15"/>
    </row>
    <row r="980" spans="1:11" ht="16" x14ac:dyDescent="0.2">
      <c r="A980" s="7">
        <v>979</v>
      </c>
      <c r="B980" s="8" t="s">
        <v>870</v>
      </c>
      <c r="C980" s="8" t="s">
        <v>314</v>
      </c>
      <c r="D980" s="9" t="s">
        <v>195</v>
      </c>
      <c r="E980" s="13"/>
      <c r="F980" s="13"/>
      <c r="G980" s="16"/>
      <c r="H980" s="13">
        <v>17</v>
      </c>
      <c r="I980" s="13"/>
      <c r="J980" s="14">
        <v>-22.2</v>
      </c>
      <c r="K980" s="15"/>
    </row>
    <row r="981" spans="1:11" ht="16" x14ac:dyDescent="0.2">
      <c r="A981" s="7">
        <v>980</v>
      </c>
      <c r="B981" s="8" t="s">
        <v>871</v>
      </c>
      <c r="C981" s="8" t="s">
        <v>323</v>
      </c>
      <c r="D981" s="9" t="s">
        <v>193</v>
      </c>
      <c r="E981" s="13"/>
      <c r="F981" s="13"/>
      <c r="G981" s="16"/>
      <c r="H981" s="13">
        <v>88</v>
      </c>
      <c r="I981" s="13"/>
      <c r="J981" s="14">
        <v>-22.2</v>
      </c>
      <c r="K981" s="15"/>
    </row>
    <row r="982" spans="1:11" ht="16" x14ac:dyDescent="0.2">
      <c r="A982" s="7">
        <v>981</v>
      </c>
      <c r="B982" s="8" t="s">
        <v>872</v>
      </c>
      <c r="C982" s="8" t="s">
        <v>317</v>
      </c>
      <c r="D982" s="9" t="s">
        <v>321</v>
      </c>
      <c r="E982" s="13"/>
      <c r="F982" s="11">
        <v>0.01</v>
      </c>
      <c r="G982" s="12">
        <v>0</v>
      </c>
      <c r="H982" s="13">
        <v>65</v>
      </c>
      <c r="I982" s="13"/>
      <c r="J982" s="14">
        <v>-22.3</v>
      </c>
      <c r="K982" s="15"/>
    </row>
    <row r="983" spans="1:11" ht="16" x14ac:dyDescent="0.2">
      <c r="A983" s="7">
        <v>982</v>
      </c>
      <c r="B983" s="8" t="s">
        <v>873</v>
      </c>
      <c r="C983" s="9"/>
      <c r="D983" s="9" t="s">
        <v>195</v>
      </c>
      <c r="E983" s="13"/>
      <c r="F983" s="13"/>
      <c r="G983" s="16"/>
      <c r="H983" s="13">
        <v>28</v>
      </c>
      <c r="I983" s="13"/>
      <c r="J983" s="14">
        <v>-22.3</v>
      </c>
      <c r="K983" s="15"/>
    </row>
    <row r="984" spans="1:11" ht="16" x14ac:dyDescent="0.2">
      <c r="A984" s="7">
        <v>983</v>
      </c>
      <c r="B984" s="8" t="s">
        <v>874</v>
      </c>
      <c r="C984" s="8" t="s">
        <v>320</v>
      </c>
      <c r="D984" s="9" t="s">
        <v>192</v>
      </c>
      <c r="E984" s="13"/>
      <c r="F984" s="13"/>
      <c r="G984" s="16"/>
      <c r="H984" s="13">
        <v>124</v>
      </c>
      <c r="I984" s="13"/>
      <c r="J984" s="14">
        <v>-22.3</v>
      </c>
      <c r="K984" s="15"/>
    </row>
    <row r="985" spans="1:11" ht="16" x14ac:dyDescent="0.2">
      <c r="A985" s="7">
        <v>984</v>
      </c>
      <c r="B985" s="8" t="s">
        <v>647</v>
      </c>
      <c r="C985" s="8" t="s">
        <v>350</v>
      </c>
      <c r="D985" s="9" t="s">
        <v>192</v>
      </c>
      <c r="E985" s="13">
        <v>680</v>
      </c>
      <c r="F985" s="11">
        <v>0.8</v>
      </c>
      <c r="G985" s="12">
        <v>0</v>
      </c>
      <c r="H985" s="13">
        <v>360</v>
      </c>
      <c r="I985" s="13"/>
      <c r="J985" s="14">
        <v>-22.3</v>
      </c>
      <c r="K985" s="15"/>
    </row>
    <row r="986" spans="1:11" ht="16" x14ac:dyDescent="0.2">
      <c r="A986" s="7">
        <v>985</v>
      </c>
      <c r="B986" s="8" t="s">
        <v>754</v>
      </c>
      <c r="C986" s="8" t="s">
        <v>349</v>
      </c>
      <c r="D986" s="9" t="s">
        <v>195</v>
      </c>
      <c r="E986" s="13">
        <v>750.6</v>
      </c>
      <c r="F986" s="11">
        <v>0.03</v>
      </c>
      <c r="G986" s="12">
        <v>0</v>
      </c>
      <c r="H986" s="13">
        <v>6</v>
      </c>
      <c r="I986" s="13"/>
      <c r="J986" s="14">
        <v>-22.3</v>
      </c>
      <c r="K986" s="15"/>
    </row>
    <row r="987" spans="1:11" ht="16" x14ac:dyDescent="0.2">
      <c r="A987" s="7">
        <v>986</v>
      </c>
      <c r="B987" s="8" t="s">
        <v>1356</v>
      </c>
      <c r="C987" s="8" t="s">
        <v>367</v>
      </c>
      <c r="D987" s="9" t="s">
        <v>196</v>
      </c>
      <c r="E987" s="13"/>
      <c r="F987" s="13"/>
      <c r="G987" s="16"/>
      <c r="H987" s="13"/>
      <c r="I987" s="13">
        <v>89</v>
      </c>
      <c r="J987" s="14">
        <v>-22.3</v>
      </c>
      <c r="K987" s="15"/>
    </row>
    <row r="988" spans="1:11" ht="16" x14ac:dyDescent="0.2">
      <c r="A988" s="7">
        <v>987</v>
      </c>
      <c r="B988" s="8" t="s">
        <v>875</v>
      </c>
      <c r="C988" s="8" t="s">
        <v>316</v>
      </c>
      <c r="D988" s="9" t="s">
        <v>195</v>
      </c>
      <c r="E988" s="13"/>
      <c r="F988" s="13"/>
      <c r="G988" s="16"/>
      <c r="H988" s="13">
        <v>18</v>
      </c>
      <c r="I988" s="13"/>
      <c r="J988" s="14">
        <v>-22.3</v>
      </c>
      <c r="K988" s="15"/>
    </row>
    <row r="989" spans="1:11" ht="16" x14ac:dyDescent="0.2">
      <c r="A989" s="7">
        <v>988</v>
      </c>
      <c r="B989" s="8" t="s">
        <v>876</v>
      </c>
      <c r="C989" s="9"/>
      <c r="D989" s="9" t="s">
        <v>877</v>
      </c>
      <c r="E989" s="13"/>
      <c r="F989" s="13"/>
      <c r="G989" s="16"/>
      <c r="H989" s="13">
        <v>57</v>
      </c>
      <c r="I989" s="13"/>
      <c r="J989" s="14">
        <v>-22.4</v>
      </c>
      <c r="K989" s="15"/>
    </row>
    <row r="990" spans="1:11" ht="16" x14ac:dyDescent="0.2">
      <c r="A990" s="7">
        <v>989</v>
      </c>
      <c r="B990" s="8" t="s">
        <v>878</v>
      </c>
      <c r="C990" s="8" t="s">
        <v>346</v>
      </c>
      <c r="D990" s="9" t="s">
        <v>645</v>
      </c>
      <c r="E990" s="13"/>
      <c r="F990" s="13"/>
      <c r="G990" s="16"/>
      <c r="H990" s="13">
        <v>48</v>
      </c>
      <c r="I990" s="13"/>
      <c r="J990" s="14">
        <v>-22.4</v>
      </c>
      <c r="K990" s="15"/>
    </row>
    <row r="991" spans="1:11" ht="16" x14ac:dyDescent="0.2">
      <c r="A991" s="7">
        <v>990</v>
      </c>
      <c r="B991" s="8" t="s">
        <v>879</v>
      </c>
      <c r="C991" s="8" t="s">
        <v>319</v>
      </c>
      <c r="D991" s="9" t="s">
        <v>195</v>
      </c>
      <c r="E991" s="13"/>
      <c r="F991" s="11">
        <v>0.01</v>
      </c>
      <c r="G991" s="12">
        <v>0</v>
      </c>
      <c r="H991" s="13">
        <v>5</v>
      </c>
      <c r="I991" s="13"/>
      <c r="J991" s="14">
        <v>-22.4</v>
      </c>
      <c r="K991" s="15"/>
    </row>
    <row r="992" spans="1:11" ht="16" x14ac:dyDescent="0.2">
      <c r="A992" s="7">
        <v>991</v>
      </c>
      <c r="B992" s="8" t="s">
        <v>667</v>
      </c>
      <c r="C992" s="8" t="s">
        <v>308</v>
      </c>
      <c r="D992" s="9" t="s">
        <v>193</v>
      </c>
      <c r="E992" s="13">
        <v>722.3</v>
      </c>
      <c r="F992" s="11">
        <v>0.35</v>
      </c>
      <c r="G992" s="12">
        <v>0</v>
      </c>
      <c r="H992" s="13">
        <v>11</v>
      </c>
      <c r="I992" s="13"/>
      <c r="J992" s="14">
        <v>-22.4</v>
      </c>
      <c r="K992" s="15"/>
    </row>
    <row r="993" spans="1:11" ht="16" x14ac:dyDescent="0.2">
      <c r="A993" s="7">
        <v>992</v>
      </c>
      <c r="B993" s="8" t="s">
        <v>880</v>
      </c>
      <c r="C993" s="9"/>
      <c r="D993" s="9" t="s">
        <v>309</v>
      </c>
      <c r="E993" s="13"/>
      <c r="F993" s="13"/>
      <c r="G993" s="16"/>
      <c r="H993" s="13">
        <v>63</v>
      </c>
      <c r="I993" s="13"/>
      <c r="J993" s="14">
        <v>-22.4</v>
      </c>
      <c r="K993" s="15"/>
    </row>
    <row r="994" spans="1:11" ht="16" x14ac:dyDescent="0.2">
      <c r="A994" s="7">
        <v>993</v>
      </c>
      <c r="B994" s="8" t="s">
        <v>587</v>
      </c>
      <c r="C994" s="8" t="s">
        <v>325</v>
      </c>
      <c r="D994" s="9" t="s">
        <v>192</v>
      </c>
      <c r="E994" s="13">
        <v>569</v>
      </c>
      <c r="F994" s="11">
        <v>1</v>
      </c>
      <c r="G994" s="12">
        <v>0.03</v>
      </c>
      <c r="H994" s="13">
        <v>114</v>
      </c>
      <c r="I994" s="13"/>
      <c r="J994" s="14">
        <v>-22.4</v>
      </c>
      <c r="K994" s="15"/>
    </row>
    <row r="995" spans="1:11" ht="16" x14ac:dyDescent="0.2">
      <c r="A995" s="7">
        <v>994</v>
      </c>
      <c r="B995" s="8" t="s">
        <v>881</v>
      </c>
      <c r="C995" s="8" t="s">
        <v>362</v>
      </c>
      <c r="D995" s="9" t="s">
        <v>194</v>
      </c>
      <c r="E995" s="13"/>
      <c r="F995" s="13"/>
      <c r="G995" s="16"/>
      <c r="H995" s="13">
        <v>65</v>
      </c>
      <c r="I995" s="13"/>
      <c r="J995" s="14">
        <v>-22.5</v>
      </c>
      <c r="K995" s="15"/>
    </row>
    <row r="996" spans="1:11" ht="16" x14ac:dyDescent="0.2">
      <c r="A996" s="7">
        <v>995</v>
      </c>
      <c r="B996" s="8" t="s">
        <v>882</v>
      </c>
      <c r="C996" s="9"/>
      <c r="D996" s="9" t="s">
        <v>309</v>
      </c>
      <c r="E996" s="13"/>
      <c r="F996" s="13"/>
      <c r="G996" s="16"/>
      <c r="H996" s="13">
        <v>10</v>
      </c>
      <c r="I996" s="13"/>
      <c r="J996" s="14">
        <v>-22.5</v>
      </c>
      <c r="K996" s="15"/>
    </row>
    <row r="997" spans="1:11" ht="16" x14ac:dyDescent="0.2">
      <c r="A997" s="7">
        <v>996</v>
      </c>
      <c r="B997" s="8" t="s">
        <v>883</v>
      </c>
      <c r="C997" s="8" t="s">
        <v>331</v>
      </c>
      <c r="D997" s="9" t="s">
        <v>309</v>
      </c>
      <c r="E997" s="13"/>
      <c r="F997" s="13"/>
      <c r="G997" s="16"/>
      <c r="H997" s="13">
        <v>8</v>
      </c>
      <c r="I997" s="13"/>
      <c r="J997" s="14">
        <v>-22.5</v>
      </c>
      <c r="K997" s="15"/>
    </row>
    <row r="998" spans="1:11" ht="16" x14ac:dyDescent="0.2">
      <c r="A998" s="7">
        <v>997</v>
      </c>
      <c r="B998" s="8" t="s">
        <v>884</v>
      </c>
      <c r="C998" s="8" t="s">
        <v>371</v>
      </c>
      <c r="D998" s="9" t="s">
        <v>195</v>
      </c>
      <c r="E998" s="13"/>
      <c r="F998" s="13"/>
      <c r="G998" s="16"/>
      <c r="H998" s="13">
        <v>14</v>
      </c>
      <c r="I998" s="13"/>
      <c r="J998" s="14">
        <v>-22.6</v>
      </c>
      <c r="K998" s="15"/>
    </row>
    <row r="999" spans="1:11" ht="16" x14ac:dyDescent="0.2">
      <c r="A999" s="7">
        <v>998</v>
      </c>
      <c r="B999" s="8" t="s">
        <v>885</v>
      </c>
      <c r="C999" s="8" t="s">
        <v>317</v>
      </c>
      <c r="D999" s="9" t="s">
        <v>194</v>
      </c>
      <c r="E999" s="13"/>
      <c r="F999" s="13"/>
      <c r="G999" s="16"/>
      <c r="H999" s="13">
        <v>57</v>
      </c>
      <c r="I999" s="13"/>
      <c r="J999" s="14">
        <v>-22.6</v>
      </c>
      <c r="K999" s="15"/>
    </row>
    <row r="1000" spans="1:11" ht="16" x14ac:dyDescent="0.2">
      <c r="A1000" s="7">
        <v>999</v>
      </c>
      <c r="B1000" s="8" t="s">
        <v>664</v>
      </c>
      <c r="C1000" s="8" t="s">
        <v>354</v>
      </c>
      <c r="D1000" s="9" t="s">
        <v>512</v>
      </c>
      <c r="E1000" s="13">
        <v>706.3</v>
      </c>
      <c r="F1000" s="11">
        <v>0.45</v>
      </c>
      <c r="G1000" s="12">
        <v>0</v>
      </c>
      <c r="H1000" s="13">
        <v>81</v>
      </c>
      <c r="I1000" s="13"/>
      <c r="J1000" s="14">
        <v>-22.6</v>
      </c>
      <c r="K1000" s="15"/>
    </row>
    <row r="1001" spans="1:11" ht="16" x14ac:dyDescent="0.2">
      <c r="A1001" s="7">
        <v>1000</v>
      </c>
      <c r="B1001" s="8" t="s">
        <v>886</v>
      </c>
      <c r="C1001" s="9"/>
      <c r="D1001" s="9" t="s">
        <v>359</v>
      </c>
      <c r="E1001" s="13"/>
      <c r="F1001" s="11">
        <v>0.01</v>
      </c>
      <c r="G1001" s="12">
        <v>0</v>
      </c>
      <c r="H1001" s="13">
        <v>30</v>
      </c>
      <c r="I1001" s="13"/>
      <c r="J1001" s="14">
        <v>-22.6</v>
      </c>
      <c r="K1001" s="15"/>
    </row>
    <row r="1002" spans="1:11" ht="16" x14ac:dyDescent="0.2">
      <c r="A1002" s="7">
        <v>1001</v>
      </c>
      <c r="B1002" s="8" t="s">
        <v>887</v>
      </c>
      <c r="C1002" s="8" t="s">
        <v>307</v>
      </c>
      <c r="D1002" s="9" t="s">
        <v>195</v>
      </c>
      <c r="E1002" s="13"/>
      <c r="F1002" s="11">
        <v>0.03</v>
      </c>
      <c r="G1002" s="12">
        <v>0</v>
      </c>
      <c r="H1002" s="13">
        <v>19</v>
      </c>
      <c r="I1002" s="13"/>
      <c r="J1002" s="14">
        <v>-22.7</v>
      </c>
      <c r="K1002" s="15"/>
    </row>
    <row r="1003" spans="1:11" ht="16" x14ac:dyDescent="0.2">
      <c r="A1003" s="7">
        <v>1002</v>
      </c>
      <c r="B1003" s="8" t="s">
        <v>888</v>
      </c>
      <c r="C1003" s="8" t="s">
        <v>348</v>
      </c>
      <c r="D1003" s="9" t="s">
        <v>328</v>
      </c>
      <c r="E1003" s="13"/>
      <c r="F1003" s="13"/>
      <c r="G1003" s="16"/>
      <c r="H1003" s="13">
        <v>10</v>
      </c>
      <c r="I1003" s="13"/>
      <c r="J1003" s="14">
        <v>-22.7</v>
      </c>
      <c r="K1003" s="15"/>
    </row>
    <row r="1004" spans="1:11" ht="16" x14ac:dyDescent="0.2">
      <c r="A1004" s="7">
        <v>1003</v>
      </c>
      <c r="B1004" s="8" t="s">
        <v>607</v>
      </c>
      <c r="C1004" s="8" t="s">
        <v>348</v>
      </c>
      <c r="D1004" s="9" t="s">
        <v>475</v>
      </c>
      <c r="E1004" s="13">
        <v>615.5</v>
      </c>
      <c r="F1004" s="11">
        <v>0.99</v>
      </c>
      <c r="G1004" s="12">
        <v>0</v>
      </c>
      <c r="H1004" s="13">
        <v>52</v>
      </c>
      <c r="I1004" s="13"/>
      <c r="J1004" s="14">
        <v>-22.7</v>
      </c>
      <c r="K1004" s="15"/>
    </row>
    <row r="1005" spans="1:11" ht="16" x14ac:dyDescent="0.2">
      <c r="A1005" s="7">
        <v>1004</v>
      </c>
      <c r="B1005" s="8" t="s">
        <v>889</v>
      </c>
      <c r="C1005" s="9"/>
      <c r="D1005" s="9" t="s">
        <v>193</v>
      </c>
      <c r="E1005" s="13"/>
      <c r="F1005" s="13"/>
      <c r="G1005" s="16"/>
      <c r="H1005" s="13">
        <v>10</v>
      </c>
      <c r="I1005" s="13"/>
      <c r="J1005" s="14">
        <v>-22.8</v>
      </c>
      <c r="K1005" s="15"/>
    </row>
    <row r="1006" spans="1:11" ht="16" x14ac:dyDescent="0.2">
      <c r="A1006" s="7">
        <v>1005</v>
      </c>
      <c r="B1006" s="8" t="s">
        <v>890</v>
      </c>
      <c r="C1006" s="8" t="s">
        <v>319</v>
      </c>
      <c r="D1006" s="9" t="s">
        <v>195</v>
      </c>
      <c r="E1006" s="13"/>
      <c r="F1006" s="13"/>
      <c r="G1006" s="16"/>
      <c r="H1006" s="13">
        <v>9</v>
      </c>
      <c r="I1006" s="13"/>
      <c r="J1006" s="14">
        <v>-22.8</v>
      </c>
      <c r="K1006" s="15"/>
    </row>
    <row r="1007" spans="1:11" ht="16" x14ac:dyDescent="0.2">
      <c r="A1007" s="7">
        <v>1006</v>
      </c>
      <c r="B1007" s="8" t="s">
        <v>891</v>
      </c>
      <c r="C1007" s="9"/>
      <c r="D1007" s="9" t="s">
        <v>309</v>
      </c>
      <c r="E1007" s="13"/>
      <c r="F1007" s="13"/>
      <c r="G1007" s="16"/>
      <c r="H1007" s="13">
        <v>32</v>
      </c>
      <c r="I1007" s="13"/>
      <c r="J1007" s="14">
        <v>-22.8</v>
      </c>
      <c r="K1007" s="15"/>
    </row>
    <row r="1008" spans="1:11" ht="16" x14ac:dyDescent="0.2">
      <c r="A1008" s="7">
        <v>1007</v>
      </c>
      <c r="B1008" s="8" t="s">
        <v>892</v>
      </c>
      <c r="C1008" s="8" t="s">
        <v>323</v>
      </c>
      <c r="D1008" s="9" t="s">
        <v>195</v>
      </c>
      <c r="E1008" s="13"/>
      <c r="F1008" s="11">
        <v>0.03</v>
      </c>
      <c r="G1008" s="12">
        <v>0</v>
      </c>
      <c r="H1008" s="13">
        <v>8</v>
      </c>
      <c r="I1008" s="13"/>
      <c r="J1008" s="14">
        <v>-22.8</v>
      </c>
      <c r="K1008" s="15"/>
    </row>
    <row r="1009" spans="1:11" ht="16" x14ac:dyDescent="0.2">
      <c r="A1009" s="7">
        <v>1008</v>
      </c>
      <c r="B1009" s="8" t="s">
        <v>893</v>
      </c>
      <c r="C1009" s="8" t="s">
        <v>337</v>
      </c>
      <c r="D1009" s="9" t="s">
        <v>578</v>
      </c>
      <c r="E1009" s="13"/>
      <c r="F1009" s="13"/>
      <c r="G1009" s="16"/>
      <c r="H1009" s="13">
        <v>14</v>
      </c>
      <c r="I1009" s="13"/>
      <c r="J1009" s="14">
        <v>-22.8</v>
      </c>
      <c r="K1009" s="15"/>
    </row>
    <row r="1010" spans="1:11" ht="16" x14ac:dyDescent="0.2">
      <c r="A1010" s="7">
        <v>1009</v>
      </c>
      <c r="B1010" s="8" t="s">
        <v>894</v>
      </c>
      <c r="C1010" s="8" t="s">
        <v>319</v>
      </c>
      <c r="D1010" s="9" t="s">
        <v>424</v>
      </c>
      <c r="E1010" s="13"/>
      <c r="F1010" s="11">
        <v>0.01</v>
      </c>
      <c r="G1010" s="12">
        <v>0</v>
      </c>
      <c r="H1010" s="13">
        <v>106</v>
      </c>
      <c r="I1010" s="13"/>
      <c r="J1010" s="14">
        <v>-22.8</v>
      </c>
      <c r="K1010" s="15"/>
    </row>
    <row r="1011" spans="1:11" ht="16" x14ac:dyDescent="0.2">
      <c r="A1011" s="7">
        <v>1010</v>
      </c>
      <c r="B1011" s="8" t="s">
        <v>673</v>
      </c>
      <c r="C1011" s="8" t="s">
        <v>337</v>
      </c>
      <c r="D1011" s="9" t="s">
        <v>306</v>
      </c>
      <c r="E1011" s="13">
        <v>728.8</v>
      </c>
      <c r="F1011" s="11">
        <v>0.57999999999999996</v>
      </c>
      <c r="G1011" s="12">
        <v>0.01</v>
      </c>
      <c r="H1011" s="13">
        <v>6</v>
      </c>
      <c r="I1011" s="13"/>
      <c r="J1011" s="14">
        <v>-22.8</v>
      </c>
      <c r="K1011" s="15"/>
    </row>
    <row r="1012" spans="1:11" ht="16" x14ac:dyDescent="0.2">
      <c r="A1012" s="7">
        <v>1011</v>
      </c>
      <c r="B1012" s="8" t="s">
        <v>716</v>
      </c>
      <c r="C1012" s="8" t="s">
        <v>323</v>
      </c>
      <c r="D1012" s="9" t="s">
        <v>195</v>
      </c>
      <c r="E1012" s="13">
        <v>747.2</v>
      </c>
      <c r="F1012" s="11">
        <v>7.0000000000000007E-2</v>
      </c>
      <c r="G1012" s="12">
        <v>0</v>
      </c>
      <c r="H1012" s="13">
        <v>21</v>
      </c>
      <c r="I1012" s="13"/>
      <c r="J1012" s="14">
        <v>-22.8</v>
      </c>
      <c r="K1012" s="15"/>
    </row>
    <row r="1013" spans="1:11" ht="16" x14ac:dyDescent="0.2">
      <c r="A1013" s="7">
        <v>1012</v>
      </c>
      <c r="B1013" s="8" t="s">
        <v>895</v>
      </c>
      <c r="C1013" s="9"/>
      <c r="D1013" s="9" t="s">
        <v>352</v>
      </c>
      <c r="E1013" s="13"/>
      <c r="F1013" s="13"/>
      <c r="G1013" s="16"/>
      <c r="H1013" s="13">
        <v>28</v>
      </c>
      <c r="I1013" s="13"/>
      <c r="J1013" s="14">
        <v>-22.9</v>
      </c>
      <c r="K1013" s="15"/>
    </row>
    <row r="1014" spans="1:11" ht="16" x14ac:dyDescent="0.2">
      <c r="A1014" s="7">
        <v>1013</v>
      </c>
      <c r="B1014" s="8" t="s">
        <v>1357</v>
      </c>
      <c r="C1014" s="8" t="s">
        <v>334</v>
      </c>
      <c r="D1014" s="9" t="s">
        <v>197</v>
      </c>
      <c r="E1014" s="13">
        <v>748.6</v>
      </c>
      <c r="F1014" s="11">
        <v>0.01</v>
      </c>
      <c r="G1014" s="12">
        <v>0</v>
      </c>
      <c r="H1014" s="13"/>
      <c r="I1014" s="13">
        <v>59.1</v>
      </c>
      <c r="J1014" s="14">
        <v>-22.9</v>
      </c>
      <c r="K1014" s="15"/>
    </row>
    <row r="1015" spans="1:11" ht="16" x14ac:dyDescent="0.2">
      <c r="A1015" s="7">
        <v>1014</v>
      </c>
      <c r="B1015" s="8" t="s">
        <v>896</v>
      </c>
      <c r="C1015" s="8" t="s">
        <v>354</v>
      </c>
      <c r="D1015" s="9" t="s">
        <v>321</v>
      </c>
      <c r="E1015" s="13"/>
      <c r="F1015" s="11">
        <v>0.01</v>
      </c>
      <c r="G1015" s="12">
        <v>0</v>
      </c>
      <c r="H1015" s="13">
        <v>37</v>
      </c>
      <c r="I1015" s="13"/>
      <c r="J1015" s="14">
        <v>-22.9</v>
      </c>
      <c r="K1015" s="15"/>
    </row>
    <row r="1016" spans="1:11" ht="16" x14ac:dyDescent="0.2">
      <c r="A1016" s="7">
        <v>1015</v>
      </c>
      <c r="B1016" s="8" t="s">
        <v>897</v>
      </c>
      <c r="C1016" s="8" t="s">
        <v>322</v>
      </c>
      <c r="D1016" s="9" t="s">
        <v>195</v>
      </c>
      <c r="E1016" s="13"/>
      <c r="F1016" s="13"/>
      <c r="G1016" s="16"/>
      <c r="H1016" s="13">
        <v>5</v>
      </c>
      <c r="I1016" s="13"/>
      <c r="J1016" s="14">
        <v>-23</v>
      </c>
      <c r="K1016" s="15"/>
    </row>
    <row r="1017" spans="1:11" ht="16" x14ac:dyDescent="0.2">
      <c r="A1017" s="7">
        <v>1016</v>
      </c>
      <c r="B1017" s="8" t="s">
        <v>696</v>
      </c>
      <c r="C1017" s="8" t="s">
        <v>307</v>
      </c>
      <c r="D1017" s="9" t="s">
        <v>195</v>
      </c>
      <c r="E1017" s="13">
        <v>741.4</v>
      </c>
      <c r="F1017" s="11">
        <v>0.17</v>
      </c>
      <c r="G1017" s="12">
        <v>0</v>
      </c>
      <c r="H1017" s="13">
        <v>28</v>
      </c>
      <c r="I1017" s="13"/>
      <c r="J1017" s="14">
        <v>-23</v>
      </c>
      <c r="K1017" s="15"/>
    </row>
    <row r="1018" spans="1:11" ht="16" x14ac:dyDescent="0.2">
      <c r="A1018" s="7">
        <v>1017</v>
      </c>
      <c r="B1018" s="8" t="s">
        <v>898</v>
      </c>
      <c r="C1018" s="8" t="s">
        <v>335</v>
      </c>
      <c r="D1018" s="9" t="s">
        <v>309</v>
      </c>
      <c r="E1018" s="13"/>
      <c r="F1018" s="13"/>
      <c r="G1018" s="16"/>
      <c r="H1018" s="13">
        <v>16</v>
      </c>
      <c r="I1018" s="13"/>
      <c r="J1018" s="14">
        <v>-23</v>
      </c>
      <c r="K1018" s="15"/>
    </row>
    <row r="1019" spans="1:11" ht="16" x14ac:dyDescent="0.2">
      <c r="A1019" s="7">
        <v>1018</v>
      </c>
      <c r="B1019" s="8" t="s">
        <v>899</v>
      </c>
      <c r="C1019" s="8" t="s">
        <v>308</v>
      </c>
      <c r="D1019" s="9" t="s">
        <v>726</v>
      </c>
      <c r="E1019" s="13"/>
      <c r="F1019" s="13"/>
      <c r="G1019" s="16"/>
      <c r="H1019" s="13">
        <v>67</v>
      </c>
      <c r="I1019" s="13"/>
      <c r="J1019" s="14">
        <v>-23</v>
      </c>
      <c r="K1019" s="15"/>
    </row>
    <row r="1020" spans="1:11" ht="16" x14ac:dyDescent="0.2">
      <c r="A1020" s="7">
        <v>1019</v>
      </c>
      <c r="B1020" s="8" t="s">
        <v>900</v>
      </c>
      <c r="C1020" s="9"/>
      <c r="D1020" s="9" t="s">
        <v>424</v>
      </c>
      <c r="E1020" s="13"/>
      <c r="F1020" s="13"/>
      <c r="G1020" s="16"/>
      <c r="H1020" s="13">
        <v>39</v>
      </c>
      <c r="I1020" s="13"/>
      <c r="J1020" s="14">
        <v>-23.1</v>
      </c>
      <c r="K1020" s="15"/>
    </row>
    <row r="1021" spans="1:11" ht="16" x14ac:dyDescent="0.2">
      <c r="A1021" s="7">
        <v>1020</v>
      </c>
      <c r="B1021" s="8" t="s">
        <v>901</v>
      </c>
      <c r="C1021" s="8" t="s">
        <v>308</v>
      </c>
      <c r="D1021" s="9" t="s">
        <v>902</v>
      </c>
      <c r="E1021" s="13"/>
      <c r="F1021" s="13"/>
      <c r="G1021" s="16"/>
      <c r="H1021" s="13">
        <v>64</v>
      </c>
      <c r="I1021" s="13"/>
      <c r="J1021" s="14">
        <v>-23.1</v>
      </c>
      <c r="K1021" s="15"/>
    </row>
    <row r="1022" spans="1:11" ht="16" x14ac:dyDescent="0.2">
      <c r="A1022" s="7">
        <v>1021</v>
      </c>
      <c r="B1022" s="8" t="s">
        <v>650</v>
      </c>
      <c r="C1022" s="8" t="s">
        <v>315</v>
      </c>
      <c r="D1022" s="9" t="s">
        <v>195</v>
      </c>
      <c r="E1022" s="13">
        <v>690.1</v>
      </c>
      <c r="F1022" s="11">
        <v>0.56999999999999995</v>
      </c>
      <c r="G1022" s="12">
        <v>0.01</v>
      </c>
      <c r="H1022" s="13">
        <v>10</v>
      </c>
      <c r="I1022" s="13"/>
      <c r="J1022" s="14">
        <v>-23.1</v>
      </c>
      <c r="K1022" s="15"/>
    </row>
    <row r="1023" spans="1:11" ht="16" x14ac:dyDescent="0.2">
      <c r="A1023" s="7">
        <v>1022</v>
      </c>
      <c r="B1023" s="8" t="s">
        <v>903</v>
      </c>
      <c r="C1023" s="8" t="s">
        <v>323</v>
      </c>
      <c r="D1023" s="9" t="s">
        <v>309</v>
      </c>
      <c r="E1023" s="13"/>
      <c r="F1023" s="13"/>
      <c r="G1023" s="16"/>
      <c r="H1023" s="13">
        <v>8</v>
      </c>
      <c r="I1023" s="13"/>
      <c r="J1023" s="14">
        <v>-23.2</v>
      </c>
      <c r="K1023" s="15"/>
    </row>
    <row r="1024" spans="1:11" ht="16" x14ac:dyDescent="0.2">
      <c r="A1024" s="7">
        <v>1023</v>
      </c>
      <c r="B1024" s="8" t="s">
        <v>1358</v>
      </c>
      <c r="C1024" s="9"/>
      <c r="D1024" s="9" t="s">
        <v>196</v>
      </c>
      <c r="E1024" s="13">
        <v>750</v>
      </c>
      <c r="F1024" s="11">
        <v>0.03</v>
      </c>
      <c r="G1024" s="12">
        <v>0</v>
      </c>
      <c r="H1024" s="13"/>
      <c r="I1024" s="13">
        <v>174.1</v>
      </c>
      <c r="J1024" s="14">
        <v>-23.2</v>
      </c>
      <c r="K1024" s="15"/>
    </row>
    <row r="1025" spans="1:11" ht="16" x14ac:dyDescent="0.2">
      <c r="A1025" s="7">
        <v>1024</v>
      </c>
      <c r="B1025" s="8" t="s">
        <v>631</v>
      </c>
      <c r="C1025" s="8" t="s">
        <v>323</v>
      </c>
      <c r="D1025" s="9" t="s">
        <v>352</v>
      </c>
      <c r="E1025" s="13">
        <v>657.7</v>
      </c>
      <c r="F1025" s="11">
        <v>0.93</v>
      </c>
      <c r="G1025" s="12">
        <v>0.01</v>
      </c>
      <c r="H1025" s="13">
        <v>46</v>
      </c>
      <c r="I1025" s="13"/>
      <c r="J1025" s="14">
        <v>-23.2</v>
      </c>
      <c r="K1025" s="15"/>
    </row>
    <row r="1026" spans="1:11" ht="16" x14ac:dyDescent="0.2">
      <c r="A1026" s="7">
        <v>1025</v>
      </c>
      <c r="B1026" s="8" t="s">
        <v>904</v>
      </c>
      <c r="C1026" s="9"/>
      <c r="D1026" s="9" t="s">
        <v>195</v>
      </c>
      <c r="E1026" s="13"/>
      <c r="F1026" s="13"/>
      <c r="G1026" s="16"/>
      <c r="H1026" s="13">
        <v>5</v>
      </c>
      <c r="I1026" s="13"/>
      <c r="J1026" s="14">
        <v>-23.2</v>
      </c>
      <c r="K1026" s="15"/>
    </row>
    <row r="1027" spans="1:11" ht="16" x14ac:dyDescent="0.2">
      <c r="A1027" s="7">
        <v>1026</v>
      </c>
      <c r="B1027" s="8" t="s">
        <v>905</v>
      </c>
      <c r="C1027" s="8" t="s">
        <v>307</v>
      </c>
      <c r="D1027" s="9" t="s">
        <v>195</v>
      </c>
      <c r="E1027" s="13"/>
      <c r="F1027" s="13"/>
      <c r="G1027" s="16"/>
      <c r="H1027" s="13">
        <v>5</v>
      </c>
      <c r="I1027" s="13"/>
      <c r="J1027" s="14">
        <v>-23.2</v>
      </c>
      <c r="K1027" s="15"/>
    </row>
    <row r="1028" spans="1:11" ht="16" x14ac:dyDescent="0.2">
      <c r="A1028" s="7">
        <v>1027</v>
      </c>
      <c r="B1028" s="8" t="s">
        <v>906</v>
      </c>
      <c r="C1028" s="9"/>
      <c r="D1028" s="9" t="s">
        <v>306</v>
      </c>
      <c r="E1028" s="13"/>
      <c r="F1028" s="13"/>
      <c r="G1028" s="16"/>
      <c r="H1028" s="13">
        <v>79</v>
      </c>
      <c r="I1028" s="13"/>
      <c r="J1028" s="14">
        <v>-23.2</v>
      </c>
      <c r="K1028" s="15"/>
    </row>
    <row r="1029" spans="1:11" ht="16" x14ac:dyDescent="0.2">
      <c r="A1029" s="7">
        <v>1028</v>
      </c>
      <c r="B1029" s="8" t="s">
        <v>907</v>
      </c>
      <c r="C1029" s="8" t="s">
        <v>367</v>
      </c>
      <c r="D1029" s="9" t="s">
        <v>309</v>
      </c>
      <c r="E1029" s="13"/>
      <c r="F1029" s="13"/>
      <c r="G1029" s="16"/>
      <c r="H1029" s="13">
        <v>12</v>
      </c>
      <c r="I1029" s="13"/>
      <c r="J1029" s="14">
        <v>-23.3</v>
      </c>
      <c r="K1029" s="15"/>
    </row>
    <row r="1030" spans="1:11" ht="16" x14ac:dyDescent="0.2">
      <c r="A1030" s="7">
        <v>1029</v>
      </c>
      <c r="B1030" s="8" t="s">
        <v>908</v>
      </c>
      <c r="C1030" s="8" t="s">
        <v>314</v>
      </c>
      <c r="D1030" s="9" t="s">
        <v>808</v>
      </c>
      <c r="E1030" s="13"/>
      <c r="F1030" s="13"/>
      <c r="G1030" s="16"/>
      <c r="H1030" s="13">
        <v>31</v>
      </c>
      <c r="I1030" s="13"/>
      <c r="J1030" s="14">
        <v>-23.3</v>
      </c>
      <c r="K1030" s="15"/>
    </row>
    <row r="1031" spans="1:11" ht="16" x14ac:dyDescent="0.2">
      <c r="A1031" s="7">
        <v>1030</v>
      </c>
      <c r="B1031" s="8" t="s">
        <v>909</v>
      </c>
      <c r="C1031" s="9"/>
      <c r="D1031" s="9" t="s">
        <v>475</v>
      </c>
      <c r="E1031" s="13"/>
      <c r="F1031" s="13"/>
      <c r="G1031" s="16"/>
      <c r="H1031" s="13">
        <v>37</v>
      </c>
      <c r="I1031" s="13"/>
      <c r="J1031" s="14">
        <v>-23.3</v>
      </c>
      <c r="K1031" s="15"/>
    </row>
    <row r="1032" spans="1:11" ht="16" x14ac:dyDescent="0.2">
      <c r="A1032" s="7">
        <v>1031</v>
      </c>
      <c r="B1032" s="8" t="s">
        <v>910</v>
      </c>
      <c r="C1032" s="8" t="s">
        <v>314</v>
      </c>
      <c r="D1032" s="9" t="s">
        <v>192</v>
      </c>
      <c r="E1032" s="13"/>
      <c r="F1032" s="13"/>
      <c r="G1032" s="16"/>
      <c r="H1032" s="13">
        <v>25</v>
      </c>
      <c r="I1032" s="13"/>
      <c r="J1032" s="14">
        <v>-23.3</v>
      </c>
      <c r="K1032" s="15"/>
    </row>
    <row r="1033" spans="1:11" ht="16" x14ac:dyDescent="0.2">
      <c r="A1033" s="7">
        <v>1032</v>
      </c>
      <c r="B1033" s="8" t="s">
        <v>911</v>
      </c>
      <c r="C1033" s="8" t="s">
        <v>348</v>
      </c>
      <c r="D1033" s="9" t="s">
        <v>645</v>
      </c>
      <c r="E1033" s="13"/>
      <c r="F1033" s="11">
        <v>0.01</v>
      </c>
      <c r="G1033" s="12">
        <v>0</v>
      </c>
      <c r="H1033" s="13">
        <v>79</v>
      </c>
      <c r="I1033" s="13"/>
      <c r="J1033" s="14">
        <v>-23.3</v>
      </c>
      <c r="K1033" s="15"/>
    </row>
    <row r="1034" spans="1:11" ht="16" x14ac:dyDescent="0.2">
      <c r="A1034" s="7">
        <v>1033</v>
      </c>
      <c r="B1034" s="8" t="s">
        <v>762</v>
      </c>
      <c r="C1034" s="8" t="s">
        <v>335</v>
      </c>
      <c r="D1034" s="9" t="s">
        <v>306</v>
      </c>
      <c r="E1034" s="13">
        <v>750.9</v>
      </c>
      <c r="F1034" s="11">
        <v>7.0000000000000007E-2</v>
      </c>
      <c r="G1034" s="12">
        <v>0.01</v>
      </c>
      <c r="H1034" s="13">
        <v>7</v>
      </c>
      <c r="I1034" s="13"/>
      <c r="J1034" s="14">
        <v>-23.3</v>
      </c>
      <c r="K1034" s="15"/>
    </row>
    <row r="1035" spans="1:11" ht="16" x14ac:dyDescent="0.2">
      <c r="A1035" s="7">
        <v>1034</v>
      </c>
      <c r="B1035" s="8" t="s">
        <v>912</v>
      </c>
      <c r="C1035" s="8" t="s">
        <v>385</v>
      </c>
      <c r="D1035" s="9" t="s">
        <v>913</v>
      </c>
      <c r="E1035" s="13"/>
      <c r="F1035" s="11">
        <v>0.06</v>
      </c>
      <c r="G1035" s="12">
        <v>0</v>
      </c>
      <c r="H1035" s="13">
        <v>36</v>
      </c>
      <c r="I1035" s="13"/>
      <c r="J1035" s="14">
        <v>-23.3</v>
      </c>
      <c r="K1035" s="15"/>
    </row>
    <row r="1036" spans="1:11" ht="16" x14ac:dyDescent="0.2">
      <c r="A1036" s="7">
        <v>1035</v>
      </c>
      <c r="B1036" s="8" t="s">
        <v>585</v>
      </c>
      <c r="C1036" s="8" t="s">
        <v>322</v>
      </c>
      <c r="D1036" s="9" t="s">
        <v>321</v>
      </c>
      <c r="E1036" s="13">
        <v>559.29999999999995</v>
      </c>
      <c r="F1036" s="11">
        <v>1</v>
      </c>
      <c r="G1036" s="12">
        <v>0.02</v>
      </c>
      <c r="H1036" s="13">
        <v>57</v>
      </c>
      <c r="I1036" s="13"/>
      <c r="J1036" s="14">
        <v>-23.3</v>
      </c>
      <c r="K1036" s="15"/>
    </row>
    <row r="1037" spans="1:11" ht="16" x14ac:dyDescent="0.2">
      <c r="A1037" s="7">
        <v>1036</v>
      </c>
      <c r="B1037" s="8" t="s">
        <v>914</v>
      </c>
      <c r="C1037" s="8" t="s">
        <v>342</v>
      </c>
      <c r="D1037" s="9" t="s">
        <v>312</v>
      </c>
      <c r="E1037" s="13"/>
      <c r="F1037" s="13"/>
      <c r="G1037" s="16"/>
      <c r="H1037" s="13">
        <v>8</v>
      </c>
      <c r="I1037" s="13"/>
      <c r="J1037" s="14">
        <v>-23.4</v>
      </c>
      <c r="K1037" s="15"/>
    </row>
    <row r="1038" spans="1:11" ht="16" x14ac:dyDescent="0.2">
      <c r="A1038" s="7">
        <v>1037</v>
      </c>
      <c r="B1038" s="8" t="s">
        <v>915</v>
      </c>
      <c r="C1038" s="9"/>
      <c r="D1038" s="9" t="s">
        <v>328</v>
      </c>
      <c r="E1038" s="13"/>
      <c r="F1038" s="13"/>
      <c r="G1038" s="16"/>
      <c r="H1038" s="13">
        <v>5</v>
      </c>
      <c r="I1038" s="13"/>
      <c r="J1038" s="14">
        <v>-23.5</v>
      </c>
      <c r="K1038" s="15"/>
    </row>
    <row r="1039" spans="1:11" ht="16" x14ac:dyDescent="0.2">
      <c r="A1039" s="7">
        <v>1038</v>
      </c>
      <c r="B1039" s="8" t="s">
        <v>916</v>
      </c>
      <c r="C1039" s="8" t="s">
        <v>349</v>
      </c>
      <c r="D1039" s="9" t="s">
        <v>917</v>
      </c>
      <c r="E1039" s="13"/>
      <c r="F1039" s="11">
        <v>0.01</v>
      </c>
      <c r="G1039" s="12">
        <v>0</v>
      </c>
      <c r="H1039" s="13">
        <v>27</v>
      </c>
      <c r="I1039" s="13"/>
      <c r="J1039" s="14">
        <v>-23.5</v>
      </c>
      <c r="K1039" s="15"/>
    </row>
    <row r="1040" spans="1:11" ht="16" x14ac:dyDescent="0.2">
      <c r="A1040" s="7">
        <v>1039</v>
      </c>
      <c r="B1040" s="8" t="s">
        <v>918</v>
      </c>
      <c r="C1040" s="9"/>
      <c r="D1040" s="9" t="s">
        <v>192</v>
      </c>
      <c r="E1040" s="13"/>
      <c r="F1040" s="13"/>
      <c r="G1040" s="16"/>
      <c r="H1040" s="13">
        <v>9</v>
      </c>
      <c r="I1040" s="13"/>
      <c r="J1040" s="14">
        <v>-23.5</v>
      </c>
      <c r="K1040" s="15"/>
    </row>
    <row r="1041" spans="1:11" ht="16" x14ac:dyDescent="0.2">
      <c r="A1041" s="7">
        <v>1040</v>
      </c>
      <c r="B1041" s="8" t="s">
        <v>751</v>
      </c>
      <c r="C1041" s="8" t="s">
        <v>319</v>
      </c>
      <c r="D1041" s="9" t="s">
        <v>321</v>
      </c>
      <c r="E1041" s="13">
        <v>750.3</v>
      </c>
      <c r="F1041" s="11">
        <v>0.03</v>
      </c>
      <c r="G1041" s="12">
        <v>0</v>
      </c>
      <c r="H1041" s="13">
        <v>50</v>
      </c>
      <c r="I1041" s="13"/>
      <c r="J1041" s="14">
        <v>-23.6</v>
      </c>
      <c r="K1041" s="15"/>
    </row>
    <row r="1042" spans="1:11" ht="16" x14ac:dyDescent="0.2">
      <c r="A1042" s="7">
        <v>1041</v>
      </c>
      <c r="B1042" s="8" t="s">
        <v>919</v>
      </c>
      <c r="C1042" s="8" t="s">
        <v>367</v>
      </c>
      <c r="D1042" s="9" t="s">
        <v>512</v>
      </c>
      <c r="E1042" s="13"/>
      <c r="F1042" s="11">
        <v>0.01</v>
      </c>
      <c r="G1042" s="12">
        <v>0</v>
      </c>
      <c r="H1042" s="13">
        <v>59</v>
      </c>
      <c r="I1042" s="13"/>
      <c r="J1042" s="14">
        <v>-23.6</v>
      </c>
      <c r="K1042" s="15"/>
    </row>
    <row r="1043" spans="1:11" ht="16" x14ac:dyDescent="0.2">
      <c r="A1043" s="7">
        <v>1042</v>
      </c>
      <c r="B1043" s="8" t="s">
        <v>920</v>
      </c>
      <c r="C1043" s="8" t="s">
        <v>335</v>
      </c>
      <c r="D1043" s="9" t="s">
        <v>424</v>
      </c>
      <c r="E1043" s="13"/>
      <c r="F1043" s="13"/>
      <c r="G1043" s="16"/>
      <c r="H1043" s="13">
        <v>40</v>
      </c>
      <c r="I1043" s="13"/>
      <c r="J1043" s="14">
        <v>-23.6</v>
      </c>
      <c r="K1043" s="15"/>
    </row>
    <row r="1044" spans="1:11" ht="16" x14ac:dyDescent="0.2">
      <c r="A1044" s="7">
        <v>1043</v>
      </c>
      <c r="B1044" s="8" t="s">
        <v>921</v>
      </c>
      <c r="C1044" s="9"/>
      <c r="D1044" s="9" t="s">
        <v>922</v>
      </c>
      <c r="E1044" s="13"/>
      <c r="F1044" s="13"/>
      <c r="G1044" s="16"/>
      <c r="H1044" s="13">
        <v>80</v>
      </c>
      <c r="I1044" s="13"/>
      <c r="J1044" s="14">
        <v>-23.6</v>
      </c>
      <c r="K1044" s="15"/>
    </row>
    <row r="1045" spans="1:11" ht="16" x14ac:dyDescent="0.2">
      <c r="A1045" s="7">
        <v>1044</v>
      </c>
      <c r="B1045" s="8" t="s">
        <v>923</v>
      </c>
      <c r="C1045" s="8" t="s">
        <v>346</v>
      </c>
      <c r="D1045" s="9" t="s">
        <v>195</v>
      </c>
      <c r="E1045" s="13"/>
      <c r="F1045" s="13"/>
      <c r="G1045" s="16"/>
      <c r="H1045" s="13">
        <v>15</v>
      </c>
      <c r="I1045" s="13"/>
      <c r="J1045" s="14">
        <v>-23.6</v>
      </c>
      <c r="K1045" s="15"/>
    </row>
    <row r="1046" spans="1:11" ht="16" x14ac:dyDescent="0.2">
      <c r="A1046" s="7">
        <v>1045</v>
      </c>
      <c r="B1046" s="8" t="s">
        <v>752</v>
      </c>
      <c r="C1046" s="8" t="s">
        <v>350</v>
      </c>
      <c r="D1046" s="9" t="s">
        <v>191</v>
      </c>
      <c r="E1046" s="13">
        <v>750.3</v>
      </c>
      <c r="F1046" s="11">
        <v>0.02</v>
      </c>
      <c r="G1046" s="12">
        <v>0</v>
      </c>
      <c r="H1046" s="13">
        <v>93</v>
      </c>
      <c r="I1046" s="13"/>
      <c r="J1046" s="14">
        <v>-23.6</v>
      </c>
      <c r="K1046" s="15"/>
    </row>
    <row r="1047" spans="1:11" ht="16" x14ac:dyDescent="0.2">
      <c r="A1047" s="7">
        <v>1046</v>
      </c>
      <c r="B1047" s="8" t="s">
        <v>924</v>
      </c>
      <c r="C1047" s="8" t="s">
        <v>331</v>
      </c>
      <c r="D1047" s="9" t="s">
        <v>460</v>
      </c>
      <c r="E1047" s="13"/>
      <c r="F1047" s="13"/>
      <c r="G1047" s="16"/>
      <c r="H1047" s="13">
        <v>4</v>
      </c>
      <c r="I1047" s="13"/>
      <c r="J1047" s="14">
        <v>-23.6</v>
      </c>
      <c r="K1047" s="15"/>
    </row>
    <row r="1048" spans="1:11" ht="16" x14ac:dyDescent="0.2">
      <c r="A1048" s="7">
        <v>1047</v>
      </c>
      <c r="B1048" s="8" t="s">
        <v>657</v>
      </c>
      <c r="C1048" s="8" t="s">
        <v>319</v>
      </c>
      <c r="D1048" s="9" t="s">
        <v>191</v>
      </c>
      <c r="E1048" s="13">
        <v>701.9</v>
      </c>
      <c r="F1048" s="11">
        <v>0.61</v>
      </c>
      <c r="G1048" s="12">
        <v>0</v>
      </c>
      <c r="H1048" s="13">
        <v>49</v>
      </c>
      <c r="I1048" s="13"/>
      <c r="J1048" s="14">
        <v>-23.6</v>
      </c>
      <c r="K1048" s="15"/>
    </row>
    <row r="1049" spans="1:11" ht="16" x14ac:dyDescent="0.2">
      <c r="A1049" s="7">
        <v>1048</v>
      </c>
      <c r="B1049" s="8" t="s">
        <v>1359</v>
      </c>
      <c r="C1049" s="8" t="s">
        <v>326</v>
      </c>
      <c r="D1049" s="9" t="s">
        <v>196</v>
      </c>
      <c r="E1049" s="13">
        <v>749.9</v>
      </c>
      <c r="F1049" s="11">
        <v>0.03</v>
      </c>
      <c r="G1049" s="12">
        <v>0</v>
      </c>
      <c r="H1049" s="13"/>
      <c r="I1049" s="13">
        <v>83.1</v>
      </c>
      <c r="J1049" s="14">
        <v>-23.7</v>
      </c>
      <c r="K1049" s="15"/>
    </row>
    <row r="1050" spans="1:11" ht="16" x14ac:dyDescent="0.2">
      <c r="A1050" s="7">
        <v>1049</v>
      </c>
      <c r="B1050" s="8" t="s">
        <v>742</v>
      </c>
      <c r="C1050" s="8" t="s">
        <v>334</v>
      </c>
      <c r="D1050" s="9" t="s">
        <v>194</v>
      </c>
      <c r="E1050" s="13">
        <v>749.9</v>
      </c>
      <c r="F1050" s="11">
        <v>0.14000000000000001</v>
      </c>
      <c r="G1050" s="12">
        <v>0</v>
      </c>
      <c r="H1050" s="13">
        <v>10</v>
      </c>
      <c r="I1050" s="13"/>
      <c r="J1050" s="14">
        <v>-23.7</v>
      </c>
      <c r="K1050" s="15"/>
    </row>
    <row r="1051" spans="1:11" ht="16" x14ac:dyDescent="0.2">
      <c r="A1051" s="7">
        <v>1050</v>
      </c>
      <c r="B1051" s="8" t="s">
        <v>592</v>
      </c>
      <c r="C1051" s="8" t="s">
        <v>320</v>
      </c>
      <c r="D1051" s="9" t="s">
        <v>192</v>
      </c>
      <c r="E1051" s="13">
        <v>577.4</v>
      </c>
      <c r="F1051" s="11">
        <v>1</v>
      </c>
      <c r="G1051" s="12">
        <v>0.03</v>
      </c>
      <c r="H1051" s="13">
        <v>3</v>
      </c>
      <c r="I1051" s="13"/>
      <c r="J1051" s="14">
        <v>-23.7</v>
      </c>
      <c r="K1051" s="15"/>
    </row>
    <row r="1052" spans="1:11" ht="16" x14ac:dyDescent="0.2">
      <c r="A1052" s="7">
        <v>1051</v>
      </c>
      <c r="B1052" s="8" t="s">
        <v>925</v>
      </c>
      <c r="C1052" s="8" t="s">
        <v>313</v>
      </c>
      <c r="D1052" s="9" t="s">
        <v>726</v>
      </c>
      <c r="E1052" s="13"/>
      <c r="F1052" s="13"/>
      <c r="G1052" s="16"/>
      <c r="H1052" s="13">
        <v>16</v>
      </c>
      <c r="I1052" s="13"/>
      <c r="J1052" s="14">
        <v>-23.8</v>
      </c>
      <c r="K1052" s="15"/>
    </row>
    <row r="1053" spans="1:11" ht="16" x14ac:dyDescent="0.2">
      <c r="A1053" s="7">
        <v>1052</v>
      </c>
      <c r="B1053" s="8" t="s">
        <v>926</v>
      </c>
      <c r="C1053" s="8" t="s">
        <v>310</v>
      </c>
      <c r="D1053" s="9" t="s">
        <v>431</v>
      </c>
      <c r="E1053" s="13"/>
      <c r="F1053" s="13"/>
      <c r="G1053" s="16"/>
      <c r="H1053" s="13">
        <v>11</v>
      </c>
      <c r="I1053" s="13"/>
      <c r="J1053" s="14">
        <v>-23.9</v>
      </c>
      <c r="K1053" s="15"/>
    </row>
    <row r="1054" spans="1:11" ht="16" x14ac:dyDescent="0.2">
      <c r="A1054" s="7">
        <v>1053</v>
      </c>
      <c r="B1054" s="8" t="s">
        <v>927</v>
      </c>
      <c r="C1054" s="8" t="s">
        <v>350</v>
      </c>
      <c r="D1054" s="9" t="s">
        <v>194</v>
      </c>
      <c r="E1054" s="13"/>
      <c r="F1054" s="13"/>
      <c r="G1054" s="16"/>
      <c r="H1054" s="13">
        <v>72</v>
      </c>
      <c r="I1054" s="13"/>
      <c r="J1054" s="14">
        <v>-23.9</v>
      </c>
      <c r="K1054" s="15"/>
    </row>
    <row r="1055" spans="1:11" ht="16" x14ac:dyDescent="0.2">
      <c r="A1055" s="7">
        <v>1054</v>
      </c>
      <c r="B1055" s="8" t="s">
        <v>728</v>
      </c>
      <c r="C1055" s="8" t="s">
        <v>331</v>
      </c>
      <c r="D1055" s="9" t="s">
        <v>194</v>
      </c>
      <c r="E1055" s="13">
        <v>748.1</v>
      </c>
      <c r="F1055" s="11">
        <v>0.03</v>
      </c>
      <c r="G1055" s="12">
        <v>0</v>
      </c>
      <c r="H1055" s="13">
        <v>105</v>
      </c>
      <c r="I1055" s="13"/>
      <c r="J1055" s="14">
        <v>-23.9</v>
      </c>
      <c r="K1055" s="15"/>
    </row>
    <row r="1056" spans="1:11" ht="16" x14ac:dyDescent="0.2">
      <c r="A1056" s="7">
        <v>1055</v>
      </c>
      <c r="B1056" s="8" t="s">
        <v>928</v>
      </c>
      <c r="C1056" s="8" t="s">
        <v>313</v>
      </c>
      <c r="D1056" s="9" t="s">
        <v>475</v>
      </c>
      <c r="E1056" s="13"/>
      <c r="F1056" s="13"/>
      <c r="G1056" s="16"/>
      <c r="H1056" s="13">
        <v>14</v>
      </c>
      <c r="I1056" s="13"/>
      <c r="J1056" s="14">
        <v>-23.9</v>
      </c>
      <c r="K1056" s="15"/>
    </row>
    <row r="1057" spans="1:11" ht="16" x14ac:dyDescent="0.2">
      <c r="A1057" s="7">
        <v>1056</v>
      </c>
      <c r="B1057" s="8" t="s">
        <v>929</v>
      </c>
      <c r="C1057" s="8" t="s">
        <v>322</v>
      </c>
      <c r="D1057" s="9" t="s">
        <v>504</v>
      </c>
      <c r="E1057" s="13"/>
      <c r="F1057" s="13"/>
      <c r="G1057" s="16"/>
      <c r="H1057" s="13">
        <v>9</v>
      </c>
      <c r="I1057" s="13"/>
      <c r="J1057" s="14">
        <v>-24</v>
      </c>
      <c r="K1057" s="15"/>
    </row>
    <row r="1058" spans="1:11" ht="16" x14ac:dyDescent="0.2">
      <c r="A1058" s="7">
        <v>1057</v>
      </c>
      <c r="B1058" s="8" t="s">
        <v>930</v>
      </c>
      <c r="C1058" s="8" t="s">
        <v>350</v>
      </c>
      <c r="D1058" s="9" t="s">
        <v>450</v>
      </c>
      <c r="E1058" s="13"/>
      <c r="F1058" s="11">
        <v>0.01</v>
      </c>
      <c r="G1058" s="12">
        <v>0</v>
      </c>
      <c r="H1058" s="13">
        <v>5</v>
      </c>
      <c r="I1058" s="13"/>
      <c r="J1058" s="14">
        <v>-24.1</v>
      </c>
      <c r="K1058" s="15"/>
    </row>
    <row r="1059" spans="1:11" ht="16" x14ac:dyDescent="0.2">
      <c r="A1059" s="7">
        <v>1058</v>
      </c>
      <c r="B1059" s="8" t="s">
        <v>931</v>
      </c>
      <c r="C1059" s="8" t="s">
        <v>331</v>
      </c>
      <c r="D1059" s="9" t="s">
        <v>384</v>
      </c>
      <c r="E1059" s="13"/>
      <c r="F1059" s="13"/>
      <c r="G1059" s="16"/>
      <c r="H1059" s="13">
        <v>11</v>
      </c>
      <c r="I1059" s="13"/>
      <c r="J1059" s="14">
        <v>-24.1</v>
      </c>
      <c r="K1059" s="15"/>
    </row>
    <row r="1060" spans="1:11" ht="16" x14ac:dyDescent="0.2">
      <c r="A1060" s="7">
        <v>1059</v>
      </c>
      <c r="B1060" s="8" t="s">
        <v>508</v>
      </c>
      <c r="C1060" s="8" t="s">
        <v>313</v>
      </c>
      <c r="D1060" s="9" t="s">
        <v>509</v>
      </c>
      <c r="E1060" s="13">
        <v>397.5</v>
      </c>
      <c r="F1060" s="11">
        <v>1</v>
      </c>
      <c r="G1060" s="12">
        <v>0.11</v>
      </c>
      <c r="H1060" s="13">
        <v>46</v>
      </c>
      <c r="I1060" s="13"/>
      <c r="J1060" s="14">
        <v>-24.1</v>
      </c>
      <c r="K1060" s="15"/>
    </row>
    <row r="1061" spans="1:11" ht="16" x14ac:dyDescent="0.2">
      <c r="A1061" s="7">
        <v>1060</v>
      </c>
      <c r="B1061" s="8" t="s">
        <v>648</v>
      </c>
      <c r="C1061" s="8" t="s">
        <v>349</v>
      </c>
      <c r="D1061" s="9" t="s">
        <v>192</v>
      </c>
      <c r="E1061" s="13">
        <v>684.6</v>
      </c>
      <c r="F1061" s="11">
        <v>0.92</v>
      </c>
      <c r="G1061" s="12">
        <v>0</v>
      </c>
      <c r="H1061" s="13">
        <v>36</v>
      </c>
      <c r="I1061" s="13"/>
      <c r="J1061" s="14">
        <v>-24.1</v>
      </c>
      <c r="K1061" s="15"/>
    </row>
    <row r="1062" spans="1:11" ht="16" x14ac:dyDescent="0.2">
      <c r="A1062" s="7">
        <v>1061</v>
      </c>
      <c r="B1062" s="8" t="s">
        <v>932</v>
      </c>
      <c r="C1062" s="8" t="s">
        <v>322</v>
      </c>
      <c r="D1062" s="9" t="s">
        <v>578</v>
      </c>
      <c r="E1062" s="13"/>
      <c r="F1062" s="13"/>
      <c r="G1062" s="16"/>
      <c r="H1062" s="13">
        <v>19</v>
      </c>
      <c r="I1062" s="13"/>
      <c r="J1062" s="14">
        <v>-24.1</v>
      </c>
      <c r="K1062" s="15"/>
    </row>
    <row r="1063" spans="1:11" ht="16" x14ac:dyDescent="0.2">
      <c r="A1063" s="7">
        <v>1062</v>
      </c>
      <c r="B1063" s="8" t="s">
        <v>933</v>
      </c>
      <c r="C1063" s="8" t="s">
        <v>350</v>
      </c>
      <c r="D1063" s="9" t="s">
        <v>509</v>
      </c>
      <c r="E1063" s="13"/>
      <c r="F1063" s="13"/>
      <c r="G1063" s="16"/>
      <c r="H1063" s="13">
        <v>31</v>
      </c>
      <c r="I1063" s="13"/>
      <c r="J1063" s="14">
        <v>-24.2</v>
      </c>
      <c r="K1063" s="15"/>
    </row>
    <row r="1064" spans="1:11" ht="16" x14ac:dyDescent="0.2">
      <c r="A1064" s="7">
        <v>1063</v>
      </c>
      <c r="B1064" s="8" t="s">
        <v>934</v>
      </c>
      <c r="C1064" s="9"/>
      <c r="D1064" s="9" t="s">
        <v>431</v>
      </c>
      <c r="E1064" s="13"/>
      <c r="F1064" s="13"/>
      <c r="G1064" s="16"/>
      <c r="H1064" s="13">
        <v>10</v>
      </c>
      <c r="I1064" s="13"/>
      <c r="J1064" s="14">
        <v>-24.2</v>
      </c>
      <c r="K1064" s="15"/>
    </row>
    <row r="1065" spans="1:11" ht="16" x14ac:dyDescent="0.2">
      <c r="A1065" s="7">
        <v>1064</v>
      </c>
      <c r="B1065" s="8" t="s">
        <v>707</v>
      </c>
      <c r="C1065" s="8" t="s">
        <v>349</v>
      </c>
      <c r="D1065" s="9" t="s">
        <v>332</v>
      </c>
      <c r="E1065" s="13">
        <v>744.8</v>
      </c>
      <c r="F1065" s="11">
        <v>0.05</v>
      </c>
      <c r="G1065" s="12">
        <v>0</v>
      </c>
      <c r="H1065" s="13">
        <v>27</v>
      </c>
      <c r="I1065" s="13"/>
      <c r="J1065" s="14">
        <v>-24.2</v>
      </c>
      <c r="K1065" s="15"/>
    </row>
    <row r="1066" spans="1:11" ht="16" x14ac:dyDescent="0.2">
      <c r="A1066" s="7">
        <v>1065</v>
      </c>
      <c r="B1066" s="8" t="s">
        <v>935</v>
      </c>
      <c r="C1066" s="8" t="s">
        <v>310</v>
      </c>
      <c r="D1066" s="9" t="s">
        <v>852</v>
      </c>
      <c r="E1066" s="13"/>
      <c r="F1066" s="13"/>
      <c r="G1066" s="16"/>
      <c r="H1066" s="13">
        <v>49</v>
      </c>
      <c r="I1066" s="13"/>
      <c r="J1066" s="14">
        <v>-24.3</v>
      </c>
      <c r="K1066" s="15"/>
    </row>
    <row r="1067" spans="1:11" ht="16" x14ac:dyDescent="0.2">
      <c r="A1067" s="7">
        <v>1066</v>
      </c>
      <c r="B1067" s="8" t="s">
        <v>936</v>
      </c>
      <c r="C1067" s="8" t="s">
        <v>331</v>
      </c>
      <c r="D1067" s="9" t="s">
        <v>191</v>
      </c>
      <c r="E1067" s="13"/>
      <c r="F1067" s="13"/>
      <c r="G1067" s="16"/>
      <c r="H1067" s="13">
        <v>3</v>
      </c>
      <c r="I1067" s="13"/>
      <c r="J1067" s="14">
        <v>-24.4</v>
      </c>
      <c r="K1067" s="15"/>
    </row>
    <row r="1068" spans="1:11" ht="16" x14ac:dyDescent="0.2">
      <c r="A1068" s="7">
        <v>1067</v>
      </c>
      <c r="B1068" s="8" t="s">
        <v>937</v>
      </c>
      <c r="C1068" s="8" t="s">
        <v>317</v>
      </c>
      <c r="D1068" s="9" t="s">
        <v>321</v>
      </c>
      <c r="E1068" s="13"/>
      <c r="F1068" s="13"/>
      <c r="G1068" s="16"/>
      <c r="H1068" s="13">
        <v>29</v>
      </c>
      <c r="I1068" s="13"/>
      <c r="J1068" s="14">
        <v>-24.4</v>
      </c>
      <c r="K1068" s="15"/>
    </row>
    <row r="1069" spans="1:11" ht="16" x14ac:dyDescent="0.2">
      <c r="A1069" s="7">
        <v>1068</v>
      </c>
      <c r="B1069" s="8" t="s">
        <v>938</v>
      </c>
      <c r="C1069" s="8" t="s">
        <v>317</v>
      </c>
      <c r="D1069" s="9" t="s">
        <v>939</v>
      </c>
      <c r="E1069" s="13"/>
      <c r="F1069" s="13"/>
      <c r="G1069" s="16"/>
      <c r="H1069" s="13">
        <v>33</v>
      </c>
      <c r="I1069" s="13"/>
      <c r="J1069" s="14">
        <v>-24.4</v>
      </c>
      <c r="K1069" s="15"/>
    </row>
    <row r="1070" spans="1:11" ht="16" x14ac:dyDescent="0.2">
      <c r="A1070" s="7">
        <v>1069</v>
      </c>
      <c r="B1070" s="8" t="s">
        <v>940</v>
      </c>
      <c r="C1070" s="9"/>
      <c r="D1070" s="9" t="s">
        <v>475</v>
      </c>
      <c r="E1070" s="13"/>
      <c r="F1070" s="13"/>
      <c r="G1070" s="16"/>
      <c r="H1070" s="13">
        <v>26</v>
      </c>
      <c r="I1070" s="13"/>
      <c r="J1070" s="14">
        <v>-24.6</v>
      </c>
      <c r="K1070" s="15"/>
    </row>
    <row r="1071" spans="1:11" ht="16" x14ac:dyDescent="0.2">
      <c r="A1071" s="7">
        <v>1070</v>
      </c>
      <c r="B1071" s="8" t="s">
        <v>941</v>
      </c>
      <c r="C1071" s="8" t="s">
        <v>316</v>
      </c>
      <c r="D1071" s="9" t="s">
        <v>902</v>
      </c>
      <c r="E1071" s="13"/>
      <c r="F1071" s="13"/>
      <c r="G1071" s="16"/>
      <c r="H1071" s="13">
        <v>25</v>
      </c>
      <c r="I1071" s="13"/>
      <c r="J1071" s="14">
        <v>-24.6</v>
      </c>
      <c r="K1071" s="15"/>
    </row>
    <row r="1072" spans="1:11" ht="16" x14ac:dyDescent="0.2">
      <c r="A1072" s="7">
        <v>1071</v>
      </c>
      <c r="B1072" s="8" t="s">
        <v>942</v>
      </c>
      <c r="C1072" s="8" t="s">
        <v>310</v>
      </c>
      <c r="D1072" s="9" t="s">
        <v>191</v>
      </c>
      <c r="E1072" s="13"/>
      <c r="F1072" s="13"/>
      <c r="G1072" s="16"/>
      <c r="H1072" s="13">
        <v>10</v>
      </c>
      <c r="I1072" s="13"/>
      <c r="J1072" s="14">
        <v>-24.6</v>
      </c>
      <c r="K1072" s="15"/>
    </row>
    <row r="1073" spans="1:11" ht="16" x14ac:dyDescent="0.2">
      <c r="A1073" s="7">
        <v>1072</v>
      </c>
      <c r="B1073" s="8" t="s">
        <v>1360</v>
      </c>
      <c r="C1073" s="8" t="s">
        <v>349</v>
      </c>
      <c r="D1073" s="9" t="s">
        <v>197</v>
      </c>
      <c r="E1073" s="13"/>
      <c r="F1073" s="13"/>
      <c r="G1073" s="16"/>
      <c r="H1073" s="13"/>
      <c r="I1073" s="13">
        <v>59.1</v>
      </c>
      <c r="J1073" s="14">
        <v>-24.7</v>
      </c>
      <c r="K1073" s="15"/>
    </row>
    <row r="1074" spans="1:11" ht="16" x14ac:dyDescent="0.2">
      <c r="A1074" s="7">
        <v>1073</v>
      </c>
      <c r="B1074" s="8" t="s">
        <v>610</v>
      </c>
      <c r="C1074" s="8" t="s">
        <v>385</v>
      </c>
      <c r="D1074" s="9" t="s">
        <v>321</v>
      </c>
      <c r="E1074" s="13">
        <v>626</v>
      </c>
      <c r="F1074" s="11">
        <v>0.59</v>
      </c>
      <c r="G1074" s="12">
        <v>0</v>
      </c>
      <c r="H1074" s="13">
        <v>28</v>
      </c>
      <c r="I1074" s="13"/>
      <c r="J1074" s="14">
        <v>-24.7</v>
      </c>
      <c r="K1074" s="15"/>
    </row>
    <row r="1075" spans="1:11" ht="16" x14ac:dyDescent="0.2">
      <c r="A1075" s="7">
        <v>1074</v>
      </c>
      <c r="B1075" s="8" t="s">
        <v>943</v>
      </c>
      <c r="C1075" s="8" t="s">
        <v>371</v>
      </c>
      <c r="D1075" s="9" t="s">
        <v>321</v>
      </c>
      <c r="E1075" s="13"/>
      <c r="F1075" s="13"/>
      <c r="G1075" s="16"/>
      <c r="H1075" s="13">
        <v>62</v>
      </c>
      <c r="I1075" s="13"/>
      <c r="J1075" s="14">
        <v>-24.7</v>
      </c>
      <c r="K1075" s="15"/>
    </row>
    <row r="1076" spans="1:11" ht="16" x14ac:dyDescent="0.2">
      <c r="A1076" s="7">
        <v>1075</v>
      </c>
      <c r="B1076" s="8" t="s">
        <v>721</v>
      </c>
      <c r="C1076" s="9"/>
      <c r="D1076" s="9" t="s">
        <v>191</v>
      </c>
      <c r="E1076" s="13">
        <v>747.5</v>
      </c>
      <c r="F1076" s="11">
        <v>0.03</v>
      </c>
      <c r="G1076" s="12">
        <v>0</v>
      </c>
      <c r="H1076" s="13">
        <v>120</v>
      </c>
      <c r="I1076" s="13"/>
      <c r="J1076" s="14">
        <v>-24.7</v>
      </c>
      <c r="K1076" s="15"/>
    </row>
    <row r="1077" spans="1:11" ht="16" x14ac:dyDescent="0.2">
      <c r="A1077" s="7">
        <v>1076</v>
      </c>
      <c r="B1077" s="8" t="s">
        <v>944</v>
      </c>
      <c r="C1077" s="9"/>
      <c r="D1077" s="9" t="s">
        <v>939</v>
      </c>
      <c r="E1077" s="13"/>
      <c r="F1077" s="13"/>
      <c r="G1077" s="16"/>
      <c r="H1077" s="13">
        <v>34</v>
      </c>
      <c r="I1077" s="13"/>
      <c r="J1077" s="14">
        <v>-24.8</v>
      </c>
      <c r="K1077" s="15"/>
    </row>
    <row r="1078" spans="1:11" ht="16" x14ac:dyDescent="0.2">
      <c r="A1078" s="7">
        <v>1077</v>
      </c>
      <c r="B1078" s="8" t="s">
        <v>945</v>
      </c>
      <c r="C1078" s="8" t="s">
        <v>371</v>
      </c>
      <c r="D1078" s="9" t="s">
        <v>406</v>
      </c>
      <c r="E1078" s="13"/>
      <c r="F1078" s="13"/>
      <c r="G1078" s="16"/>
      <c r="H1078" s="13">
        <v>23</v>
      </c>
      <c r="I1078" s="13"/>
      <c r="J1078" s="14">
        <v>-24.8</v>
      </c>
      <c r="K1078" s="15"/>
    </row>
    <row r="1079" spans="1:11" ht="16" x14ac:dyDescent="0.2">
      <c r="A1079" s="7">
        <v>1078</v>
      </c>
      <c r="B1079" s="8" t="s">
        <v>679</v>
      </c>
      <c r="C1079" s="8" t="s">
        <v>331</v>
      </c>
      <c r="D1079" s="9" t="s">
        <v>352</v>
      </c>
      <c r="E1079" s="13">
        <v>733</v>
      </c>
      <c r="F1079" s="11">
        <v>0.17</v>
      </c>
      <c r="G1079" s="12">
        <v>0</v>
      </c>
      <c r="H1079" s="13">
        <v>32</v>
      </c>
      <c r="I1079" s="13"/>
      <c r="J1079" s="14">
        <v>-24.8</v>
      </c>
      <c r="K1079" s="15"/>
    </row>
    <row r="1080" spans="1:11" ht="16" x14ac:dyDescent="0.2">
      <c r="A1080" s="7">
        <v>1079</v>
      </c>
      <c r="B1080" s="8" t="s">
        <v>946</v>
      </c>
      <c r="C1080" s="8" t="s">
        <v>335</v>
      </c>
      <c r="D1080" s="9" t="s">
        <v>726</v>
      </c>
      <c r="E1080" s="13"/>
      <c r="F1080" s="13"/>
      <c r="G1080" s="16"/>
      <c r="H1080" s="13">
        <v>67</v>
      </c>
      <c r="I1080" s="13"/>
      <c r="J1080" s="14">
        <v>-24.9</v>
      </c>
      <c r="K1080" s="15"/>
    </row>
    <row r="1081" spans="1:11" ht="16" x14ac:dyDescent="0.2">
      <c r="A1081" s="7">
        <v>1080</v>
      </c>
      <c r="B1081" s="8" t="s">
        <v>711</v>
      </c>
      <c r="C1081" s="8" t="s">
        <v>367</v>
      </c>
      <c r="D1081" s="9" t="s">
        <v>191</v>
      </c>
      <c r="E1081" s="13">
        <v>746.2</v>
      </c>
      <c r="F1081" s="11">
        <v>0.09</v>
      </c>
      <c r="G1081" s="12">
        <v>0</v>
      </c>
      <c r="H1081" s="13">
        <v>111</v>
      </c>
      <c r="I1081" s="13"/>
      <c r="J1081" s="14">
        <v>-25</v>
      </c>
      <c r="K1081" s="15"/>
    </row>
    <row r="1082" spans="1:11" ht="16" x14ac:dyDescent="0.2">
      <c r="A1082" s="7">
        <v>1081</v>
      </c>
      <c r="B1082" s="8" t="s">
        <v>947</v>
      </c>
      <c r="C1082" s="8" t="s">
        <v>335</v>
      </c>
      <c r="D1082" s="9" t="s">
        <v>406</v>
      </c>
      <c r="E1082" s="13"/>
      <c r="F1082" s="11">
        <v>0.03</v>
      </c>
      <c r="G1082" s="12">
        <v>0</v>
      </c>
      <c r="H1082" s="13">
        <v>44</v>
      </c>
      <c r="I1082" s="13"/>
      <c r="J1082" s="14">
        <v>-25.4</v>
      </c>
      <c r="K1082" s="15"/>
    </row>
  </sheetData>
  <hyperlinks>
    <hyperlink ref="B2" r:id="rId1" display="https://www.fangraphs.com/players/shohei-ohtani/19755/stats" xr:uid="{BF91716A-A554-4BA6-B3D7-D0991FCCEA3F}"/>
    <hyperlink ref="C2" r:id="rId2" display="https://www.fangraphs.com/teams/dodgers" xr:uid="{40F187C6-21A3-4C69-8C43-268C989F9D50}"/>
    <hyperlink ref="B3" r:id="rId3" display="https://www.fangraphs.com/players/aaron-judge/15640/stats" xr:uid="{0F3742A5-E260-4CC5-9530-D7DDD352E68A}"/>
    <hyperlink ref="C3" r:id="rId4" display="https://www.fangraphs.com/teams/yankees" xr:uid="{A2BC8A00-E693-4459-A264-A57CA946CCDF}"/>
    <hyperlink ref="B4" r:id="rId5" display="https://www.fangraphs.com/players/bobby-witt-jr/25764/stats" xr:uid="{6B49037B-997C-462A-A5FB-5CF9982D0533}"/>
    <hyperlink ref="C4" r:id="rId6" display="https://www.fangraphs.com/teams/royals" xr:uid="{2D15835E-5BB8-48B9-BD8D-E96EC1614379}"/>
    <hyperlink ref="B5" r:id="rId7" display="https://www.fangraphs.com/players/jose-ramirez/13510/stats" xr:uid="{AF16DF00-07D8-458D-9C0D-CB448E177B0F}"/>
    <hyperlink ref="C5" r:id="rId8" display="https://www.fangraphs.com/teams/guardians" xr:uid="{03457C49-B18A-4085-B28F-14688BCD2184}"/>
    <hyperlink ref="B6" r:id="rId9" display="https://www.fangraphs.com/players/juan-soto/20123/stats" xr:uid="{B4702C5A-A27B-40F6-909D-5A0AE241BF15}"/>
    <hyperlink ref="C6" r:id="rId10" display="https://www.fangraphs.com/teams/mets" xr:uid="{84769D30-B49F-4AE3-97CA-608B9B5906FF}"/>
    <hyperlink ref="B7" r:id="rId11" display="https://www.fangraphs.com/players/tarik-skubal/22267/stats" xr:uid="{E2AAFF30-F044-4708-BAD0-896A3E5237AF}"/>
    <hyperlink ref="C7" r:id="rId12" display="https://www.fangraphs.com/teams/tigers" xr:uid="{CC3666CD-4A56-46E9-B52E-EF5BF5110B47}"/>
    <hyperlink ref="B8" r:id="rId13" display="https://www.fangraphs.com/players/gunnar-henderson/26289/stats" xr:uid="{490AC05A-1139-40DC-856D-F1D8722DB912}"/>
    <hyperlink ref="C8" r:id="rId14" display="https://www.fangraphs.com/teams/orioles" xr:uid="{DA9E2298-AF05-4BA4-8721-9C696CB5D911}"/>
    <hyperlink ref="B9" r:id="rId15" display="https://www.fangraphs.com/players/zack-wheeler/10310/stats" xr:uid="{5ED792C2-8A1E-4C01-AE8F-8D9C386812DB}"/>
    <hyperlink ref="C9" r:id="rId16" display="https://www.fangraphs.com/teams/phillies" xr:uid="{590DF262-D5FE-466A-A3DE-054A4F53636D}"/>
    <hyperlink ref="B10" r:id="rId17" display="https://www.fangraphs.com/players/elly-de-la-cruz/26668/stats" xr:uid="{4340C49E-B2BF-4F3A-9320-D778D61101C9}"/>
    <hyperlink ref="C10" r:id="rId18" display="https://www.fangraphs.com/teams/reds" xr:uid="{A1883106-F5C7-4249-AEF9-09D0D3093805}"/>
    <hyperlink ref="B11" r:id="rId19" display="https://www.fangraphs.com/players/chris-sale/10603/stats" xr:uid="{8E15EC83-18E7-4FDC-B69F-094C75CA70CE}"/>
    <hyperlink ref="C11" r:id="rId20" display="https://www.fangraphs.com/teams/braves" xr:uid="{68E85F2A-AC1C-4E6E-A02F-09903A18BA30}"/>
    <hyperlink ref="B12" r:id="rId21" display="https://www.fangraphs.com/players/francisco-lindor/12916/stats" xr:uid="{605B048A-6655-4ABF-8540-4AD9AF03DEA1}"/>
    <hyperlink ref="C12" r:id="rId22" display="https://www.fangraphs.com/teams/mets" xr:uid="{756E4371-D740-41C3-BD14-4322E8A431B4}"/>
    <hyperlink ref="B13" r:id="rId23" display="https://www.fangraphs.com/players/william-contreras/20503/stats" xr:uid="{5B2FFB14-324E-4ECF-A42A-F36FFCEDF885}"/>
    <hyperlink ref="C13" r:id="rId24" display="https://www.fangraphs.com/teams/brewers" xr:uid="{DD854F58-AA7A-4F81-9FF3-3A89DEE599C0}"/>
    <hyperlink ref="B14" r:id="rId25" display="https://www.fangraphs.com/players/vladimir-guerrero-jr/19611/stats" xr:uid="{76EC7C07-9248-41B4-89EA-9936B842422F}"/>
    <hyperlink ref="C14" r:id="rId26" display="https://www.fangraphs.com/teams/blue-jays" xr:uid="{B35E6221-0CF8-406B-AE53-BB9F56F2DE4A}"/>
    <hyperlink ref="B15" r:id="rId27" display="https://www.fangraphs.com/players/marcell-ozuna/10324/stats" xr:uid="{CDAA7DA0-18BE-41EE-8092-A3161BB29AB8}"/>
    <hyperlink ref="C15" r:id="rId28" display="https://www.fangraphs.com/teams/braves" xr:uid="{9DBC299A-E9CA-40F5-A854-4FAD1FD4F04B}"/>
    <hyperlink ref="B16" r:id="rId29" display="https://www.fangraphs.com/players/brent-rooker/19627/stats" xr:uid="{54F2D3B4-42F5-44B1-8DDD-33C575473D64}"/>
    <hyperlink ref="C16" r:id="rId30" display="https://www.fangraphs.com/teams/athletics" xr:uid="{D806A89C-A395-43ED-842C-3B49333893A4}"/>
    <hyperlink ref="B17" r:id="rId31" display="https://www.fangraphs.com/players/jarren-duran/24617/stats" xr:uid="{19214B11-DE85-4558-870F-1CB65D2B497B}"/>
    <hyperlink ref="C17" r:id="rId32" display="https://www.fangraphs.com/teams/red-sox" xr:uid="{D38993A2-A384-47A7-8B23-1817BD25969F}"/>
    <hyperlink ref="B18" r:id="rId33" display="https://www.fangraphs.com/players/yordan-alvarez/19556/stats" xr:uid="{BD40414E-4A66-4433-B4D2-064BFEC6CFD0}"/>
    <hyperlink ref="C18" r:id="rId34" display="https://www.fangraphs.com/teams/astros" xr:uid="{08BCD052-85F8-4F84-859A-741174781706}"/>
    <hyperlink ref="B19" r:id="rId35" display="https://www.fangraphs.com/players/ketel-marte/13613/stats" xr:uid="{0330302E-1346-4E01-8885-91F188FCA2D6}"/>
    <hyperlink ref="C19" r:id="rId36" display="https://www.fangraphs.com/teams/diamondbacks" xr:uid="{3D27F64B-9C01-4C97-8EB3-0FA7398493A6}"/>
    <hyperlink ref="B20" r:id="rId37" display="https://www.fangraphs.com/players/willy-adames/15986/stats" xr:uid="{7A0523C2-FC56-4D51-9023-356536EAE09B}"/>
    <hyperlink ref="C20" r:id="rId38" display="https://www.fangraphs.com/teams/giants" xr:uid="{7838ED01-9736-4DD2-B9A1-665DB7C3009A}"/>
    <hyperlink ref="B21" r:id="rId39" display="https://www.fangraphs.com/players/paul-skenes/33677/stats" xr:uid="{7427D254-0574-499B-9986-B38D8391358E}"/>
    <hyperlink ref="C21" r:id="rId40" display="https://www.fangraphs.com/teams/pirates" xr:uid="{1C7A6D28-E384-447B-8219-4C3361A31A73}"/>
    <hyperlink ref="B22" r:id="rId41" display="https://www.fangraphs.com/players/kyle-schwarber/16478/stats" xr:uid="{AEBAA500-C8AC-47F8-BE08-3B948B85BF8E}"/>
    <hyperlink ref="C22" r:id="rId42" display="https://www.fangraphs.com/teams/phillies" xr:uid="{6384FF76-146C-4915-B08B-763B38A07C06}"/>
    <hyperlink ref="B23" r:id="rId43" display="https://www.fangraphs.com/players/teoscar-hernandez/13066/stats" xr:uid="{CD58AB76-9340-46E0-9BDC-CB1D321C583D}"/>
    <hyperlink ref="C23" r:id="rId44" display="https://www.fangraphs.com/teams/dodgers" xr:uid="{F9510BDD-1BC7-4315-8E03-0979B85BA16E}"/>
    <hyperlink ref="B24" r:id="rId45" display="https://www.fangraphs.com/players/logan-gilbert/22250/stats" xr:uid="{861FD128-375B-47BC-9610-A01DBE83E072}"/>
    <hyperlink ref="C24" r:id="rId46" display="https://www.fangraphs.com/teams/mariners" xr:uid="{0E79FEA1-26F9-4AC3-9FA5-61E978FFBFFB}"/>
    <hyperlink ref="B25" r:id="rId47" display="https://www.fangraphs.com/players/salvador-perez/7304/stats" xr:uid="{326E7E63-9F7A-4EEA-B0D1-F3D17966F002}"/>
    <hyperlink ref="C25" r:id="rId48" display="https://www.fangraphs.com/teams/royals" xr:uid="{447D8F6D-90C1-4804-A1C9-2634423895D5}"/>
    <hyperlink ref="B26" r:id="rId49" display="https://www.fangraphs.com/players/shota-imanaga/33829/stats" xr:uid="{3645D2EC-6A35-4FEC-B853-A94A650D3115}"/>
    <hyperlink ref="C26" r:id="rId50" display="https://www.fangraphs.com/teams/cubs" xr:uid="{19A6AA27-F02B-489E-B708-E8D437AE4DDA}"/>
    <hyperlink ref="B27" r:id="rId51" display="https://www.fangraphs.com/players/manny-machado/11493/stats" xr:uid="{42BD70DF-9DB8-436E-843B-DCCCBBA3FD0C}"/>
    <hyperlink ref="C27" r:id="rId52" display="https://www.fangraphs.com/teams/padres" xr:uid="{50455708-D03A-4BF4-B31D-33DCB7166C39}"/>
    <hyperlink ref="B28" r:id="rId53" display="https://www.fangraphs.com/players/corbin-carroll/25878/stats" xr:uid="{CE85D453-1049-4DD1-9D19-60107D43BBE7}"/>
    <hyperlink ref="C28" r:id="rId54" display="https://www.fangraphs.com/teams/diamondbacks" xr:uid="{8974C1B7-BDC2-4D74-A406-42163F335DE0}"/>
    <hyperlink ref="B29" r:id="rId55" display="https://www.fangraphs.com/players/emmanuel-clase/21032/stats" xr:uid="{64075499-DAD3-4122-B9F6-025B6F0510B4}"/>
    <hyperlink ref="C29" r:id="rId56" display="https://www.fangraphs.com/teams/guardians" xr:uid="{49ABC48B-8112-408C-8B31-26CDFF4EF982}"/>
    <hyperlink ref="B30" r:id="rId57" display="https://www.fangraphs.com/players/yainer-diaz/23003/stats" xr:uid="{986C839D-73E9-42D5-87EF-B93EDA464974}"/>
    <hyperlink ref="C30" r:id="rId58" display="https://www.fangraphs.com/teams/astros" xr:uid="{49E62DF6-0DD8-4F12-BCAA-06105AE6D996}"/>
    <hyperlink ref="B31" r:id="rId59" display="https://www.fangraphs.com/players/jackson-merrill/29490/stats" xr:uid="{EFBE23E4-0456-456F-A798-87933A802BE6}"/>
    <hyperlink ref="C31" r:id="rId60" display="https://www.fangraphs.com/teams/padres" xr:uid="{8FCD5A73-3D27-41FE-AC6B-1498DA8410D9}"/>
    <hyperlink ref="B32" r:id="rId61" display="https://www.fangraphs.com/players/anthony-santander/14551/stats" xr:uid="{758BDF20-430F-4767-9426-56AC1CA3E0E1}"/>
    <hyperlink ref="C32" r:id="rId62" display="https://www.fangraphs.com/teams/blue-jays" xr:uid="{47D1F0F3-91F8-4C9C-B524-D3F9A04F5567}"/>
    <hyperlink ref="B33" r:id="rId63" display="https://www.fangraphs.com/players/cal-raleigh/21534/stats" xr:uid="{A67D1BA9-A908-4369-BBE7-B6D3F805FF30}"/>
    <hyperlink ref="C33" r:id="rId64" display="https://www.fangraphs.com/teams/mariners" xr:uid="{DB89280E-4792-43D9-8523-700D058BF903}"/>
    <hyperlink ref="B34" r:id="rId65" display="https://www.fangraphs.com/players/bryce-miller/29837/stats" xr:uid="{C9F313C2-FDCE-4780-81E3-343E012FCC27}"/>
    <hyperlink ref="C34" r:id="rId66" display="https://www.fangraphs.com/teams/mariners" xr:uid="{4C725E0F-E8B1-4C39-A077-0645C082A62A}"/>
    <hyperlink ref="B35" r:id="rId67" display="https://www.fangraphs.com/players/seth-lugo/12447/stats" xr:uid="{0E090842-4D8F-4FB9-8E20-3981D84D3158}"/>
    <hyperlink ref="C35" r:id="rId68" display="https://www.fangraphs.com/teams/royals" xr:uid="{6AFA9ADF-C979-4951-9195-C97139AAE1AC}"/>
    <hyperlink ref="B36" r:id="rId69" display="https://www.fangraphs.com/players/jose-altuve/5417/stats" xr:uid="{5F8544AB-F466-43D9-9508-09E6A805805D}"/>
    <hyperlink ref="C36" r:id="rId70" display="https://www.fangraphs.com/teams/astros" xr:uid="{11A448CC-7036-4B23-AEB4-9C5FED6CBE0E}"/>
    <hyperlink ref="B37" r:id="rId71" display="https://www.fangraphs.com/players/jurickson-profar/10815/stats" xr:uid="{5263D191-7054-4203-B20B-B191231F0C01}"/>
    <hyperlink ref="C37" r:id="rId72" display="https://www.fangraphs.com/teams/braves" xr:uid="{5B5FEC1A-C45D-4F8D-B1B2-0123F4834F7F}"/>
    <hyperlink ref="B38" r:id="rId73" display="https://www.fangraphs.com/players/corbin-burnes/19361/stats" xr:uid="{18A96E5E-24C6-4DA4-AD60-CD3A772B6C13}"/>
    <hyperlink ref="C38" r:id="rId74" display="https://www.fangraphs.com/teams/diamondbacks" xr:uid="{97B201C9-89F6-434B-8E83-4994242F9109}"/>
    <hyperlink ref="B39" r:id="rId75" display="https://www.fangraphs.com/players/bryce-harper/11579/stats" xr:uid="{32AA471D-8F0C-44F4-88C4-8BDFA46EA6B0}"/>
    <hyperlink ref="C39" r:id="rId76" display="https://www.fangraphs.com/teams/phillies" xr:uid="{9C44A36D-B676-4B93-AC94-BC8059206071}"/>
    <hyperlink ref="B40" r:id="rId77" display="https://www.fangraphs.com/players/jazz-chisholm-jr/20454/stats" xr:uid="{948D8F8F-B58D-46C6-848B-C76500A5A780}"/>
    <hyperlink ref="C40" r:id="rId78" display="https://www.fangraphs.com/teams/yankees" xr:uid="{4A5456C7-B3C4-4805-AD12-322334452F9C}"/>
    <hyperlink ref="B41" r:id="rId79" display="https://www.fangraphs.com/players/framber-valdez/17295/stats" xr:uid="{A4DDDC87-6CE1-4DE1-80D1-D950E8673179}"/>
    <hyperlink ref="C41" r:id="rId80" display="https://www.fangraphs.com/teams/astros" xr:uid="{D1125734-C932-4BEE-8280-7F5C4A511A4F}"/>
    <hyperlink ref="B42" r:id="rId81" display="https://www.fangraphs.com/players/dylan-cease/18525/stats" xr:uid="{65C6B259-682A-4179-A1DB-53EFEFC5EEA1}"/>
    <hyperlink ref="C42" r:id="rId82" display="https://www.fangraphs.com/teams/padres" xr:uid="{FCC72C0C-AB4F-4661-920F-9EADE6F028EC}"/>
    <hyperlink ref="B43" r:id="rId83" display="https://www.fangraphs.com/players/eugenio-suarez/12552/stats" xr:uid="{01B7874D-9250-4208-917A-D22BC73EE363}"/>
    <hyperlink ref="C43" r:id="rId84" display="https://www.fangraphs.com/teams/diamondbacks" xr:uid="{8C13E606-0B9E-42B6-925C-0E9F66346649}"/>
    <hyperlink ref="B44" r:id="rId85" display="https://www.fangraphs.com/players/brenton-doyle/25479/stats" xr:uid="{048B136B-8951-464A-8257-EDBDA70AF25A}"/>
    <hyperlink ref="C44" r:id="rId86" display="https://www.fangraphs.com/teams/rockies" xr:uid="{17A2D213-C200-4781-A8C9-A81B53FDC6D0}"/>
    <hyperlink ref="B45" r:id="rId87" display="https://www.fangraphs.com/players/jackson-chourio/28806/stats" xr:uid="{B85B5F35-CF2D-4ED0-A0FC-71EF0C8DE2D9}"/>
    <hyperlink ref="C45" r:id="rId88" display="https://www.fangraphs.com/teams/brewers" xr:uid="{D1CCB406-A247-45DB-A596-C9125599E3EE}"/>
    <hyperlink ref="B46" r:id="rId89" display="https://www.fangraphs.com/players/ronel-blanco/19407/stats" xr:uid="{4D33D3EF-A130-46EE-861E-49736BC7E013}"/>
    <hyperlink ref="C46" r:id="rId90" display="https://www.fangraphs.com/teams/astros" xr:uid="{0126C762-31A4-4E4A-A552-09F4CF7CCD41}"/>
    <hyperlink ref="B47" r:id="rId91" display="https://www.fangraphs.com/players/jack-flaherty/17479/stats" xr:uid="{F0DD76E3-DE19-4656-8B16-AADA3072B8B8}"/>
    <hyperlink ref="C47" r:id="rId92" display="https://www.fangraphs.com/teams/tigers" xr:uid="{35C5D63F-1D5A-46FF-8CC4-737CD0375DA3}"/>
    <hyperlink ref="B48" r:id="rId93" display="https://www.fangraphs.com/players/trea-turner/16252/stats" xr:uid="{28C729DA-2E73-4C57-91E4-D86EAE65B610}"/>
    <hyperlink ref="C48" r:id="rId94" display="https://www.fangraphs.com/teams/phillies" xr:uid="{DF66EA24-1D49-4A1F-A209-514F0A424FE3}"/>
    <hyperlink ref="B49" r:id="rId95" display="https://www.fangraphs.com/players/matt-chapman/16505/stats" xr:uid="{BDF0739D-C167-49CC-B949-D9B556453BBB}"/>
    <hyperlink ref="C49" r:id="rId96" display="https://www.fangraphs.com/teams/giants" xr:uid="{4733DB9D-D30D-460E-BCAE-17DE3926649B}"/>
    <hyperlink ref="B50" r:id="rId97" display="https://www.fangraphs.com/players/josh-naylor/18839/stats" xr:uid="{95E784F0-6312-4D36-A9B5-34F54E369F0C}"/>
    <hyperlink ref="C50" r:id="rId98" display="https://www.fangraphs.com/teams/diamondbacks" xr:uid="{1B4D80BC-55F7-4DEC-96DE-AF5AA8A4EC9A}"/>
    <hyperlink ref="B51" r:id="rId99" display="https://www.fangraphs.com/players/rafael-devers/17350/stats" xr:uid="{7D220EE1-E726-4A25-A821-09EEBCB539E4}"/>
    <hyperlink ref="C51" r:id="rId100" display="https://www.fangraphs.com/teams/red-sox" xr:uid="{969C958C-0D32-49AA-A2B3-EABE719CE7F2}"/>
    <hyperlink ref="B52" r:id="rId101" display="https://www.fangraphs.com/players/bryan-reynolds/19326/stats" xr:uid="{4EDB1874-2BAC-4D5A-9A3D-34D0325F1BC8}"/>
    <hyperlink ref="C52" r:id="rId102" display="https://www.fangraphs.com/teams/pirates" xr:uid="{46F8B1B1-175E-4B60-8F6A-C17218248C9A}"/>
    <hyperlink ref="B53" r:id="rId103" display="https://www.fangraphs.com/players/hunter-greene/22182/stats" xr:uid="{8D613E0B-6A15-4315-915B-625B68A7A7B1}"/>
    <hyperlink ref="C53" r:id="rId104" display="https://www.fangraphs.com/teams/reds" xr:uid="{17C6380F-1930-44D2-9E9D-D8411760DFAD}"/>
    <hyperlink ref="B54" r:id="rId105" display="https://www.fangraphs.com/players/freddie-freeman/5361/stats" xr:uid="{656AAF8A-2603-487A-9E46-58ED2AABB330}"/>
    <hyperlink ref="C54" r:id="rId106" display="https://www.fangraphs.com/teams/dodgers" xr:uid="{0220B312-038F-4F27-94A9-C2CCA8F79273}"/>
    <hyperlink ref="B55" r:id="rId107" display="https://www.fangraphs.com/players/tyler-holton/26231/stats" xr:uid="{4A21A37A-F4B3-4C14-BA5E-3C1F040BAA2F}"/>
    <hyperlink ref="C55" r:id="rId108" display="https://www.fangraphs.com/teams/tigers" xr:uid="{488F0DE4-87C3-4BCB-B340-9F470ECA5926}"/>
    <hyperlink ref="B56" r:id="rId109" display="https://www.fangraphs.com/players/julio-rodriguez/23697/stats" xr:uid="{1D2488EA-CCC8-44CC-A6D5-EB38BC7918B8}"/>
    <hyperlink ref="C56" r:id="rId110" display="https://www.fangraphs.com/teams/mariners" xr:uid="{85CFA351-5B98-485C-BD0D-6E7730A37C4E}"/>
    <hyperlink ref="B57" r:id="rId111" display="https://www.fangraphs.com/players/reynaldo-lopez/16400/stats" xr:uid="{95982AC5-8DE0-4D1A-8FF9-65F28D3A260E}"/>
    <hyperlink ref="C57" r:id="rId112" display="https://www.fangraphs.com/teams/braves" xr:uid="{4622EF11-331E-4F8B-9B9D-657A19E9052A}"/>
    <hyperlink ref="B58" r:id="rId113" display="https://www.fangraphs.com/players/cole-ragans/21846/stats" xr:uid="{536FF63E-3014-4BCA-913F-E5A66B02CF10}"/>
    <hyperlink ref="C58" r:id="rId114" display="https://www.fangraphs.com/teams/royals" xr:uid="{301355DE-1D4F-4025-984E-946A536D93C7}"/>
    <hyperlink ref="B59" r:id="rId115" display="https://www.fangraphs.com/players/michael-king/19853/stats" xr:uid="{FD569200-57F6-4292-92E0-EA26D29C835E}"/>
    <hyperlink ref="C59" r:id="rId116" display="https://www.fangraphs.com/teams/padres" xr:uid="{654566DD-89A4-490D-9652-E8748F0F3425}"/>
    <hyperlink ref="B60" r:id="rId117" display="https://www.fangraphs.com/players/seiya-suzuki/30116/stats" xr:uid="{11BDCDEE-63A5-4E32-B302-BB5E3B5C83EC}"/>
    <hyperlink ref="C60" r:id="rId118" display="https://www.fangraphs.com/teams/cubs" xr:uid="{0BC3727F-4BB3-4ADA-8912-4175F0F11A8E}"/>
    <hyperlink ref="B61" r:id="rId119" display="https://www.fangraphs.com/players/ian-happ/17919/stats" xr:uid="{DD60254B-7538-407D-95B9-6CE15164768F}"/>
    <hyperlink ref="C61" r:id="rId120" display="https://www.fangraphs.com/teams/cubs" xr:uid="{1CA33A26-F334-4841-AA69-3DB8FD78B093}"/>
    <hyperlink ref="B62" r:id="rId121" display="https://www.fangraphs.com/players/george-kirby/25436/stats" xr:uid="{58ED47FC-1F8A-47C2-8551-DF5EC6A187A8}"/>
    <hyperlink ref="C62" r:id="rId122" display="https://www.fangraphs.com/teams/mariners" xr:uid="{45E9F5C8-B1EF-4E5D-A92E-1BB20E8FCD79}"/>
    <hyperlink ref="B63" r:id="rId123" display="https://www.fangraphs.com/players/kirby-yates/9073/stats" xr:uid="{D74A4557-E75F-40BF-98A7-B84620C46F10}"/>
    <hyperlink ref="C63" r:id="rId124" display="https://www.fangraphs.com/teams/dodgers" xr:uid="{84A40991-B737-4822-9937-450423C0C58E}"/>
    <hyperlink ref="B64" r:id="rId125" display="https://www.fangraphs.com/players/will-smith/19197/stats" xr:uid="{F1DA4470-454F-404D-A54C-6C4D42FBD9FB}"/>
    <hyperlink ref="C64" r:id="rId126" display="https://www.fangraphs.com/teams/dodgers" xr:uid="{39040473-AB39-41CA-AA49-FD48573FB64E}"/>
    <hyperlink ref="B65" r:id="rId127" display="https://www.fangraphs.com/players/pete-alonso/19251/stats" xr:uid="{6212184F-E46F-4626-BC0D-999E45A5D745}"/>
    <hyperlink ref="C65" r:id="rId128" display="https://www.fangraphs.com/teams/mets" xr:uid="{1D9FDAF4-0E9B-43F1-9A7D-518EC43E103A}"/>
    <hyperlink ref="B66" r:id="rId129" display="https://www.fangraphs.com/players/mookie-betts/13611/stats" xr:uid="{02474A3A-D0B3-4C31-8630-8B024532596C}"/>
    <hyperlink ref="C66" r:id="rId130" display="https://www.fangraphs.com/teams/dodgers" xr:uid="{5707014A-A749-477E-B261-93099ADC8C9C}"/>
    <hyperlink ref="B67" r:id="rId131" display="https://www.fangraphs.com/players/ezequiel-tovar/24064/stats" xr:uid="{490EAB29-60D4-449C-812C-F40EFE44AE87}"/>
    <hyperlink ref="C67" r:id="rId132" display="https://www.fangraphs.com/teams/rockies" xr:uid="{8559035E-0A9A-489B-8C44-AA5AF02A3B43}"/>
    <hyperlink ref="B68" r:id="rId133" display="https://www.fangraphs.com/players/ryan-helsley/18138/stats" xr:uid="{71D76D5A-C479-453A-93C9-B8208C92C393}"/>
    <hyperlink ref="C68" r:id="rId134" display="https://www.fangraphs.com/teams/cardinals" xr:uid="{78FA5CB8-0D7D-49D7-AF97-0D6E40E95A09}"/>
    <hyperlink ref="B69" r:id="rId135" display="https://www.fangraphs.com/players/zach-neto/31347/stats" xr:uid="{8C7468D5-7CB6-4F49-AD7D-BE73B6F3B88E}"/>
    <hyperlink ref="C69" r:id="rId136" display="https://www.fangraphs.com/teams/angels" xr:uid="{7DFC3FAE-BC4F-4482-95F1-17D392DCF8FA}"/>
    <hyperlink ref="B70" r:id="rId137" display="https://www.fangraphs.com/players/adley-rutschman/26288/stats" xr:uid="{7BEFE42A-3EB0-42D8-ADAB-F4FFC7A287E6}"/>
    <hyperlink ref="C70" r:id="rId138" display="https://www.fangraphs.com/teams/orioles" xr:uid="{F41F8B44-DA9C-44BA-A689-1545EB134889}"/>
    <hyperlink ref="B71" r:id="rId139" display="https://www.fangraphs.com/players/tyler-glasnow/14374/stats" xr:uid="{3079498C-3442-47E4-8E6C-69310E9B8685}"/>
    <hyperlink ref="C71" r:id="rId140" display="https://www.fangraphs.com/teams/dodgers" xr:uid="{B7F6A01B-8C2A-44AB-8AE7-1F9EB2E6C0C2}"/>
    <hyperlink ref="B72" r:id="rId141" display="https://www.fangraphs.com/players/shea-langeliers/25816/stats" xr:uid="{9308DBD7-E016-4B22-81FC-FE7429B69700}"/>
    <hyperlink ref="C72" r:id="rId142" display="https://www.fangraphs.com/teams/athletics" xr:uid="{BF77CDE4-8398-4A0F-8D49-DAF597FA53D3}"/>
    <hyperlink ref="B73" r:id="rId143" display="https://www.fangraphs.com/players/raisel-iglesias/17130/stats" xr:uid="{951CD1C0-7CAD-4BA5-BAC3-B85AA70855A0}"/>
    <hyperlink ref="C73" r:id="rId144" display="https://www.fangraphs.com/teams/braves" xr:uid="{5DE970A8-6480-403B-A125-5BFF600DDBF3}"/>
    <hyperlink ref="B74" r:id="rId145" display="https://www.fangraphs.com/players/sean-manaea/15873/stats" xr:uid="{AAD35262-7923-41EA-8047-0B8EDC40A4A3}"/>
    <hyperlink ref="C74" r:id="rId146" display="https://www.fangraphs.com/teams/mets" xr:uid="{7F9FA1D9-683E-4C51-9AEB-A0612F7E12AC}"/>
    <hyperlink ref="B75" r:id="rId147" display="https://www.fangraphs.com/players/bryan-woo/30279/stats" xr:uid="{9DEE852E-00A2-4405-8CCB-8342BE581F10}"/>
    <hyperlink ref="C75" r:id="rId148" display="https://www.fangraphs.com/teams/mariners" xr:uid="{11DA75AB-F865-4F15-A3D4-964EC6B9037D}"/>
    <hyperlink ref="B76" r:id="rId149" display="https://www.fangraphs.com/players/bailey-ober/21224/stats" xr:uid="{CD35D85A-B69E-493C-82DB-0C2C35551926}"/>
    <hyperlink ref="C76" r:id="rId150" display="https://www.fangraphs.com/teams/twins" xr:uid="{9587B18B-1ED5-4C39-80DC-624615E783F4}"/>
    <hyperlink ref="B77" r:id="rId151" display="https://www.fangraphs.com/players/sonny-gray/12768/stats" xr:uid="{3FBBBAB7-F9FF-49E9-A6D7-910F06660E35}"/>
    <hyperlink ref="C77" r:id="rId152" display="https://www.fangraphs.com/teams/cardinals" xr:uid="{565377C8-7BF3-4D06-A8CA-B8E84A17C6DC}"/>
    <hyperlink ref="B78" r:id="rId153" display="https://www.fangraphs.com/players/tyler-stephenson/17988/stats" xr:uid="{D06CF7EB-02C7-4A96-822A-D1591DAD574A}"/>
    <hyperlink ref="C78" r:id="rId154" display="https://www.fangraphs.com/teams/reds" xr:uid="{78C18923-35B6-4DE6-BB70-CC15475528B4}"/>
    <hyperlink ref="B79" r:id="rId155" display="https://www.fangraphs.com/players/oneil-cruz/21711/stats" xr:uid="{678A7532-5EED-4918-8D89-CA64FEFCEA37}"/>
    <hyperlink ref="C79" r:id="rId156" display="https://www.fangraphs.com/teams/pirates" xr:uid="{6B76692D-A260-477D-99B8-99935124DCBD}"/>
    <hyperlink ref="B80" r:id="rId157" display="https://www.fangraphs.com/players/brandon-nimmo/12927/stats" xr:uid="{1DD46B97-668F-4D52-8FE1-495E4DA69C43}"/>
    <hyperlink ref="C80" r:id="rId158" display="https://www.fangraphs.com/teams/mets" xr:uid="{9C1C3428-14A2-4FF6-946B-47BCFDEDA232}"/>
    <hyperlink ref="B81" r:id="rId159" display="https://www.fangraphs.com/players/nick-castellanos/11737/stats" xr:uid="{E9644BF3-C898-4370-8D63-D868430C0F81}"/>
    <hyperlink ref="C81" r:id="rId160" display="https://www.fangraphs.com/teams/phillies" xr:uid="{A86911A3-BDB0-43B3-9473-90CC56711A37}"/>
    <hyperlink ref="B82" r:id="rId161" display="https://www.fangraphs.com/players/cj-abrams/25768/stats" xr:uid="{D5060064-E482-48AF-9B13-886DE7DF896F}"/>
    <hyperlink ref="C82" r:id="rId162" display="https://www.fangraphs.com/teams/nationals" xr:uid="{DF723EF6-70E3-4FE2-BC63-4A255E5BD3B8}"/>
    <hyperlink ref="B83" r:id="rId163" display="https://www.fangraphs.com/players/tanner-bibee/30134/stats" xr:uid="{4F20F412-6223-4DB7-B4AC-E4937A4558FC}"/>
    <hyperlink ref="C83" r:id="rId164" display="https://www.fangraphs.com/teams/guardians" xr:uid="{60F6A519-EC39-4F1B-9515-24A00CB90B4C}"/>
    <hyperlink ref="B84" r:id="rId165" display="https://www.fangraphs.com/players/spencer-steer/26323/stats" xr:uid="{C13A1523-14BC-40EB-881B-73E3919D4B22}"/>
    <hyperlink ref="C84" r:id="rId166" display="https://www.fangraphs.com/teams/reds" xr:uid="{F45A3327-48D8-4F52-BA9F-1E029373E2AF}"/>
    <hyperlink ref="B85" r:id="rId167" display="https://www.fangraphs.com/players/matt-olson/14344/stats" xr:uid="{F7384496-940C-4AFB-882C-F7B125AC0852}"/>
    <hyperlink ref="C85" r:id="rId168" display="https://www.fangraphs.com/teams/braves" xr:uid="{D2B36FA1-DF9C-479B-95AC-1E05E99A6B0F}"/>
    <hyperlink ref="B86" r:id="rId169" display="https://www.fangraphs.com/players/alec-burleson/27615/stats" xr:uid="{6A4A8D0D-22A7-4828-A1CA-BA4B26986610}"/>
    <hyperlink ref="C86" r:id="rId170" display="https://www.fangraphs.com/teams/cardinals" xr:uid="{A1DBF857-52EC-4F76-9215-A0D4FD14F3DE}"/>
    <hyperlink ref="B87" r:id="rId171" display="https://www.fangraphs.com/players/riley-greene/25976/stats" xr:uid="{CA8EA066-DD85-4AA1-9BAF-7A8C18701C8E}"/>
    <hyperlink ref="C87" r:id="rId172" display="https://www.fangraphs.com/teams/tigers" xr:uid="{6124676D-56E3-4208-ACA7-77893CD96E41}"/>
    <hyperlink ref="B88" r:id="rId173" display="https://www.fangraphs.com/players/corey-seager/13624/stats" xr:uid="{1047F878-07DB-4F8A-BAB7-99772C45CAE9}"/>
    <hyperlink ref="C88" r:id="rId174" display="https://www.fangraphs.com/teams/rangers" xr:uid="{E4D3349E-3256-4A98-BFB1-2FC93C61E624}"/>
    <hyperlink ref="B89" r:id="rId175" display="https://www.fangraphs.com/players/luis-gil/21052/stats" xr:uid="{B0D16254-8F6C-48FD-9EC0-54D53026F2C1}"/>
    <hyperlink ref="C89" r:id="rId176" display="https://www.fangraphs.com/teams/yankees" xr:uid="{94518671-4781-47A7-8C5F-4BA1E49628CC}"/>
    <hyperlink ref="B90" r:id="rId177" display="https://www.fangraphs.com/players/alec-bohm/21618/stats" xr:uid="{DAFEC35D-553F-4BAF-AFFE-18EACFB955CA}"/>
    <hyperlink ref="C90" r:id="rId178" display="https://www.fangraphs.com/teams/phillies" xr:uid="{1DB936DB-92EB-49F9-AB90-A874A8B7C848}"/>
    <hyperlink ref="B91" r:id="rId179" display="https://www.fangraphs.com/players/alex-bregman/17678/stats" xr:uid="{59B26485-FAF7-4AAA-9685-8F39F51F8D4E}"/>
    <hyperlink ref="C91" r:id="rId180" display="https://www.fangraphs.com/teams/red-sox" xr:uid="{4DC2B3D1-51BC-4C75-8D75-7C612C669160}"/>
    <hyperlink ref="B92" r:id="rId181" display="https://www.fangraphs.com/players/luis-garcia-jr/20391/stats" xr:uid="{657E3DA7-246F-47F4-8AA1-B87F243DE778}"/>
    <hyperlink ref="C92" r:id="rId182" display="https://www.fangraphs.com/teams/nationals" xr:uid="{A07E0109-641B-458E-BAF0-4AC0E17E91E3}"/>
    <hyperlink ref="B93" r:id="rId183" display="https://www.fangraphs.com/players/ryan-walker/20423/stats" xr:uid="{C9DB7E8B-75F2-442B-BDF9-13E38DBE75EC}"/>
    <hyperlink ref="C93" r:id="rId184" display="https://www.fangraphs.com/teams/giants" xr:uid="{B88C6417-7A88-4701-A597-075F468EB541}"/>
    <hyperlink ref="B94" r:id="rId185" display="https://www.fangraphs.com/players/brice-turang/22186/stats" xr:uid="{4CB86CFD-F7C6-4208-AF7D-145A7D423E96}"/>
    <hyperlink ref="C94" r:id="rId186" display="https://www.fangraphs.com/teams/brewers" xr:uid="{27F93170-C4F9-4B08-9AD1-35E8D8E49C8C}"/>
    <hyperlink ref="B95" r:id="rId187" display="https://www.fangraphs.com/players/nick-martinez/12730/stats" xr:uid="{123B6D91-FEAA-4C7B-B078-49090CD4BD48}"/>
    <hyperlink ref="C95" r:id="rId188" display="https://www.fangraphs.com/teams/reds" xr:uid="{C4C570A5-3A2E-4446-93DC-A92F18013585}"/>
    <hyperlink ref="B96" r:id="rId189" display="https://www.fangraphs.com/players/jeremy-pena/21636/stats" xr:uid="{230ECC03-7219-4E30-AB2E-46096220C3C0}"/>
    <hyperlink ref="C96" r:id="rId190" display="https://www.fangraphs.com/teams/astros" xr:uid="{591FF2E4-2C41-4774-898C-9767FB743DEB}"/>
    <hyperlink ref="B97" r:id="rId191" display="https://www.fangraphs.com/players/lourdes-gurriel-jr/19238/stats" xr:uid="{AE8FDCF5-A116-45A5-ACF9-490F040A7861}"/>
    <hyperlink ref="C97" r:id="rId192" display="https://www.fangraphs.com/teams/diamondbacks" xr:uid="{8DA9BF05-7A6A-48F0-8D85-A3D92666F295}"/>
    <hyperlink ref="B98" r:id="rId193" display="https://www.fangraphs.com/players/jose-berrios/14168/stats" xr:uid="{11ECF0E5-B0AF-47A2-AAB0-5EAB44A747CB}"/>
    <hyperlink ref="C98" r:id="rId194" display="https://www.fangraphs.com/teams/blue-jays" xr:uid="{B683E40C-E7EF-4DA0-96E4-C3E6FDC59600}"/>
    <hyperlink ref="B99" r:id="rId195" display="https://www.fangraphs.com/players/marcus-semien/12533/stats" xr:uid="{C2A6B226-DDA1-4786-A588-CB288EED8DE9}"/>
    <hyperlink ref="C99" r:id="rId196" display="https://www.fangraphs.com/teams/rangers" xr:uid="{A9C28B31-80B4-4941-8469-F3A277E123A7}"/>
    <hyperlink ref="B100" r:id="rId197" display="https://www.fangraphs.com/players/aaron-nola/16149/stats" xr:uid="{1636FA7F-D20B-4F2F-A7A2-93338566AF42}"/>
    <hyperlink ref="C100" r:id="rId198" display="https://www.fangraphs.com/teams/phillies" xr:uid="{E13DD0A1-A661-4062-AA2C-6BFF8BC4FFFB}"/>
    <hyperlink ref="B101" r:id="rId199" display="https://www.fangraphs.com/players/cody-bellinger/15998/stats" xr:uid="{52A5A8FD-E22F-471C-9B2E-3862DAFDAFF1}"/>
    <hyperlink ref="C101" r:id="rId200" display="https://www.fangraphs.com/teams/yankees" xr:uid="{0DABA516-EFCE-414A-B59D-A37506E36A9B}"/>
    <hyperlink ref="B102" r:id="rId201" display="https://www.fangraphs.com/players/wyatt-langford/33333/stats" xr:uid="{65A87550-C5D1-47D2-9DE2-3BCFF49882FE}"/>
    <hyperlink ref="C102" r:id="rId202" display="https://www.fangraphs.com/teams/rangers" xr:uid="{C029D192-47E8-49DA-9C2D-5328947D648E}"/>
    <hyperlink ref="B103" r:id="rId203" display="https://www.fangraphs.com/players/connor-wong/19896/stats" xr:uid="{3E00F7AE-BBAC-430F-9306-D553CF85E1FD}"/>
    <hyperlink ref="C103" r:id="rId204" display="https://www.fangraphs.com/teams/red-sox" xr:uid="{E60BEA6D-F6EC-485C-9F06-C2350FE23850}"/>
    <hyperlink ref="B104" r:id="rId205" display="https://www.fangraphs.com/players/max-fried/13743/stats" xr:uid="{C013CFBC-14A6-4C87-B9D3-CE094DDB6DF5}"/>
    <hyperlink ref="C104" r:id="rId206" display="https://www.fangraphs.com/teams/yankees" xr:uid="{FA0B6708-FDD0-48C8-BF1D-3D3791CD4CF1}"/>
    <hyperlink ref="B105" r:id="rId207" display="https://www.fangraphs.com/players/nico-hoerner/21479/stats" xr:uid="{77F05844-2F0A-4627-BBC0-044FA96F3B74}"/>
    <hyperlink ref="C105" r:id="rId208" display="https://www.fangraphs.com/teams/cubs" xr:uid="{558ACFD3-9B29-4415-AE74-7B9F8949D258}"/>
    <hyperlink ref="B106" r:id="rId209" display="https://www.fangraphs.com/players/garrett-crochet/27463/stats" xr:uid="{9C2BF100-E4F0-4722-BDEE-BB4051685F09}"/>
    <hyperlink ref="C106" r:id="rId210" display="https://www.fangraphs.com/teams/red-sox" xr:uid="{2D2CC3EC-2DE1-4379-9AED-8DF9915FF90B}"/>
    <hyperlink ref="B107" r:id="rId211" display="https://www.fangraphs.com/players/jameson-taillon/11674/stats" xr:uid="{42239AE5-22F1-49DC-B3CB-8D10CD7D662B}"/>
    <hyperlink ref="C107" r:id="rId212" display="https://www.fangraphs.com/teams/cubs" xr:uid="{290D480B-EA96-4AA7-AAA1-F6215080F8E2}"/>
    <hyperlink ref="B108" r:id="rId213" display="https://www.fangraphs.com/players/robert-suarez/30115/stats" xr:uid="{39F36112-2012-4B56-86E7-EE99F993BCFB}"/>
    <hyperlink ref="C108" r:id="rId214" display="https://www.fangraphs.com/teams/padres" xr:uid="{C9D96337-EE34-4084-A955-AD13526B8E65}"/>
    <hyperlink ref="B109" r:id="rId215" display="https://www.fangraphs.com/players/carlos-rodon/16137/stats" xr:uid="{77A3D6F0-3F29-444C-B123-D67EC591DF78}"/>
    <hyperlink ref="C109" r:id="rId216" display="https://www.fangraphs.com/teams/yankees" xr:uid="{C9C976B2-1A72-4133-B59D-A68A6AE1D934}"/>
    <hyperlink ref="B110" r:id="rId217" display="https://www.fangraphs.com/players/josh-hader/14212/stats" xr:uid="{DE293D75-D337-4DF2-A910-26FCAF05810A}"/>
    <hyperlink ref="C110" r:id="rId218" display="https://www.fangraphs.com/teams/astros" xr:uid="{196968E8-D6D8-437B-AAB0-543D3F07C3A2}"/>
    <hyperlink ref="B111" r:id="rId219" display="https://www.fangraphs.com/players/logan-ohoppe/24729/stats" xr:uid="{BEC90DD3-9416-470A-92F9-EBBCF0494D51}"/>
    <hyperlink ref="C111" r:id="rId220" display="https://www.fangraphs.com/teams/angels" xr:uid="{91C2BE63-6404-4C68-8522-AA9E186849AF}"/>
    <hyperlink ref="B112" r:id="rId221" display="https://www.fangraphs.com/players/steven-kwan/24610/stats" xr:uid="{D13A924D-0F4B-4D96-A053-2FE9977A6805}"/>
    <hyperlink ref="C112" r:id="rId222" display="https://www.fangraphs.com/teams/guardians" xr:uid="{27352788-5422-41B7-8C24-CA56AD3499E4}"/>
    <hyperlink ref="B113" r:id="rId223" display="https://www.fangraphs.com/players/tanner-houck/19879/stats" xr:uid="{26C0ED60-370B-4789-A5B4-F13AC2667A8D}"/>
    <hyperlink ref="C113" r:id="rId224" display="https://www.fangraphs.com/teams/red-sox" xr:uid="{40C9FEF2-57ED-4516-8D2A-97AEA0D014F8}"/>
    <hyperlink ref="B114" r:id="rId225" display="https://www.fangraphs.com/players/nathan-eovaldi/9132/stats" xr:uid="{401C28EE-E0C6-4B9E-8399-8CA6A814833E}"/>
    <hyperlink ref="C114" r:id="rId226" display="https://www.fangraphs.com/teams/rangers" xr:uid="{44E2A0ED-1278-4C33-BAF5-16FAB8328920}"/>
    <hyperlink ref="B115" r:id="rId227" display="https://www.fangraphs.com/players/taylor-ward/17548/stats" xr:uid="{C93A4592-891B-4F9D-8491-330028467056}"/>
    <hyperlink ref="C115" r:id="rId228" display="https://www.fangraphs.com/teams/angels" xr:uid="{E9FE5BF8-BE33-4628-B68A-5339D9D7EF7E}"/>
    <hyperlink ref="B116" r:id="rId229" display="https://www.fangraphs.com/players/luis-arraez/18568/stats" xr:uid="{BAF28C9C-28E0-423A-82C6-C362143C617E}"/>
    <hyperlink ref="C116" r:id="rId230" display="https://www.fangraphs.com/teams/padres" xr:uid="{98B5071E-F88A-46E6-BB6A-4E1B52A85AFF}"/>
    <hyperlink ref="B117" r:id="rId231" display="https://www.fangraphs.com/players/jake-burger/22275/stats" xr:uid="{8343AA6D-0A05-492B-A1C7-1FA9049FBA3F}"/>
    <hyperlink ref="C117" r:id="rId232" display="https://www.fangraphs.com/teams/rangers" xr:uid="{F0178F24-57F1-480A-A806-ACD0A505012D}"/>
    <hyperlink ref="B118" r:id="rId233" display="https://www.fangraphs.com/players/christian-walker/13419/stats" xr:uid="{97E1FFA9-CBCC-46C3-929F-8888D1E0B775}"/>
    <hyperlink ref="C118" r:id="rId234" display="https://www.fangraphs.com/teams/astros" xr:uid="{257AEB5F-D449-4006-A92B-86D13BB42831}"/>
    <hyperlink ref="B119" r:id="rId235" display="https://www.fangraphs.com/players/colton-cowser/29591/stats" xr:uid="{F4055C6E-D964-4650-9430-7816A58BABC8}"/>
    <hyperlink ref="C119" r:id="rId236" display="https://www.fangraphs.com/teams/orioles" xr:uid="{91CC735A-5C64-4A82-9039-FA3616F66220}"/>
    <hyperlink ref="B120" r:id="rId237" display="https://www.fangraphs.com/players/anthony-volpe/27647/stats" xr:uid="{BCE5442A-6948-406C-9752-E2A77BACE5D2}"/>
    <hyperlink ref="C120" r:id="rId238" display="https://www.fangraphs.com/teams/yankees" xr:uid="{7A38C2A7-FA78-4A3A-BEA9-2D13362E8EA8}"/>
    <hyperlink ref="B121" r:id="rId239" display="https://www.fangraphs.com/players/joe-ryan/21390/stats" xr:uid="{C4D813CB-6B9A-4F86-8528-AF2F4FA00C34}"/>
    <hyperlink ref="C121" r:id="rId240" display="https://www.fangraphs.com/teams/twins" xr:uid="{B4B546CE-EAA9-4194-AC9A-0D25ECC0817F}"/>
    <hyperlink ref="B122" r:id="rId241" display="https://www.fangraphs.com/players/michael-wacha/14078/stats" xr:uid="{CD9D9B5B-0699-476C-8B6F-1A59E36FDCD6}"/>
    <hyperlink ref="C122" r:id="rId242" display="https://www.fangraphs.com/teams/royals" xr:uid="{63380A9A-B8D1-4C9B-AD6A-4398EE560996}"/>
    <hyperlink ref="B123" r:id="rId243" display="https://www.fangraphs.com/players/tanner-scott/17586/stats" xr:uid="{8397A6D2-BDFC-41AF-99C5-AF158C997E62}"/>
    <hyperlink ref="C123" r:id="rId244" display="https://www.fangraphs.com/teams/dodgers" xr:uid="{10B38493-A868-4604-832D-DE33CE867B82}"/>
    <hyperlink ref="B124" r:id="rId245" display="https://www.fangraphs.com/players/lawrence-butler/22542/stats" xr:uid="{DAEE6AD1-E9C8-40CA-9F40-195462104AA0}"/>
    <hyperlink ref="C124" r:id="rId246" display="https://www.fangraphs.com/teams/athletics" xr:uid="{C1BF24BB-D108-4D58-9923-95D791A95BD6}"/>
    <hyperlink ref="B125" r:id="rId247" display="https://www.fangraphs.com/players/tyler-oneill/15711/stats" xr:uid="{BB9893B5-E30F-4DD6-9BFD-FD253E42D109}"/>
    <hyperlink ref="C125" r:id="rId248" display="https://www.fangraphs.com/teams/orioles" xr:uid="{851D9105-0E46-440B-9B05-22292523845F}"/>
    <hyperlink ref="B126" r:id="rId249" display="https://www.fangraphs.com/players/ceddanne-rafaela/24262/stats" xr:uid="{6500F219-9F33-4ED8-A9BD-5CC1B224329D}"/>
    <hyperlink ref="C126" r:id="rId250" display="https://www.fangraphs.com/teams/red-sox" xr:uid="{E17BFE9B-4934-4BCD-A6AF-1A28EE1586F6}"/>
    <hyperlink ref="B127" r:id="rId251" display="https://www.fangraphs.com/players/jake-mccarthy/21622/stats" xr:uid="{98EDEDFD-C838-4833-B04C-37623DB75862}"/>
    <hyperlink ref="C127" r:id="rId252" display="https://www.fangraphs.com/teams/diamondbacks" xr:uid="{102187EA-4ADD-44CC-9338-1AD7A7C1C76C}"/>
    <hyperlink ref="B128" r:id="rId253" display="https://www.fangraphs.com/players/vinnie-pasquantino/27676/stats" xr:uid="{B0CF473B-A26D-4E4E-9C70-44D9D3444C35}"/>
    <hyperlink ref="C128" r:id="rId254" display="https://www.fangraphs.com/teams/royals" xr:uid="{7B13A059-2EA2-4D54-953C-22C22FA4E09E}"/>
    <hyperlink ref="B129" r:id="rId255" display="https://www.fangraphs.com/players/cedric-mullins/17929/stats" xr:uid="{4DAB50F7-7B5F-47C0-A6ED-15EBACB99C88}"/>
    <hyperlink ref="C129" r:id="rId256" display="https://www.fangraphs.com/teams/orioles" xr:uid="{07F5B80D-DF33-4CF9-A966-7E0A26591A1E}"/>
    <hyperlink ref="B130" r:id="rId257" display="https://www.fangraphs.com/players/bowden-francis/20548/stats" xr:uid="{9C3375F1-5492-4BC0-95B7-D0AAEA2DEF37}"/>
    <hyperlink ref="C130" r:id="rId258" display="https://www.fangraphs.com/teams/blue-jays" xr:uid="{B537980D-C3E3-4A79-8664-942AF1B49697}"/>
    <hyperlink ref="B131" r:id="rId259" display="https://www.fangraphs.com/players/lane-thomas/16939/stats" xr:uid="{7D104716-E150-4FF7-9918-787BAEE612BA}"/>
    <hyperlink ref="C131" r:id="rId260" display="https://www.fangraphs.com/teams/guardians" xr:uid="{3AB095D2-DDB2-4887-8DE5-CE014074EE83}"/>
    <hyperlink ref="B132" r:id="rId261" display="https://www.fangraphs.com/players/pablo-lopez/17085/stats" xr:uid="{EA766D81-CBEC-4AA5-B7F1-A7E7FAF1CA41}"/>
    <hyperlink ref="C132" r:id="rId262" display="https://www.fangraphs.com/teams/twins" xr:uid="{C75A67A2-389A-4F93-A827-FEA0EE7D8B4F}"/>
    <hyperlink ref="B133" r:id="rId263" display="https://www.fangraphs.com/players/ryan-jeffers/24618/stats" xr:uid="{CB849E2D-772A-4BAD-8A9A-23BE74067BFD}"/>
    <hyperlink ref="C133" r:id="rId264" display="https://www.fangraphs.com/teams/twins" xr:uid="{47D2A450-B44A-4626-81C6-379B11CD54BE}"/>
    <hyperlink ref="B134" r:id="rId265" display="https://www.fangraphs.com/players/spencer-schwellenbach/31846/stats" xr:uid="{E1D3160A-C891-4D5C-BA67-9144A2FE115F}"/>
    <hyperlink ref="C134" r:id="rId266" display="https://www.fangraphs.com/teams/braves" xr:uid="{36831857-9F54-4E2C-91D7-D360A0976A08}"/>
    <hyperlink ref="B135" r:id="rId267" display="https://www.fangraphs.com/players/masyn-winn/27479/stats" xr:uid="{E298CD3F-6C5F-461C-8813-F648D9DE4434}"/>
    <hyperlink ref="C135" r:id="rId268" display="https://www.fangraphs.com/teams/cardinals" xr:uid="{8D5E58FC-76BD-4D82-939C-953EF5DE721D}"/>
    <hyperlink ref="B136" r:id="rId269" display="https://www.fangraphs.com/players/adolis-garcia/19287/stats" xr:uid="{ED0591D3-10BE-4C50-B5BE-220E200EE2A9}"/>
    <hyperlink ref="C136" r:id="rId270" display="https://www.fangraphs.com/teams/rangers" xr:uid="{715BE9BA-BAC2-407A-9B4A-8AA4307C3F22}"/>
    <hyperlink ref="B137" r:id="rId271" display="https://www.fangraphs.com/players/dansby-swanson/18314/stats" xr:uid="{296C7F9D-5972-4170-BEA8-4311A7148256}"/>
    <hyperlink ref="C137" r:id="rId272" display="https://www.fangraphs.com/teams/cubs" xr:uid="{4B3FD2CC-69E6-4884-916A-95C5269EB8A3}"/>
    <hyperlink ref="B138" r:id="rId273" display="https://www.fangraphs.com/players/luis-castillo/15689/stats" xr:uid="{19C60E27-C637-4856-BCB0-058114232C3D}"/>
    <hyperlink ref="C138" r:id="rId274" display="https://www.fangraphs.com/teams/mariners" xr:uid="{2DE0FAFB-FEF2-4C56-8D6F-104F78626F63}"/>
    <hyperlink ref="B139" r:id="rId275" display="https://www.fangraphs.com/players/tobias-myers/22191/stats" xr:uid="{AC6E3F20-F795-4FD1-A972-89934857B56D}"/>
    <hyperlink ref="C139" r:id="rId276" display="https://www.fangraphs.com/teams/brewers" xr:uid="{0DDADBE4-0D7A-45CD-A7A3-408983FA5091}"/>
    <hyperlink ref="B140" r:id="rId277" display="https://www.fangraphs.com/players/blake-snell/13543/stats" xr:uid="{4B086751-50CC-488F-8BE8-4F78200DACA7}"/>
    <hyperlink ref="C140" r:id="rId278" display="https://www.fangraphs.com/teams/dodgers" xr:uid="{CDA05964-35D2-4004-859B-9CFF1B310320}"/>
    <hyperlink ref="B141" r:id="rId279" display="https://www.fangraphs.com/players/mark-vientos/22184/stats" xr:uid="{CD968DB6-A274-469C-85A6-3E8704156865}"/>
    <hyperlink ref="C141" r:id="rId280" display="https://www.fangraphs.com/teams/mets" xr:uid="{4AA11D11-95B7-4268-BE42-095254534281}"/>
    <hyperlink ref="B142" r:id="rId281" display="https://www.fangraphs.com/players/ranger-suarez/17277/stats" xr:uid="{B18949ED-BF7C-4108-B024-A2D9125B2576}"/>
    <hyperlink ref="C142" r:id="rId282" display="https://www.fangraphs.com/teams/phillies" xr:uid="{F957EF58-E794-4BD0-8507-ABDF79F4AA25}"/>
    <hyperlink ref="B143" r:id="rId283" display="https://www.fangraphs.com/players/heliot-ramos/22515/stats" xr:uid="{F8510ECB-06F6-4B24-ACBD-0AE5DBE15205}"/>
    <hyperlink ref="C143" r:id="rId284" display="https://www.fangraphs.com/teams/giants" xr:uid="{B2518978-92AA-4165-A4F1-4D2F428FAD90}"/>
    <hyperlink ref="B144" r:id="rId285" display="https://www.fangraphs.com/players/freddy-peralta/18679/stats" xr:uid="{95EB6304-33D7-4289-97E5-D48407CA9C0D}"/>
    <hyperlink ref="C144" r:id="rId286" display="https://www.fangraphs.com/teams/brewers" xr:uid="{F5B80A14-ABC1-4966-8C6A-1135FBFEE158}"/>
    <hyperlink ref="B145" r:id="rId287" display="https://www.fangraphs.com/players/erick-fedde/17425/stats" xr:uid="{E02BCDC0-EB8B-43EB-B9FC-79F606DFA82D}"/>
    <hyperlink ref="C145" r:id="rId288" display="https://www.fangraphs.com/teams/cardinals" xr:uid="{6C64AF4D-6B40-43A6-B19D-6EE15610073B}"/>
    <hyperlink ref="B146" r:id="rId289" display="https://www.fangraphs.com/players/zac-gallen/19291/stats" xr:uid="{A35F5970-8BBB-419D-92A9-DF8E920B9936}"/>
    <hyperlink ref="C146" r:id="rId290" display="https://www.fangraphs.com/teams/diamondbacks" xr:uid="{8FB7EE6C-3485-4846-B0BE-30AF00DC29D3}"/>
    <hyperlink ref="B147" r:id="rId291" display="https://www.fangraphs.com/players/logan-webb/17995/stats" xr:uid="{C10C50C6-EC55-48FD-9953-5538F11CFDEF}"/>
    <hyperlink ref="C147" r:id="rId292" display="https://www.fangraphs.com/teams/giants" xr:uid="{272EC868-90D8-4A46-B2FB-C54E7238C51F}"/>
    <hyperlink ref="B148" r:id="rId293" display="https://www.fangraphs.com/players/nolan-arenado/9777/stats" xr:uid="{ED018A81-681C-430E-A046-60DBDE2996BD}"/>
    <hyperlink ref="C148" r:id="rId294" display="https://www.fangraphs.com/teams/cardinals" xr:uid="{175D9387-C11A-407B-8645-7A6E374BACC8}"/>
    <hyperlink ref="B149" r:id="rId295" display="https://www.fangraphs.com/players/brendan-donovan/24679/stats" xr:uid="{9B65978E-0242-493E-8892-0A3078DF170F}"/>
    <hyperlink ref="C149" r:id="rId296" display="https://www.fangraphs.com/teams/cardinals" xr:uid="{DAF0E46A-7019-4AFE-89D3-E865913B2261}"/>
    <hyperlink ref="B150" r:id="rId297" display="https://www.fangraphs.com/players/jose-butto/23313/stats" xr:uid="{33DD5153-114D-40F7-8B21-10ACF7F8AAD1}"/>
    <hyperlink ref="C150" r:id="rId298" display="https://www.fangraphs.com/teams/mets" xr:uid="{9F75961B-6F5E-4C67-B760-4EDDD95324DA}"/>
    <hyperlink ref="B151" r:id="rId299" display="https://www.fangraphs.com/players/fernando-tatis-jr/19709/stats" xr:uid="{528096B4-F4A4-4926-B46C-4DD522E9320F}"/>
    <hyperlink ref="C151" r:id="rId300" display="https://www.fangraphs.com/teams/padres" xr:uid="{F6007875-6610-4416-A09D-613A37989740}"/>
    <hyperlink ref="B152" r:id="rId301" display="https://www.fangraphs.com/players/joc-pederson/11899/stats" xr:uid="{BE651632-DB65-4955-9B8A-B3600BBB0417}"/>
    <hyperlink ref="C152" r:id="rId302" display="https://www.fangraphs.com/teams/rangers" xr:uid="{9C85952D-4930-485E-B902-377A279C6E71}"/>
    <hyperlink ref="B153" r:id="rId303" display="https://www.fangraphs.com/players/maikel-garcia/22715/stats" xr:uid="{466B94D8-EFDB-4FF7-8782-9667B4661A36}"/>
    <hyperlink ref="C153" r:id="rId304" display="https://www.fangraphs.com/teams/royals" xr:uid="{163B9C5B-BAF7-4AE6-8158-5BF1468C365E}"/>
    <hyperlink ref="B154" r:id="rId305" display="https://www.fangraphs.com/players/mason-miller/31757/stats" xr:uid="{9A959DBB-9F63-488B-8BA0-9B5C75192E05}"/>
    <hyperlink ref="C154" r:id="rId306" display="https://www.fangraphs.com/teams/athletics" xr:uid="{B7F92467-AF75-4FAC-B868-F1C7552AADBA}"/>
    <hyperlink ref="B155" r:id="rId307" display="https://www.fangraphs.com/players/kyle-tucker/18345/stats" xr:uid="{2CB89C23-4495-482E-9991-5EC2A84AE7F8}"/>
    <hyperlink ref="C155" r:id="rId308" display="https://www.fangraphs.com/teams/cubs" xr:uid="{E0475910-02CD-4971-A748-1E1F62CB9350}"/>
    <hyperlink ref="B156" r:id="rId309" display="https://www.fangraphs.com/players/kevin-gausman/14107/stats" xr:uid="{A3016019-FDEB-4086-8C1B-32A5DE7A0AAF}"/>
    <hyperlink ref="C156" r:id="rId310" display="https://www.fangraphs.com/teams/blue-jays" xr:uid="{875E237C-1763-4559-8568-FC6B035AE572}"/>
    <hyperlink ref="B157" r:id="rId311" display="https://www.fangraphs.com/players/jesus-sanchez/19913/stats" xr:uid="{03D9DC20-F215-4D90-AD48-2318BAE89DCB}"/>
    <hyperlink ref="C157" r:id="rId312" display="https://www.fangraphs.com/teams/marlins" xr:uid="{F8B27408-F65D-4187-B147-47C00B3DCC6F}"/>
    <hyperlink ref="B158" r:id="rId313" display="https://www.fangraphs.com/players/jorge-soler/14221/stats" xr:uid="{AEF1B361-9921-4FAE-BC3B-718C05AF826E}"/>
    <hyperlink ref="C158" r:id="rId314" display="https://www.fangraphs.com/teams/angels" xr:uid="{B61141CD-0AC1-424D-B504-A32B13847E07}"/>
    <hyperlink ref="B159" r:id="rId315" display="https://www.fangraphs.com/players/willi-castro/17338/stats" xr:uid="{B575643A-07B9-4A6D-A5CC-F69613941A24}"/>
    <hyperlink ref="C159" r:id="rId316" display="https://www.fangraphs.com/teams/twins" xr:uid="{0668E76E-BE55-4F16-A9A4-5C0CAEFE0E75}"/>
    <hyperlink ref="B160" r:id="rId317" display="https://www.fangraphs.com/players/andres-gimenez/19950/stats" xr:uid="{0593ACEF-DB30-49BA-8C14-D8BCAD5CEA57}"/>
    <hyperlink ref="C160" r:id="rId318" display="https://www.fangraphs.com/teams/blue-jays" xr:uid="{F55D1480-1910-400D-B252-DC58436C946F}"/>
    <hyperlink ref="B161" r:id="rId319" display="https://www.fangraphs.com/players/justin-steele/17312/stats" xr:uid="{1DC89FA2-BA20-48EF-95D8-75283CCE5C84}"/>
    <hyperlink ref="C161" r:id="rId320" display="https://www.fangraphs.com/teams/cubs" xr:uid="{92594A04-6CA7-4E2B-AB20-7F326A747BCE}"/>
    <hyperlink ref="B162" r:id="rId321" display="https://www.fangraphs.com/players/jonathan-india/21523/stats" xr:uid="{363EF678-C483-4774-AE6D-781C5FDBDD96}"/>
    <hyperlink ref="C162" r:id="rId322" display="https://www.fangraphs.com/teams/royals" xr:uid="{18F8C93A-D230-43B2-92B2-C2EE3EEFFE07}"/>
    <hyperlink ref="B163" r:id="rId323" display="https://www.fangraphs.com/players/hunter-brown/25880/stats" xr:uid="{30289E0F-58F5-4362-A34C-38D42032D897}"/>
    <hyperlink ref="C163" r:id="rId324" display="https://www.fangraphs.com/teams/astros" xr:uid="{939AE5D5-DB1C-4FED-B0AB-AA22A53B21F3}"/>
    <hyperlink ref="B164" r:id="rId325" display="https://www.fangraphs.com/players/yoshinobu-yamamoto/33825/stats" xr:uid="{A97AF06E-73A2-451D-A0F8-45CA39183F3E}"/>
    <hyperlink ref="C164" r:id="rId326" display="https://www.fangraphs.com/teams/dodgers" xr:uid="{52A33F37-830D-4D73-B484-92F07D369B42}"/>
    <hyperlink ref="B165" r:id="rId327" display="https://www.fangraphs.com/players/bryson-stott/26294/stats" xr:uid="{BA625AE4-6DD5-4678-B5AA-8079A24A6176}"/>
    <hyperlink ref="C165" r:id="rId328" display="https://www.fangraphs.com/teams/phillies" xr:uid="{BC25F708-CA57-461E-B3E3-60F3228785A8}"/>
    <hyperlink ref="B166" r:id="rId329" display="https://www.fangraphs.com/players/jt-realmuto/11739/stats" xr:uid="{D9BF77EA-0212-44A4-88D6-42CED170E03D}"/>
    <hyperlink ref="C166" r:id="rId330" display="https://www.fangraphs.com/teams/phillies" xr:uid="{B621D40D-AF3D-4135-AE1D-FE4B0DA71AE6}"/>
    <hyperlink ref="B167" r:id="rId331" display="https://www.fangraphs.com/players/cristopher-sanchez/20778/stats" xr:uid="{9F05C9B6-768B-44CA-A184-EBD9E075CF46}"/>
    <hyperlink ref="C167" r:id="rId332" display="https://www.fangraphs.com/teams/phillies" xr:uid="{279F2A4F-F6A1-4B7D-8CD4-D0050C2FB7F9}"/>
    <hyperlink ref="B168" r:id="rId333" display="https://www.fangraphs.com/players/grayson-rodriguez/24492/stats" xr:uid="{E303B100-24E6-4ED3-BB4D-8A12FCC340E7}"/>
    <hyperlink ref="C168" r:id="rId334" display="https://www.fangraphs.com/teams/orioles" xr:uid="{5A234909-61FA-4732-B434-7771DDD418B8}"/>
    <hyperlink ref="B169" r:id="rId335" display="https://www.fangraphs.com/players/byron-buxton/14161/stats" xr:uid="{117FC62D-BB11-4428-A61E-C46FD5275516}"/>
    <hyperlink ref="C169" r:id="rId336" display="https://www.fangraphs.com/teams/twins" xr:uid="{50F65CBE-C54D-4454-9BD3-3EF4FD07C03C}"/>
    <hyperlink ref="B170" r:id="rId337" display="https://www.fangraphs.com/players/david-fry/24934/stats" xr:uid="{4BDDCA8F-697D-4381-972B-CDFBC7D67580}"/>
    <hyperlink ref="C170" r:id="rId338" display="https://www.fangraphs.com/teams/guardians" xr:uid="{022E7D9B-E678-4994-A8E6-28DECE93D5CC}"/>
    <hyperlink ref="B171" r:id="rId339" display="https://www.fangraphs.com/players/zach-eflin/13774/stats" xr:uid="{00BAC942-A99A-47BF-8FC1-09F0F1011C24}"/>
    <hyperlink ref="C171" r:id="rId340" display="https://www.fangraphs.com/teams/orioles" xr:uid="{298B9F4E-8DDF-4842-A43B-234D21015FB0}"/>
    <hyperlink ref="B172" r:id="rId341" display="https://www.fangraphs.com/players/paul-goldschmidt/9218/stats" xr:uid="{13311FFC-4061-4E17-AC00-4E5466D92912}"/>
    <hyperlink ref="C172" r:id="rId342" display="https://www.fangraphs.com/teams/yankees" xr:uid="{33F886AC-8E40-4772-87A4-4BF1B5351BE1}"/>
    <hyperlink ref="B173" r:id="rId343" display="https://www.fangraphs.com/players/randy-arozarena/19290/stats" xr:uid="{DC9D0E04-A6E6-42BF-8837-98ADF66651B6}"/>
    <hyperlink ref="C173" r:id="rId344" display="https://www.fangraphs.com/teams/mariners" xr:uid="{6404DEA9-0F43-4A78-B048-10FFC7D066BC}"/>
    <hyperlink ref="B174" r:id="rId345" display="https://www.fangraphs.com/players/matt-vierling/21558/stats" xr:uid="{DD82A8A1-5926-4CDB-B132-6EEB64CC7A9A}"/>
    <hyperlink ref="C174" r:id="rId346" display="https://www.fangraphs.com/teams/tigers" xr:uid="{7E59E2A9-D42E-4DB6-949F-335B03B44D7B}"/>
    <hyperlink ref="B175" r:id="rId347" display="https://www.fangraphs.com/players/trevor-williams/16977/stats" xr:uid="{7C3463CF-926B-4FF0-9538-6238CB5C23F1}"/>
    <hyperlink ref="C175" r:id="rId348" display="https://www.fangraphs.com/teams/nationals" xr:uid="{84E65731-0D50-44F0-9897-3D9E6E873EA1}"/>
    <hyperlink ref="B176" r:id="rId349" display="https://www.fangraphs.com/players/griffin-jax/20253/stats" xr:uid="{811B8803-FDEA-4536-BC72-F633F2C513E1}"/>
    <hyperlink ref="C176" r:id="rId350" display="https://www.fangraphs.com/teams/twins" xr:uid="{A089D804-A9EC-4434-A3F3-AD9ECB74FC65}"/>
    <hyperlink ref="B177" r:id="rId351" display="https://www.fangraphs.com/players/ryan-pepiot/26221/stats" xr:uid="{33DC589C-EAC0-432B-B579-5585F9BF3F07}"/>
    <hyperlink ref="C177" r:id="rId352" display="https://www.fangraphs.com/teams/rays" xr:uid="{79D1A27F-ECFF-46FA-B8B3-392434218AEB}"/>
    <hyperlink ref="B178" r:id="rId353" display="https://www.fangraphs.com/players/gleyber-torres/16997/stats" xr:uid="{9CBAF908-E5D4-4575-A457-709CA02103B5}"/>
    <hyperlink ref="C178" r:id="rId354" display="https://www.fangraphs.com/teams/tigers" xr:uid="{98573C6E-F575-4923-8D9E-A71517B5AB8D}"/>
    <hyperlink ref="B179" r:id="rId355" display="https://www.fangraphs.com/players/nestor-cortes/17874/stats" xr:uid="{C57DAC6B-FA4A-4220-B517-B545EFE7698F}"/>
    <hyperlink ref="C179" r:id="rId356" display="https://www.fangraphs.com/teams/brewers" xr:uid="{81FA6E18-345F-4C8B-9F6E-9075D6C6A740}"/>
    <hyperlink ref="B180" r:id="rId357" display="https://www.fangraphs.com/players/jake-cronenworth/18036/stats" xr:uid="{734805C5-2520-453D-9527-66FF7A12126C}"/>
    <hyperlink ref="C180" r:id="rId358" display="https://www.fangraphs.com/teams/padres" xr:uid="{A86EDC10-6B95-4093-A583-1DC7388C3D83}"/>
    <hyperlink ref="B181" r:id="rId359" display="https://www.fangraphs.com/players/jared-koenig/27517/stats" xr:uid="{59C511EB-BA52-4DDF-99E6-54E90B70BF9E}"/>
    <hyperlink ref="C181" r:id="rId360" display="https://www.fangraphs.com/teams/brewers" xr:uid="{E6AA20D2-86DF-4F12-B7F9-71F56F602A5E}"/>
    <hyperlink ref="B182" r:id="rId361" display="https://www.fangraphs.com/players/jason-adam/11861/stats" xr:uid="{DB999017-012C-4FFC-8034-3185563523D5}"/>
    <hyperlink ref="C182" r:id="rId362" display="https://www.fangraphs.com/teams/padres" xr:uid="{8D47DD7F-DD82-4B75-8821-F7A8CE419DD8}"/>
    <hyperlink ref="B183" r:id="rId363" display="https://www.fangraphs.com/players/david-peterson/20302/stats" xr:uid="{8833B571-DA0B-43B8-815D-DBEEB14A06AD}"/>
    <hyperlink ref="C183" r:id="rId364" display="https://www.fangraphs.com/teams/mets" xr:uid="{9AB29622-EDC7-46E8-97B0-34089F3A1E9A}"/>
    <hyperlink ref="B184" r:id="rId365" display="https://www.fangraphs.com/players/luis-l-ortiz/27646/stats" xr:uid="{1E7ED699-6387-4357-94DC-D12016B1031C}"/>
    <hyperlink ref="C184" r:id="rId366" display="https://www.fangraphs.com/teams/guardians" xr:uid="{530B863A-BA45-4811-A881-530618D69A82}"/>
    <hyperlink ref="B185" r:id="rId367" display="https://www.fangraphs.com/players/brandon-marsh/20202/stats" xr:uid="{F6DF3B7B-D567-4875-B5AC-ED2D8DE1FC8F}"/>
    <hyperlink ref="C185" r:id="rId368" display="https://www.fangraphs.com/teams/phillies" xr:uid="{4B60D4CD-FD3D-41F2-BB5A-2398595E15EE}"/>
    <hyperlink ref="B186" r:id="rId369" display="https://www.fangraphs.com/players/gavin-stone/27792/stats" xr:uid="{27B7DE29-5D27-44A5-97C3-86B3A460B723}"/>
    <hyperlink ref="C186" r:id="rId370" display="https://www.fangraphs.com/teams/dodgers" xr:uid="{15C493C7-4899-4063-AA2B-162ACA474F61}"/>
    <hyperlink ref="B187" r:id="rId371" display="https://www.fangraphs.com/players/gerrit-cole/13125/stats" xr:uid="{BA0B697F-150C-41F6-9055-21D6F9776601}"/>
    <hyperlink ref="C187" r:id="rId372" display="https://www.fangraphs.com/teams/yankees" xr:uid="{145459C8-490B-4206-A612-E673FC7DAB1D}"/>
    <hyperlink ref="B188" r:id="rId373" display="https://www.fangraphs.com/players/luke-raley/19354/stats" xr:uid="{58D05EE1-7CC5-4B2E-AB6A-827894F7A282}"/>
    <hyperlink ref="C188" r:id="rId374" display="https://www.fangraphs.com/teams/mariners" xr:uid="{B334D29B-7AA5-4529-B420-4BDA9CD9499C}"/>
    <hyperlink ref="B189" r:id="rId375" display="https://www.fangraphs.com/players/hunter-gaddis/25636/stats" xr:uid="{D614F964-1422-4EF1-A27C-38AEFA15D529}"/>
    <hyperlink ref="C189" r:id="rId376" display="https://www.fangraphs.com/teams/guardians" xr:uid="{360B147A-2E1C-412E-A53E-EA5CD8C87F84}"/>
    <hyperlink ref="B190" r:id="rId377" display="https://www.fangraphs.com/players/jakob-junis/13619/stats" xr:uid="{FD9C54E8-9E8C-423E-83D7-CAE7FB69BC9D}"/>
    <hyperlink ref="C190" r:id="rId378" display="https://www.fangraphs.com/teams/guardians" xr:uid="{897C00C7-CBEA-499A-95EC-BA00E3E7C4CC}"/>
    <hyperlink ref="B191" r:id="rId379" display="https://www.fangraphs.com/players/willson-contreras/11609/stats" xr:uid="{4196E30B-4418-48AF-B18B-2500D21E2276}"/>
    <hyperlink ref="C191" r:id="rId380" display="https://www.fangraphs.com/teams/cardinals" xr:uid="{D9D438EF-A609-4467-B736-B17AF710326A}"/>
    <hyperlink ref="B192" r:id="rId381" display="https://www.fangraphs.com/players/jesse-winker/13590/stats" xr:uid="{E7D8BF57-1EA3-4569-A037-87E9CAD355CE}"/>
    <hyperlink ref="C192" r:id="rId382" display="https://www.fangraphs.com/teams/mets" xr:uid="{53E0308D-63B8-44E3-A8CF-A365D9BA3578}"/>
    <hyperlink ref="B193" r:id="rId383" display="https://www.fangraphs.com/players/cade-smith/27867/stats" xr:uid="{3D2F2C03-E492-450A-8EA2-7FFC37836AB1}"/>
    <hyperlink ref="C193" r:id="rId384" display="https://www.fangraphs.com/teams/guardians" xr:uid="{AF8B1835-F41C-46AE-940C-D16A819FB091}"/>
    <hyperlink ref="B194" r:id="rId385" display="https://www.fangraphs.com/players/michael-busch/26319/stats" xr:uid="{8C1C84E2-2B1C-42ED-BA37-B9E4F42D1A86}"/>
    <hyperlink ref="C194" r:id="rId386" display="https://www.fangraphs.com/teams/cubs" xr:uid="{9A2974FF-DFC4-48C5-89AE-E979E5E7C0E0}"/>
    <hyperlink ref="B195" r:id="rId387" display="https://www.fangraphs.com/players/yusei-kikuchi/20633/stats" xr:uid="{B8684D97-44E2-4EC5-B78E-B3E38D519CB3}"/>
    <hyperlink ref="C195" r:id="rId388" display="https://www.fangraphs.com/teams/angels" xr:uid="{E7F4E6ED-D028-445E-88D0-435416D5AC99}"/>
    <hyperlink ref="B196" r:id="rId389" display="https://www.fangraphs.com/players/matt-strahm/13799/stats" xr:uid="{E34638D5-50B6-4239-B265-BB9748459D8B}"/>
    <hyperlink ref="C196" r:id="rId390" display="https://www.fangraphs.com/teams/phillies" xr:uid="{2C332845-F0E4-4099-BB83-DFA7B5F2BBF0}"/>
    <hyperlink ref="B197" r:id="rId391" display="https://www.fangraphs.com/players/jacob-young/29931/stats" xr:uid="{3EF4CEC1-2F87-4436-B011-228D3BF810A6}"/>
    <hyperlink ref="C197" r:id="rId392" display="https://www.fangraphs.com/teams/nationals" xr:uid="{9BCF9DC8-FD82-4626-853E-1B1A9F105B00}"/>
    <hyperlink ref="B198" r:id="rId393" display="https://www.fangraphs.com/players/josh-smith/26396/stats" xr:uid="{2794CCB3-19A0-489E-BB43-E71A1125B967}"/>
    <hyperlink ref="C198" r:id="rId394" display="https://www.fangraphs.com/teams/rangers" xr:uid="{E0CDB06C-2A6A-4684-B1C5-C005ABE92E43}"/>
    <hyperlink ref="B199" r:id="rId395" display="https://www.fangraphs.com/players/isaac-paredes/20036/stats" xr:uid="{3550750B-09E7-4DC8-B965-55072BF30360}"/>
    <hyperlink ref="C199" r:id="rId396" display="https://www.fangraphs.com/teams/astros" xr:uid="{AB3FB172-E241-4A77-B5B5-31A8771243FB}"/>
    <hyperlink ref="B200" r:id="rId397" display="https://www.fangraphs.com/players/yu-darvish/13074/stats" xr:uid="{1991A089-CBFA-428A-BECD-A477F40B091E}"/>
    <hyperlink ref="C200" r:id="rId398" display="https://www.fangraphs.com/teams/padres" xr:uid="{67F6D90A-912F-414D-992A-0D813E89870B}"/>
    <hyperlink ref="B201" r:id="rId399" display="https://www.fangraphs.com/players/jj-bleday/26368/stats" xr:uid="{F3040E50-3F63-4BC0-A9ED-16682536EFDE}"/>
    <hyperlink ref="C201" r:id="rId400" display="https://www.fangraphs.com/teams/athletics" xr:uid="{C56443D8-1D34-43B1-AF8A-5E3FA09F2AF5}"/>
    <hyperlink ref="B202" r:id="rId401" display="https://www.fangraphs.com/players/jordan-westburg/27815/stats" xr:uid="{3E5022D7-4E91-4499-B777-DBA40C313009}"/>
    <hyperlink ref="C202" r:id="rId402" display="https://www.fangraphs.com/teams/orioles" xr:uid="{D7417BE2-1A4C-4A00-8B4D-B8336A040309}"/>
    <hyperlink ref="B203" r:id="rId403" display="https://www.fangraphs.com/players/ryan-mcmahon/15112/stats" xr:uid="{08C867EE-66FB-4BF7-8318-376FA486F40C}"/>
    <hyperlink ref="C203" r:id="rId404" display="https://www.fangraphs.com/teams/rockies" xr:uid="{556B48A1-D33E-4BD1-932C-2D04397C54FB}"/>
    <hyperlink ref="B204" r:id="rId405" display="https://www.fangraphs.com/players/andres-munoz/20373/stats" xr:uid="{D0DE7737-20C2-4D8F-81EA-C085D7A978E4}"/>
    <hyperlink ref="C204" r:id="rId406" display="https://www.fangraphs.com/teams/mariners" xr:uid="{4B027B06-0B8E-459D-89D6-449F39FFD72F}"/>
    <hyperlink ref="B205" r:id="rId407" display="https://www.fangraphs.com/players/christian-yelich/11477/stats" xr:uid="{8DD44EE0-4F2D-42D2-99BA-5F295B573A15}"/>
    <hyperlink ref="C205" r:id="rId408" display="https://www.fangraphs.com/teams/brewers" xr:uid="{4AF2B7C3-8853-4D81-AD07-F134199CE3F8}"/>
    <hyperlink ref="B206" r:id="rId409" display="https://www.fangraphs.com/players/carlos-estevez/14542/stats" xr:uid="{0ED3F00D-E44E-4A51-AAA1-E777A8911867}"/>
    <hyperlink ref="C206" r:id="rId410" display="https://www.fangraphs.com/teams/royals" xr:uid="{6D1A82B6-1894-402D-B0EC-8FEB288DDD21}"/>
    <hyperlink ref="B207" r:id="rId411" display="https://www.fangraphs.com/players/ben-lively/14932/stats" xr:uid="{042C55A7-D057-4A85-A9AF-3CEC270F4A3D}"/>
    <hyperlink ref="C207" r:id="rId412" display="https://www.fangraphs.com/teams/guardians" xr:uid="{DFDA89F7-EDE9-47D9-B72D-3BC9954347C6}"/>
    <hyperlink ref="B208" r:id="rId413" display="https://www.fangraphs.com/players/george-springer/12856/stats" xr:uid="{393B24FC-0DE3-4E12-ADED-4E726493699A}"/>
    <hyperlink ref="C208" r:id="rId414" display="https://www.fangraphs.com/teams/blue-jays" xr:uid="{93149183-865D-43A1-8305-693D4C949FDE}"/>
    <hyperlink ref="B209" r:id="rId415" display="https://www.fangraphs.com/players/carlos-santana/2396/stats" xr:uid="{19812FFF-459E-4D57-AE0D-199A47438ED3}"/>
    <hyperlink ref="C209" r:id="rId416" display="https://www.fangraphs.com/teams/guardians" xr:uid="{96026FFF-B630-49D6-8918-95893A4AEB8C}"/>
    <hyperlink ref="B210" r:id="rId417" display="https://www.fangraphs.com/players/nathaniel-lowe/19566/stats" xr:uid="{3AB0CFAB-DFE2-43F1-962F-1F9346BA2715}"/>
    <hyperlink ref="C210" r:id="rId418" display="https://www.fangraphs.com/teams/nationals" xr:uid="{0E56C54C-11D4-4F61-B48B-3A9D341891BE}"/>
    <hyperlink ref="B211" r:id="rId419" display="https://www.fangraphs.com/players/luke-weaver/16918/stats" xr:uid="{2B4DC017-8BD2-4ABD-BFB0-EBEC3F57562A}"/>
    <hyperlink ref="C211" r:id="rId420" display="https://www.fangraphs.com/teams/yankees" xr:uid="{4CB061C2-5846-436E-A5E1-63CF688F2F85}"/>
    <hyperlink ref="B212" r:id="rId421" display="https://www.fangraphs.com/players/rhys-hoskins/16472/stats" xr:uid="{A02C6D64-75EF-4DB4-A1D3-2D7A1E7B93FF}"/>
    <hyperlink ref="C212" r:id="rId422" display="https://www.fangraphs.com/teams/brewers" xr:uid="{E3FE8ADC-1DF8-497A-8217-938EBA0EAE5F}"/>
    <hyperlink ref="B213" r:id="rId423" display="https://www.fangraphs.com/players/bryan-hudson/19924/stats" xr:uid="{595D06F6-C055-43CB-9973-3D3725AE3DD7}"/>
    <hyperlink ref="C213" r:id="rId424" display="https://www.fangraphs.com/teams/brewers" xr:uid="{34CC7117-FF1C-4AC2-AC4A-E4BC99FDBBCD}"/>
    <hyperlink ref="B214" r:id="rId425" display="https://www.fangraphs.com/players/clarke-schmidt/19899/stats" xr:uid="{61D906BF-67F2-4DB5-B9BE-26C93703BA74}"/>
    <hyperlink ref="C214" r:id="rId426" display="https://www.fangraphs.com/teams/yankees" xr:uid="{A96DB4DE-C158-4D72-8300-267905C9100F}"/>
    <hyperlink ref="B215" r:id="rId427" display="https://www.fangraphs.com/players/keibert-ruiz/19610/stats" xr:uid="{02E07D50-6C85-42D7-AC58-32F2E002EA7D}"/>
    <hyperlink ref="C215" r:id="rId428" display="https://www.fangraphs.com/teams/nationals" xr:uid="{AE064BA2-CBFF-4948-82B3-5E5FC0D21924}"/>
    <hyperlink ref="B216" r:id="rId429" display="https://www.fangraphs.com/players/cody-bradford/27597/stats" xr:uid="{4BB3ED62-5040-491B-AEE3-F0358CB29EF7}"/>
    <hyperlink ref="C216" r:id="rId430" display="https://www.fangraphs.com/teams/rangers" xr:uid="{74D47877-FA81-4AC2-959D-DD12F5925806}"/>
    <hyperlink ref="B217" r:id="rId431" display="https://www.fangraphs.com/players/michael-harris-ii/25931/stats" xr:uid="{164E44EA-9F3C-41D7-B552-807650C60730}"/>
    <hyperlink ref="C217" r:id="rId432" display="https://www.fangraphs.com/teams/braves" xr:uid="{B5ED6582-92EB-4DA3-B9DF-721F9A689530}"/>
    <hyperlink ref="B218" r:id="rId433" display="https://www.fangraphs.com/players/ryan-ohearn/16442/stats" xr:uid="{23EE4CCD-BF7F-4449-A0F5-6583E3F55150}"/>
    <hyperlink ref="C218" r:id="rId434" display="https://www.fangraphs.com/teams/orioles" xr:uid="{DC31C358-F57A-4261-9057-DAE101C5C2EB}"/>
    <hyperlink ref="B219" r:id="rId435" display="https://www.fangraphs.com/players/yandy-diaz/16578/stats" xr:uid="{767E1648-B674-4200-A737-BDCE9F815D29}"/>
    <hyperlink ref="C219" r:id="rId436" display="https://www.fangraphs.com/teams/rays" xr:uid="{74F6ED86-D850-4353-9976-C8C1BA64D756}"/>
    <hyperlink ref="B220" r:id="rId437" display="https://www.fangraphs.com/players/nick-pivetta/15454/stats" xr:uid="{F8DB92F3-0BCE-42F7-9C1B-5F0A4902D76C}"/>
    <hyperlink ref="C220" r:id="rId438" display="https://www.fangraphs.com/teams/padres" xr:uid="{FD527FFE-009D-4E56-9DDA-EDBDB2ED3763}"/>
    <hyperlink ref="B221" r:id="rId439" display="https://www.fangraphs.com/players/bryan-de-la-cruz/19600/stats" xr:uid="{2A3D130C-1AD3-418C-91B7-E5382B780669}"/>
    <hyperlink ref="C221" r:id="rId440" display="https://www.fangraphs.com/teams/braves" xr:uid="{37B7CF94-726B-4B25-AFAA-AD0FA90BA514}"/>
    <hyperlink ref="B222" r:id="rId441" display="https://www.fangraphs.com/players/joey-bart/21524/stats" xr:uid="{92865C1A-990D-4E57-9DB9-D4123732E977}"/>
    <hyperlink ref="C222" r:id="rId442" display="https://www.fangraphs.com/teams/pirates" xr:uid="{F69BFB2F-194D-473F-91DF-11206B18600F}"/>
    <hyperlink ref="B223" r:id="rId443" display="https://www.fangraphs.com/players/wilyer-abreu/23772/stats" xr:uid="{A6532109-A677-4725-A5EC-1FDEC581C70E}"/>
    <hyperlink ref="C223" r:id="rId444" display="https://www.fangraphs.com/teams/red-sox" xr:uid="{472B5DB5-63BD-4F6C-AA20-C0F1ED282FE5}"/>
    <hyperlink ref="B224" r:id="rId445" display="https://www.fangraphs.com/players/jose-caballero/23401/stats" xr:uid="{FA616411-7045-45DC-9B6B-825C837C6296}"/>
    <hyperlink ref="C224" r:id="rId446" display="https://www.fangraphs.com/teams/rays" xr:uid="{F6550E7E-ECA1-4BC5-A85F-DF0E5B8CBE93}"/>
    <hyperlink ref="B225" r:id="rId447" display="https://www.fangraphs.com/players/carlos-correa/14162/stats" xr:uid="{04B7E4FE-121C-4605-B4B4-540C68975F7F}"/>
    <hyperlink ref="C225" r:id="rId448" display="https://www.fangraphs.com/teams/twins" xr:uid="{B2C76553-C4EC-480A-B566-8DD73F609199}"/>
    <hyperlink ref="B226" r:id="rId449" display="https://www.fangraphs.com/players/luis-severino/15890/stats" xr:uid="{1E76CD89-1F8D-4DEF-88DF-7F16B3E3D55D}"/>
    <hyperlink ref="C226" r:id="rId450" display="https://www.fangraphs.com/teams/athletics" xr:uid="{48AB6888-E0E2-46EC-B113-1039B331E079}"/>
    <hyperlink ref="B227" r:id="rId451" display="https://www.fangraphs.com/players/kutter-crawford/20531/stats" xr:uid="{DE9C7F83-ED96-4F13-9C16-0919EDC675CE}"/>
    <hyperlink ref="C227" r:id="rId452" display="https://www.fangraphs.com/teams/red-sox" xr:uid="{601C18B1-FA33-41FA-AA8A-A33B10E7552A}"/>
    <hyperlink ref="B228" r:id="rId453" display="https://www.fangraphs.com/players/travis-darnaud/7739/stats" xr:uid="{FB60E500-ADAF-4081-8B64-EF6819A16A4B}"/>
    <hyperlink ref="C228" r:id="rId454" display="https://www.fangraphs.com/teams/angels" xr:uid="{BA18B091-6E6B-41F0-AA76-AE2D4DAB7ED2}"/>
    <hyperlink ref="B229" r:id="rId455" display="https://www.fangraphs.com/players/austin-riley/18360/stats" xr:uid="{AB7DF705-53DB-471A-A72D-E63BF2F58961}"/>
    <hyperlink ref="C229" r:id="rId456" display="https://www.fangraphs.com/teams/braves" xr:uid="{D100691F-6CFF-4DA2-8ECD-1D27B2135F14}"/>
    <hyperlink ref="B230" r:id="rId457" display="https://www.fangraphs.com/players/josh-bell/13145/stats" xr:uid="{AD666E6B-2CB7-4A7B-92D8-29362D8ECAA0}"/>
    <hyperlink ref="C230" r:id="rId458" display="https://www.fangraphs.com/teams/nationals" xr:uid="{8063786D-270B-434D-BB52-157628F62CD1}"/>
    <hyperlink ref="B231" r:id="rId459" display="https://www.fangraphs.com/players/austin-wells/27562/stats" xr:uid="{56B0503E-E61A-4115-ADD3-A7C75790070A}"/>
    <hyperlink ref="C231" r:id="rId460" display="https://www.fangraphs.com/teams/yankees" xr:uid="{0726C6EF-5A1B-4118-8BEA-4814B88E78B6}"/>
    <hyperlink ref="B232" r:id="rId461" display="https://www.fangraphs.com/players/alex-vesia/25007/stats" xr:uid="{F2D78C35-236B-4260-AF26-540B00693FF8}"/>
    <hyperlink ref="C232" r:id="rId462" display="https://www.fangraphs.com/teams/dodgers" xr:uid="{9C3A5DC9-A7B7-451C-842E-E0628367B4A5}"/>
    <hyperlink ref="B233" r:id="rId463" display="https://www.fangraphs.com/players/daulton-varsho/19918/stats" xr:uid="{DAB0901F-F4BD-4DB5-A0C2-839FF545ABB1}"/>
    <hyperlink ref="C233" r:id="rId464" display="https://www.fangraphs.com/teams/blue-jays" xr:uid="{35039ED9-6E6D-4EBA-844C-ED0FBF2F7629}"/>
    <hyperlink ref="B234" r:id="rId465" display="https://www.fangraphs.com/players/edwin-diaz/14710/stats" xr:uid="{60CE8551-5F5F-4680-B8B6-4BB5D324671A}"/>
    <hyperlink ref="C234" r:id="rId466" display="https://www.fangraphs.com/teams/mets" xr:uid="{D68FBCD7-C8DC-41A4-A13B-6CFCB5ED1A09}"/>
    <hyperlink ref="B235" r:id="rId467" display="https://www.fangraphs.com/players/brandon-lowe/18882/stats" xr:uid="{D481330D-DF15-4253-BD13-2BE52ECA6D8A}"/>
    <hyperlink ref="C235" r:id="rId468" display="https://www.fangraphs.com/teams/rays" xr:uid="{A94D602F-F28A-4BF3-9F3D-FC41CF9724A9}"/>
    <hyperlink ref="B236" r:id="rId469" display="https://www.fangraphs.com/players/shane-baz/22264/stats" xr:uid="{DA4E2527-987F-4804-BC8D-C03BD063C7BB}"/>
    <hyperlink ref="C236" r:id="rId470" display="https://www.fangraphs.com/teams/rays" xr:uid="{F3C4CABC-6CC2-4E30-BF89-3C9D4975ABB3}"/>
    <hyperlink ref="B237" r:id="rId471" display="https://www.fangraphs.com/players/giancarlo-stanton/4949/stats" xr:uid="{73CFB8E1-C360-40AB-90AF-D2AC315E27E2}"/>
    <hyperlink ref="C237" r:id="rId472" display="https://www.fangraphs.com/teams/yankees" xr:uid="{0DAC430E-8F4D-4A58-8C2D-483035D4C1AA}"/>
    <hyperlink ref="B238" r:id="rId473" display="https://www.fangraphs.com/players/michael-toglia/25845/stats" xr:uid="{C65060EA-903D-46BF-8AF8-970B00C279E8}"/>
    <hyperlink ref="C238" r:id="rId474" display="https://www.fangraphs.com/teams/rockies" xr:uid="{03E471EA-98AB-4283-B3DB-6F87B7EC78D1}"/>
    <hyperlink ref="B239" r:id="rId475" display="https://www.fangraphs.com/players/victor-robles/18363/stats" xr:uid="{802E0A45-0317-4F54-8118-E3BF2BDF9878}"/>
    <hyperlink ref="C239" r:id="rId476" display="https://www.fangraphs.com/teams/mariners" xr:uid="{9E302661-B45C-43E2-8337-7266656FD59A}"/>
    <hyperlink ref="B240" r:id="rId477" display="https://www.fangraphs.com/players/brady-singer/25377/stats" xr:uid="{C230AE8C-FAC8-43B8-8956-85214633CE38}"/>
    <hyperlink ref="C240" r:id="rId478" display="https://www.fangraphs.com/teams/reds" xr:uid="{AB2AC6DE-64EC-442B-A90F-5037590AE7BC}"/>
    <hyperlink ref="B241" r:id="rId479" display="https://www.fangraphs.com/players/zack-littell/15823/stats" xr:uid="{14996AA4-C134-4D31-8FC3-E0ED41AFF5F9}"/>
    <hyperlink ref="C241" r:id="rId480" display="https://www.fangraphs.com/teams/rays" xr:uid="{89118700-FFC2-4B47-A69C-8C16381BD6CB}"/>
    <hyperlink ref="B242" r:id="rId481" display="https://www.fangraphs.com/players/brendan-rodgers/17907/stats" xr:uid="{B49E325C-AB90-400A-8D35-99E4E4227CBF}"/>
    <hyperlink ref="C242" r:id="rId482" display="https://www.fangraphs.com/teams/astros" xr:uid="{B774C133-2EA0-47AE-9378-8C1CCDBADAE1}"/>
    <hyperlink ref="B243" r:id="rId483" display="https://www.fangraphs.com/players/jonah-heim/16930/stats" xr:uid="{CF64800D-910A-4978-84F7-67BCED764D8C}"/>
    <hyperlink ref="C243" r:id="rId484" display="https://www.fangraphs.com/teams/rangers" xr:uid="{52092866-D3D9-41FB-9F90-B64CBD8AEFA4}"/>
    <hyperlink ref="B244" r:id="rId485" display="https://www.fangraphs.com/players/jo-adell/20220/stats" xr:uid="{77302519-F589-45FE-83D8-F92CEE5590AB}"/>
    <hyperlink ref="C244" r:id="rId486" display="https://www.fangraphs.com/teams/angels" xr:uid="{00CC0514-2DA0-48D2-BF97-79AC58E9BA41}"/>
    <hyperlink ref="B245" r:id="rId487" display="https://www.fangraphs.com/players/jose-quintana/11423/stats" xr:uid="{AD54F198-CA03-4D59-AD24-FCF763102104}"/>
    <hyperlink ref="C245" r:id="rId488" display="https://www.fangraphs.com/teams/brewers" xr:uid="{F2252BBF-F03F-4B81-88B8-FE4B4046C3A6}"/>
    <hyperlink ref="B246" r:id="rId489" display="https://www.fangraphs.com/players/tyler-fitzgerald/26208/stats" xr:uid="{A53A5800-ED52-400A-BD25-B8518A06C5C5}"/>
    <hyperlink ref="C246" r:id="rId490" display="https://www.fangraphs.com/teams/giants" xr:uid="{BBA321C2-E18D-4C83-A6A3-C9E85BA40F8D}"/>
    <hyperlink ref="B247" r:id="rId491" display="https://www.fangraphs.com/players/michael-conforto/16376/stats" xr:uid="{DEC07AF7-0493-44AA-AB63-051669517203}"/>
    <hyperlink ref="C247" r:id="rId492" display="https://www.fangraphs.com/teams/dodgers" xr:uid="{21514A7B-75FF-459C-9468-A0DA4AA2A88D}"/>
    <hyperlink ref="B248" r:id="rId493" display="https://www.fangraphs.com/players/taj-bradley/22543/stats" xr:uid="{79889CE9-22FE-4EB4-9601-CFDBE3422B81}"/>
    <hyperlink ref="C248" r:id="rId494" display="https://www.fangraphs.com/teams/rays" xr:uid="{538DAB5B-2979-4D2C-9ADD-A3AFECAAB6FF}"/>
    <hyperlink ref="B249" r:id="rId495" display="https://www.fangraphs.com/players/jeff-hoffman/17432/stats" xr:uid="{FCDB788F-33C2-4F31-ADDF-ACB95172C9BF}"/>
    <hyperlink ref="C249" r:id="rId496" display="https://www.fangraphs.com/teams/blue-jays" xr:uid="{2C82EB9A-1325-4893-9AF0-651910107FF1}"/>
    <hyperlink ref="B250" r:id="rId497" display="https://www.fangraphs.com/players/trevor-larnach/21501/stats" xr:uid="{802BC798-B0A9-49D4-9FB6-DE48CAB54ED4}"/>
    <hyperlink ref="C250" r:id="rId498" display="https://www.fangraphs.com/teams/twins" xr:uid="{968ABAF1-3371-4E1B-AE0C-B74F764C1403}"/>
    <hyperlink ref="B251" r:id="rId499" display="https://www.fangraphs.com/players/kenley-jansen/3096/stats" xr:uid="{F689F795-FF89-4E7C-87A8-15AB0853F973}"/>
    <hyperlink ref="C251" r:id="rId500" display="https://www.fangraphs.com/teams/angels" xr:uid="{0BC66AA9-DE72-42B8-B9B8-1DCE87967834}"/>
    <hyperlink ref="B252" r:id="rId501" display="https://www.fangraphs.com/players/cole-sands/21461/stats" xr:uid="{480D45CC-A08E-4C48-AE4D-7A534E61E11F}"/>
    <hyperlink ref="C252" r:id="rId502" display="https://www.fangraphs.com/teams/twins" xr:uid="{E2BF1D0B-540C-4881-94F2-C3425E053588}"/>
    <hyperlink ref="B253" r:id="rId503" display="https://www.fangraphs.com/players/colt-keith/27899/stats" xr:uid="{FBB19B31-C3CE-4E4E-81E5-1F737D807C85}"/>
    <hyperlink ref="C253" r:id="rId504" display="https://www.fangraphs.com/teams/tigers" xr:uid="{C9EF5FF0-626D-47F7-9594-C6F66AFD2B76}"/>
    <hyperlink ref="B254" r:id="rId505" display="https://www.fangraphs.com/players/michael-lorenzen/14843/stats" xr:uid="{D4251A88-83E2-443F-AFA3-817CBA63826B}"/>
    <hyperlink ref="C254" r:id="rId506" display="https://www.fangraphs.com/teams/royals" xr:uid="{F2FDF637-DC0F-4682-873B-C0EF1AF9B258}"/>
    <hyperlink ref="B255" r:id="rId507" display="https://www.fangraphs.com/players/jose-soriano/22100/stats" xr:uid="{6ED1CFF0-5075-49C1-AB37-1DA5D3366F3A}"/>
    <hyperlink ref="C255" r:id="rId508" display="https://www.fangraphs.com/teams/angels" xr:uid="{1479799C-44DC-40FF-BA05-01E6DC736042}"/>
    <hyperlink ref="B256" r:id="rId509" display="https://www.fangraphs.com/players/ryan-mountcastle/18373/stats" xr:uid="{3BFBAED6-0793-4C16-9BCE-D63F2D1FD292}"/>
    <hyperlink ref="C256" r:id="rId510" display="https://www.fangraphs.com/teams/orioles" xr:uid="{0AF81635-FA6A-4899-8352-2EC0E29EF852}"/>
    <hyperlink ref="B257" r:id="rId511" display="https://www.fangraphs.com/players/andrew-vaughn/26197/stats" xr:uid="{19C014E7-6C41-4C13-99FF-E03ED5E1D235}"/>
    <hyperlink ref="C257" r:id="rId512" display="https://www.fangraphs.com/teams/white-sox" xr:uid="{2DF0B9EA-3394-4B2A-B27C-C4EDA6AAC5C0}"/>
    <hyperlink ref="B258" r:id="rId513" display="https://www.fangraphs.com/players/gabriel-moreno/22664/stats" xr:uid="{D912427F-2FEF-4486-A456-AB8F2C83AB81}"/>
    <hyperlink ref="C258" r:id="rId514" display="https://www.fangraphs.com/teams/diamondbacks" xr:uid="{FACC2428-CE79-4218-BC04-997AC7089F61}"/>
    <hyperlink ref="B259" r:id="rId515" display="https://www.fangraphs.com/players/spencer-turnbull/16207/stats" xr:uid="{0E18B654-8C1B-4FCA-80AF-BFF18154A084}"/>
    <hyperlink ref="B260" r:id="rId516" display="https://www.fangraphs.com/players/osvaldo-bido/23150/stats" xr:uid="{9DC87921-02DB-4153-A8F0-F3D3DF4F4501}"/>
    <hyperlink ref="C260" r:id="rId517" display="https://www.fangraphs.com/teams/athletics" xr:uid="{6784C904-6783-4A8B-9427-C6FF4108C16C}"/>
    <hyperlink ref="B261" r:id="rId518" display="https://www.fangraphs.com/players/harrison-bader/18030/stats" xr:uid="{EA84C49F-EB13-45FB-9F98-BA03421781DA}"/>
    <hyperlink ref="C261" r:id="rId519" display="https://www.fangraphs.com/teams/twins" xr:uid="{35C63FCB-C729-43CB-8A14-A20982B13E5A}"/>
    <hyperlink ref="B262" r:id="rId520" display="https://www.fangraphs.com/players/andrew-abbott/29911/stats" xr:uid="{1CAD3221-A812-40C3-9764-703E266AFA60}"/>
    <hyperlink ref="C262" r:id="rId521" display="https://www.fangraphs.com/teams/reds" xr:uid="{E94ED007-7A5C-4C41-AF87-4EDBF16CF970}"/>
    <hyperlink ref="B263" r:id="rId522" display="https://www.fangraphs.com/players/francisco-alvarez/26121/stats" xr:uid="{F15AD60A-CB82-4794-A8AA-7DF7D5D6C373}"/>
    <hyperlink ref="C263" r:id="rId523" display="https://www.fangraphs.com/teams/mets" xr:uid="{C16B81F0-DF77-4058-B9D6-8AC9B8FE72A7}"/>
    <hyperlink ref="B264" r:id="rId524" display="https://www.fangraphs.com/players/patrick-bailey/27478/stats" xr:uid="{FF47455F-943E-4B4C-84AF-252D5588B5A3}"/>
    <hyperlink ref="C264" r:id="rId525" display="https://www.fangraphs.com/teams/giants" xr:uid="{EFF44652-8A8A-4F94-BE76-FFD854BE195D}"/>
    <hyperlink ref="B265" r:id="rId526" display="https://www.fangraphs.com/players/ernie-clement/20352/stats" xr:uid="{1106481C-83DF-48AB-A753-3F2F7D47CC70}"/>
    <hyperlink ref="C265" r:id="rId527" display="https://www.fangraphs.com/teams/blue-jays" xr:uid="{B3271548-0BB9-4268-9E71-CEF417B57372}"/>
    <hyperlink ref="B266" r:id="rId528" display="https://www.fangraphs.com/players/charlie-blackmon/7859/stats" xr:uid="{D3CD3D82-D355-4240-9255-6A61DC01A022}"/>
    <hyperlink ref="B267" r:id="rId529" display="https://www.fangraphs.com/players/kyle-higashioka/5517/stats" xr:uid="{09521970-A6C9-445A-BF95-1B47A4E214E6}"/>
    <hyperlink ref="C267" r:id="rId530" display="https://www.fangraphs.com/teams/rangers" xr:uid="{F5E0CEF7-58A6-4263-8396-855AD63F27EA}"/>
    <hyperlink ref="B268" r:id="rId531" display="https://www.fangraphs.com/players/pete-crow-armstrong/27769/stats" xr:uid="{524A6218-D4C0-4CA4-9A1A-38DACAE97A98}"/>
    <hyperlink ref="C268" r:id="rId532" display="https://www.fangraphs.com/teams/cubs" xr:uid="{B607E1E8-0A88-4AFA-A2AD-1C46093FB481}"/>
    <hyperlink ref="B269" r:id="rId533" display="https://www.fangraphs.com/players/alex-verdugo/17027/stats" xr:uid="{48232FCA-F670-4D52-AE17-AEBB533B0A03}"/>
    <hyperlink ref="B270" r:id="rId534" display="https://www.fangraphs.com/players/freddy-fermin/21840/stats" xr:uid="{AF4B5D54-8EE4-47E7-8543-F901D5B9F9DD}"/>
    <hyperlink ref="C270" r:id="rId535" display="https://www.fangraphs.com/teams/royals" xr:uid="{2C7F1FD5-1819-4ED1-AEAF-57A844AAA1C7}"/>
    <hyperlink ref="B271" r:id="rId536" display="https://www.fangraphs.com/players/joey-ortiz/25493/stats" xr:uid="{0A50D00F-AACF-4FBB-BF68-67E20C6697FD}"/>
    <hyperlink ref="C271" r:id="rId537" display="https://www.fangraphs.com/teams/brewers" xr:uid="{EEFAC6F5-0013-4BAC-BDFA-42A7A787AFC9}"/>
    <hyperlink ref="B272" r:id="rId538" display="https://www.fangraphs.com/players/ha-seong-kim/27506/stats" xr:uid="{C2C89A6D-E1C1-46A4-9E64-FAFEB2BE0AC4}"/>
    <hyperlink ref="C272" r:id="rId539" display="https://www.fangraphs.com/teams/rays" xr:uid="{D9B81894-25BE-4917-80B5-8A8AF2FCF1BF}"/>
    <hyperlink ref="B273" r:id="rId540" display="https://www.fangraphs.com/players/zack-gelof/29766/stats" xr:uid="{120FC6BE-DD4B-4AB0-9144-8030D624F61F}"/>
    <hyperlink ref="C273" r:id="rId541" display="https://www.fangraphs.com/teams/athletics" xr:uid="{A546EF20-2981-4F2A-B7BD-0EB0F223274B}"/>
    <hyperlink ref="B274" r:id="rId542" display="https://www.fangraphs.com/players/nolan-schanuel/33189/stats" xr:uid="{A0BCA294-2554-4A2A-97A3-4CF84A69D4DF}"/>
    <hyperlink ref="C274" r:id="rId543" display="https://www.fangraphs.com/teams/angels" xr:uid="{50F842D2-E5DF-4907-A6BD-96CE8524F6BC}"/>
    <hyperlink ref="B275" r:id="rId544" display="https://www.fangraphs.com/players/joe-musgrove/12970/stats" xr:uid="{A1011444-0FF2-418F-95E6-EC56D5970A66}"/>
    <hyperlink ref="C275" r:id="rId545" display="https://www.fangraphs.com/teams/padres" xr:uid="{94982E8D-6923-4299-9883-1654884FF245}"/>
    <hyperlink ref="B276" r:id="rId546" display="https://www.fangraphs.com/players/jhoan-duran/21029/stats" xr:uid="{BEA56E13-5264-4979-B54A-A6B2936D5BBA}"/>
    <hyperlink ref="C276" r:id="rId547" display="https://www.fangraphs.com/teams/twins" xr:uid="{D77B254C-6278-4597-86AD-5A32F90669DD}"/>
    <hyperlink ref="B277" r:id="rId548" display="https://www.fangraphs.com/players/leody-taveras/18900/stats" xr:uid="{41250B4E-417D-41E5-B450-8A80601EB9AB}"/>
    <hyperlink ref="C277" r:id="rId549" display="https://www.fangraphs.com/teams/rangers" xr:uid="{8B84CB09-3C6F-4ACF-8251-9C8BEDB086F5}"/>
    <hyperlink ref="B278" r:id="rId550" display="https://www.fangraphs.com/players/ivan-herrera/20599/stats" xr:uid="{7BF4E5CA-417A-4FCF-8013-077DE81AD4B5}"/>
    <hyperlink ref="C278" r:id="rId551" display="https://www.fangraphs.com/teams/cardinals" xr:uid="{D72A12E8-0BF9-4FB8-959E-2581227D30D9}"/>
    <hyperlink ref="B279" r:id="rId552" display="https://www.fangraphs.com/players/mike-yastrzemski/14854/stats" xr:uid="{B7B9B3AA-99A5-4BAC-BB0E-C28D9B05687D}"/>
    <hyperlink ref="C279" r:id="rId553" display="https://www.fangraphs.com/teams/giants" xr:uid="{790D3DB5-6A3A-431C-8EB8-9185EBDC3FE3}"/>
    <hyperlink ref="B280" r:id="rId554" display="https://www.fangraphs.com/players/kerry-carpenter/25961/stats" xr:uid="{A030A2D1-BF23-42A6-8797-EBC1605D7CD6}"/>
    <hyperlink ref="C280" r:id="rId555" display="https://www.fangraphs.com/teams/tigers" xr:uid="{6015293E-D04F-4539-89B0-249DBEC48F6F}"/>
    <hyperlink ref="B281" r:id="rId556" display="https://www.fangraphs.com/players/albert-suarez/6175/stats" xr:uid="{C6892EC4-5E36-429C-90FD-67EBDE452024}"/>
    <hyperlink ref="C281" r:id="rId557" display="https://www.fangraphs.com/teams/orioles" xr:uid="{0F8DBAF5-EFA3-4661-B172-046C1B6C80DA}"/>
    <hyperlink ref="B282" r:id="rId558" display="https://www.fangraphs.com/players/jared-jones/27863/stats" xr:uid="{CD15EA41-2469-4ABD-8725-5FA60078BF36}"/>
    <hyperlink ref="C282" r:id="rId559" display="https://www.fangraphs.com/teams/pirates" xr:uid="{8974F0F9-0BB8-4697-B722-E7B307C73ECE}"/>
    <hyperlink ref="B283" r:id="rId560" display="https://www.fangraphs.com/players/tyler-anderson/12880/stats" xr:uid="{7BA0A30A-C3FB-4187-8116-7CC33A17E602}"/>
    <hyperlink ref="C283" r:id="rId561" display="https://www.fangraphs.com/teams/angels" xr:uid="{67E5C809-48D3-459E-BED5-2C29F7AF60AB}"/>
    <hyperlink ref="B284" r:id="rId562" display="https://www.fangraphs.com/players/andrew-benintendi/17901/stats" xr:uid="{3E05C186-0682-47A0-9C4C-585CE56BFCED}"/>
    <hyperlink ref="C284" r:id="rId563" display="https://www.fangraphs.com/teams/white-sox" xr:uid="{ED6A2839-87C3-4A21-82BA-6DFF0D970672}"/>
    <hyperlink ref="B285" r:id="rId564" display="https://www.fangraphs.com/players/reese-olson/24968/stats" xr:uid="{633FA610-0574-4AB5-8E7F-0C49AD2447F9}"/>
    <hyperlink ref="C285" r:id="rId565" display="https://www.fangraphs.com/teams/tigers" xr:uid="{310ADF75-5927-487D-9204-A106A2EBF2CC}"/>
    <hyperlink ref="B286" r:id="rId566" display="https://www.fangraphs.com/players/tyson-miller/19976/stats" xr:uid="{C75AD8AA-C68B-49A0-8348-542BFB04EB3E}"/>
    <hyperlink ref="C286" r:id="rId567" display="https://www.fangraphs.com/teams/cubs" xr:uid="{8972E2D7-6C70-44C5-8C8F-32E167A58AE1}"/>
    <hyperlink ref="B287" r:id="rId568" display="https://www.fangraphs.com/players/colin-rea/12317/stats" xr:uid="{1FB4A901-BAAF-47A0-A7C1-8B2D08B60662}"/>
    <hyperlink ref="C287" r:id="rId569" display="https://www.fangraphs.com/teams/cubs" xr:uid="{406C239D-31E7-4B53-A4BC-1E02DB2D7835}"/>
    <hyperlink ref="B288" r:id="rId570" display="https://www.fangraphs.com/players/ryan-weathers/23796/stats" xr:uid="{F5968784-C156-4338-994A-F574725A74CB}"/>
    <hyperlink ref="C288" r:id="rId571" display="https://www.fangraphs.com/teams/marlins" xr:uid="{C43D3BAF-FA8C-47FF-BAF9-F4DE399B8096}"/>
    <hyperlink ref="B289" r:id="rId572" display="https://www.fangraphs.com/players/michael-kopech/17282/stats" xr:uid="{BC744E46-7FB3-45CF-9050-F8735669C89E}"/>
    <hyperlink ref="C289" r:id="rId573" display="https://www.fangraphs.com/teams/dodgers" xr:uid="{94F1D6F3-9F51-450B-BB22-07E0B2FFCB70}"/>
    <hyperlink ref="B290" r:id="rId574" display="https://www.fangraphs.com/players/dean-kremer/19350/stats" xr:uid="{6E7D82F0-641E-4B14-A781-62390A83A6D6}"/>
    <hyperlink ref="C290" r:id="rId575" display="https://www.fangraphs.com/teams/orioles" xr:uid="{8106D5E7-B22C-4394-8172-4CA5EF389616}"/>
    <hyperlink ref="B291" r:id="rId576" display="https://www.fangraphs.com/players/xavier-edwards/22266/stats" xr:uid="{148B73A3-01D7-4817-8A81-B2FD19B5A0D5}"/>
    <hyperlink ref="C291" r:id="rId577" display="https://www.fangraphs.com/teams/marlins" xr:uid="{56D1D346-D258-42E7-AAB1-946EAD6578DE}"/>
    <hyperlink ref="B292" r:id="rId578" display="https://www.fangraphs.com/players/clay-holmes/13649/stats" xr:uid="{11E5E13B-75F4-48E8-9BEA-1BF1C0D3E016}"/>
    <hyperlink ref="C292" r:id="rId579" display="https://www.fangraphs.com/teams/mets" xr:uid="{44877046-9DB9-47C8-9390-00EEB2EFCBF7}"/>
    <hyperlink ref="B293" r:id="rId580" display="https://www.fangraphs.com/players/paul-dejong/18015/stats" xr:uid="{1C5C57DF-4A00-4D94-A708-18CB585DB64A}"/>
    <hyperlink ref="C293" r:id="rId581" display="https://www.fangraphs.com/teams/nationals" xr:uid="{A82A078D-9E22-49A9-8ED4-59EE09175030}"/>
    <hyperlink ref="B294" r:id="rId582" display="https://www.fangraphs.com/players/blake-treinen/12572/stats" xr:uid="{C7D4218B-235E-4C86-97E4-8D8F77A20BBB}"/>
    <hyperlink ref="C294" r:id="rId583" display="https://www.fangraphs.com/teams/dodgers" xr:uid="{3AD66F9B-1038-4969-8ECE-A729CCA31CBB}"/>
    <hyperlink ref="B295" r:id="rId584" display="https://www.fangraphs.com/players/daniel-hudson/7146/stats" xr:uid="{6B48095F-8B96-48FD-8F11-EB6BDCC03C12}"/>
    <hyperlink ref="B296" r:id="rId585" display="https://www.fangraphs.com/players/kyle-finnegan/15009/stats" xr:uid="{553677E1-8E17-44D6-8115-3BDBEB8319DA}"/>
    <hyperlink ref="C296" r:id="rId586" display="https://www.fangraphs.com/teams/nationals" xr:uid="{08165D12-A35A-4839-BA48-96D6A62EA37A}"/>
    <hyperlink ref="B297" r:id="rId587" display="https://www.fangraphs.com/players/tim-herrin/25139/stats" xr:uid="{D512EA82-3C52-48C0-BE53-C06D84E7E1F6}"/>
    <hyperlink ref="C297" r:id="rId588" display="https://www.fangraphs.com/teams/guardians" xr:uid="{DF31C5C9-4A43-42F1-B3D4-830210FEA0B6}"/>
    <hyperlink ref="B298" r:id="rId589" display="https://www.fangraphs.com/players/andrew-mccutchen/9847/stats" xr:uid="{50D6DCCA-F545-4387-B065-8A48E9D15BD7}"/>
    <hyperlink ref="C298" r:id="rId590" display="https://www.fangraphs.com/teams/pirates" xr:uid="{A38137A3-59FF-4885-996D-FD460E73F432}"/>
    <hyperlink ref="B299" r:id="rId591" display="https://www.fangraphs.com/players/nick-lodolo/26378/stats" xr:uid="{C3BE12FB-74E6-434E-B9F2-E539E4D9F5AD}"/>
    <hyperlink ref="C299" r:id="rId592" display="https://www.fangraphs.com/teams/reds" xr:uid="{EA69D458-EE5D-4448-9B92-C13AB4054932}"/>
    <hyperlink ref="B300" r:id="rId593" display="https://www.fangraphs.com/players/ryne-nelson/26253/stats" xr:uid="{74EBF6F7-C134-47AB-BD9D-9D4D72337866}"/>
    <hyperlink ref="C300" r:id="rId594" display="https://www.fangraphs.com/teams/diamondbacks" xr:uid="{C22D0165-AABF-4F2D-BFC4-3AC755F94D02}"/>
    <hyperlink ref="B301" r:id="rId595" display="https://www.fangraphs.com/players/landon-knack/27487/stats" xr:uid="{5B74441A-C165-46D9-A8EB-5CDEB0C2A34B}"/>
    <hyperlink ref="C301" r:id="rId596" display="https://www.fangraphs.com/teams/dodgers" xr:uid="{610C3DA8-A637-4A1A-8D2E-027F9068676E}"/>
    <hyperlink ref="B302" r:id="rId597" display="https://www.fangraphs.com/players/xander-bogaerts/12161/stats" xr:uid="{7B465AF1-2439-4F23-BB65-59289DA4ABBE}"/>
    <hyperlink ref="C302" r:id="rId598" display="https://www.fangraphs.com/teams/padres" xr:uid="{0214A9BC-5294-47D8-9DC3-0BD6C76D225F}"/>
    <hyperlink ref="B303" r:id="rId599" display="https://www.fangraphs.com/players/kyle-bradish/24586/stats" xr:uid="{35CAF5CF-3E0E-4BDD-9F12-E62DFDB20005}"/>
    <hyperlink ref="C303" r:id="rId600" display="https://www.fangraphs.com/teams/orioles" xr:uid="{0F4FEB12-1377-4CD8-9AC8-EDB94A2C3D3B}"/>
    <hyperlink ref="B304" r:id="rId601" display="https://www.fangraphs.com/players/blake-perkins/19921/stats" xr:uid="{90E6A284-A35D-447C-B34E-39736A259C9C}"/>
    <hyperlink ref="C304" r:id="rId602" display="https://www.fangraphs.com/teams/brewers" xr:uid="{484FD4CE-B998-4DBE-87EC-85716DD28E9C}"/>
    <hyperlink ref="B305" r:id="rId603" display="https://www.fangraphs.com/players/jake-irvin/21504/stats" xr:uid="{30AAA448-5352-4DF2-A4F3-E5F6A7635A42}"/>
    <hyperlink ref="C305" r:id="rId604" display="https://www.fangraphs.com/teams/nationals" xr:uid="{336566D9-1E93-4B1B-952A-7D2605ED25DC}"/>
    <hyperlink ref="B306" r:id="rId605" display="https://www.fangraphs.com/players/jason-foley/19531/stats" xr:uid="{1973247B-B330-4F0E-9405-145498FB8875}"/>
    <hyperlink ref="C306" r:id="rId606" display="https://www.fangraphs.com/teams/tigers" xr:uid="{CA76DD6F-7CC6-40E5-9D81-7CB94B321237}"/>
    <hyperlink ref="B307" r:id="rId607" display="https://www.fangraphs.com/players/andy-pages/24816/stats" xr:uid="{E38D36FD-ACE1-4268-90C0-5142EC6A22D6}"/>
    <hyperlink ref="C307" r:id="rId608" display="https://www.fangraphs.com/teams/dodgers" xr:uid="{47A80B0F-7159-4E1B-A285-D8A25E7BAB35}"/>
    <hyperlink ref="B308" r:id="rId609" display="https://www.fangraphs.com/players/luis-rengifo/19858/stats" xr:uid="{47AB9115-C8D8-4638-8C7F-7D454E54CC0C}"/>
    <hyperlink ref="C308" r:id="rId610" display="https://www.fangraphs.com/teams/angels" xr:uid="{F109EE78-B701-4539-82C3-E0339A4FF42B}"/>
    <hyperlink ref="B309" r:id="rId611" display="https://www.fangraphs.com/players/otto-lopez/19608/stats" xr:uid="{62041EE1-C428-4F68-B1BD-33F697E1E67A}"/>
    <hyperlink ref="C309" r:id="rId612" display="https://www.fangraphs.com/teams/marlins" xr:uid="{ADE9AA1A-E9BE-419B-BEBB-68529080D806}"/>
    <hyperlink ref="B310" r:id="rId613" display="https://www.fangraphs.com/players/david-hamilton/27531/stats" xr:uid="{9138AB21-BA94-43E3-8ABA-3795A2703C54}"/>
    <hyperlink ref="C310" r:id="rId614" display="https://www.fangraphs.com/teams/red-sox" xr:uid="{A14ED6A1-C974-4893-A015-0C817B4572F4}"/>
    <hyperlink ref="B311" r:id="rId615" display="https://www.fangraphs.com/players/mitch-keller/17594/stats" xr:uid="{217E1575-B36B-422C-9C9D-B49DBB980593}"/>
    <hyperlink ref="C311" r:id="rId616" display="https://www.fangraphs.com/teams/pirates" xr:uid="{D197599E-7E3D-4078-8505-E7BF6AB2F5FD}"/>
    <hyperlink ref="B312" r:id="rId617" display="https://www.fangraphs.com/players/jacob-stallings/13723/stats" xr:uid="{62927A14-C56B-4660-BA18-A654D50D0FA4}"/>
    <hyperlink ref="C312" r:id="rId618" display="https://www.fangraphs.com/teams/rockies" xr:uid="{8217BD25-E8FD-46EB-BC74-E771D9DFEBBE}"/>
    <hyperlink ref="B313" r:id="rId619" display="https://www.fangraphs.com/players/porter-hodge/26413/stats" xr:uid="{B449F0CB-62C5-4916-A4FA-1B0C4EE405FE}"/>
    <hyperlink ref="C313" r:id="rId620" display="https://www.fangraphs.com/teams/cubs" xr:uid="{B10C537A-0203-4AD3-A232-1FD381DE8855}"/>
    <hyperlink ref="B314" r:id="rId621" display="https://www.fangraphs.com/players/brandon-pfaadt/27782/stats" xr:uid="{5AC91376-50FA-4BFF-A377-3188AF6FE905}"/>
    <hyperlink ref="C314" r:id="rId622" display="https://www.fangraphs.com/teams/diamondbacks" xr:uid="{EAFBA06D-1CEF-4BF8-814F-3EBF96D421FB}"/>
    <hyperlink ref="B315" r:id="rId623" display="https://www.fangraphs.com/players/isiah-kiner-falefa/16512/stats" xr:uid="{EF477FFD-1B3B-4EF4-9117-7FA3A2081BB6}"/>
    <hyperlink ref="C315" r:id="rId624" display="https://www.fangraphs.com/teams/pirates" xr:uid="{FAC1D9F0-7767-47D7-9E84-25FA8A355928}"/>
    <hyperlink ref="B316" r:id="rId625" display="https://www.fangraphs.com/players/jp-sears/23429/stats" xr:uid="{D81826FC-2D3D-4D3F-B6C6-BBD73F7B00A8}"/>
    <hyperlink ref="C316" r:id="rId626" display="https://www.fangraphs.com/teams/athletics" xr:uid="{922C123C-5ECC-4AFB-9483-341F9B15A8E8}"/>
    <hyperlink ref="B317" r:id="rId627" display="https://www.fangraphs.com/players/andre-pallante/26108/stats" xr:uid="{F1477617-F512-4A21-81CB-B9676D9A9C36}"/>
    <hyperlink ref="C317" r:id="rId628" display="https://www.fangraphs.com/teams/cardinals" xr:uid="{39CA213C-0818-47CC-AF27-5C37209F29F3}"/>
    <hyperlink ref="B318" r:id="rId629" display="https://www.fangraphs.com/players/starling-marte/9241/stats" xr:uid="{75F9F630-C822-4816-9C69-309C2DD40D1E}"/>
    <hyperlink ref="C318" r:id="rId630" display="https://www.fangraphs.com/teams/mets" xr:uid="{360431D9-2292-4924-B107-C53EF2557F88}"/>
    <hyperlink ref="B319" r:id="rId631" display="https://www.fangraphs.com/players/sal-frelick/29622/stats" xr:uid="{8871FFB9-B885-4EEA-A88F-FB1972FDF8B6}"/>
    <hyperlink ref="C319" r:id="rId632" display="https://www.fangraphs.com/teams/brewers" xr:uid="{60D25CAC-2C89-4000-BA30-B817F11AA808}"/>
    <hyperlink ref="B320" r:id="rId633" display="https://www.fangraphs.com/players/jeremiah-estrada/22210/stats" xr:uid="{2EB054ED-5104-4A5F-BAED-F49890AF0AC9}"/>
    <hyperlink ref="C320" r:id="rId634" display="https://www.fangraphs.com/teams/padres" xr:uid="{4D8E755C-DC57-41F1-A86F-72FD6B50914D}"/>
    <hyperlink ref="B321" r:id="rId635" display="https://www.fangraphs.com/players/mackenzie-gore/22201/stats" xr:uid="{CA5F139F-7A20-4FA8-AB6B-E2021BF6FB5B}"/>
    <hyperlink ref="C321" r:id="rId636" display="https://www.fangraphs.com/teams/nationals" xr:uid="{1E342707-A988-470E-8E02-C913AA8D5416}"/>
    <hyperlink ref="B322" r:id="rId637" display="https://www.fangraphs.com/players/brayan-bello/23920/stats" xr:uid="{95BCE53C-C98F-460A-A457-C1AFFEA34125}"/>
    <hyperlink ref="C322" r:id="rId638" display="https://www.fangraphs.com/teams/red-sox" xr:uid="{1A0A51DF-F91C-456C-8BB5-134762D51608}"/>
    <hyperlink ref="B323" r:id="rId639" display="https://www.fangraphs.com/players/hector-neris/11804/stats" xr:uid="{29804531-3E02-49CF-878C-007955CA070C}"/>
    <hyperlink ref="C323" r:id="rId640" display="https://www.fangraphs.com/teams/braves" xr:uid="{33289E0D-85A6-415A-97CE-6872465ACD5E}"/>
    <hyperlink ref="B324" r:id="rId641" display="https://www.fangraphs.com/players/bo-naylor/21865/stats" xr:uid="{BDDD86AE-AB61-4217-9DF5-51DC5659B4BE}"/>
    <hyperlink ref="C324" r:id="rId642" display="https://www.fangraphs.com/teams/guardians" xr:uid="{7C039C25-9F1E-40D3-A1BE-F58B8FE501B6}"/>
    <hyperlink ref="B325" r:id="rId643" display="https://www.fangraphs.com/players/matthew-boyd/15440/stats" xr:uid="{56800F90-58E1-4A8F-95DC-8A3B6A090449}"/>
    <hyperlink ref="C325" r:id="rId644" display="https://www.fangraphs.com/teams/cubs" xr:uid="{937B8893-06DB-45A7-A3D6-23F4BCDB9C06}"/>
    <hyperlink ref="B326" r:id="rId645" display="https://www.fangraphs.com/players/jose-miranda/20538/stats" xr:uid="{BE48D3F4-8446-4141-BAA3-5B3F41E28407}"/>
    <hyperlink ref="C326" r:id="rId646" display="https://www.fangraphs.com/teams/twins" xr:uid="{6728F074-F565-485A-8241-46942463F5ED}"/>
    <hyperlink ref="B327" r:id="rId647" display="https://www.fangraphs.com/players/alejandro-kirk/22581/stats" xr:uid="{67FE6143-94C1-470B-9D9C-D254EC483B51}"/>
    <hyperlink ref="C327" r:id="rId648" display="https://www.fangraphs.com/teams/blue-jays" xr:uid="{F3210E21-999E-43BB-A2FF-039F9FB92B9A}"/>
    <hyperlink ref="B328" r:id="rId649" display="https://www.fangraphs.com/players/tayler-scott/13652/stats" xr:uid="{FC4AA0ED-FED4-4ADE-BAF1-2D29C784EDEF}"/>
    <hyperlink ref="C328" r:id="rId650" display="https://www.fangraphs.com/teams/astros" xr:uid="{FF480533-8FBB-4F08-BD0E-9FFE20AB7E43}"/>
    <hyperlink ref="B329" r:id="rId651" display="https://www.fangraphs.com/players/jake-meyers/20308/stats" xr:uid="{3539B334-A3FA-4BA1-8BFB-11CE4504C51F}"/>
    <hyperlink ref="C329" r:id="rId652" display="https://www.fangraphs.com/teams/astros" xr:uid="{3DF74536-DBD8-4F2E-B78F-3FEBF3A77B4F}"/>
    <hyperlink ref="B330" r:id="rId653" display="https://www.fangraphs.com/players/beau-brieske/26079/stats" xr:uid="{8863A84B-5381-41BC-8BAC-E29ADF71366C}"/>
    <hyperlink ref="C330" r:id="rId654" display="https://www.fangraphs.com/teams/tigers" xr:uid="{7333E9C2-F529-4392-899A-9F624CB40342}"/>
    <hyperlink ref="B331" r:id="rId655" display="https://www.fangraphs.com/players/jeimer-candelario/13621/stats" xr:uid="{3B406CD4-3EFB-432F-89A4-755626B5A4AB}"/>
    <hyperlink ref="C331" r:id="rId656" display="https://www.fangraphs.com/teams/reds" xr:uid="{6EA02112-AD72-4F9B-9D3D-EE21F2A34C65}"/>
    <hyperlink ref="B332" r:id="rId657" display="https://www.fangraphs.com/players/dylan-moore/18042/stats" xr:uid="{A5EED3D8-7030-4911-9E82-D49FC7D34588}"/>
    <hyperlink ref="C332" r:id="rId658" display="https://www.fangraphs.com/teams/mariners" xr:uid="{0602B1E6-DAC5-499C-8E96-056AAF990AE3}"/>
    <hyperlink ref="B333" r:id="rId659" display="https://www.fangraphs.com/players/alec-marsh/27451/stats" xr:uid="{A54F4B09-79BF-4992-AD29-9B8AAB7AB699}"/>
    <hyperlink ref="C333" r:id="rId660" display="https://www.fangraphs.com/teams/royals" xr:uid="{5EA4F9E8-5516-46CC-8F80-7206E281E9E9}"/>
    <hyperlink ref="B334" r:id="rId661" display="https://www.fangraphs.com/players/chad-green/15552/stats" xr:uid="{7CC67243-2505-423E-B4F0-A67304308E17}"/>
    <hyperlink ref="C334" r:id="rId662" display="https://www.fangraphs.com/teams/blue-jays" xr:uid="{9222239D-F0DE-4668-AC26-BE15B4EAF0C1}"/>
    <hyperlink ref="B335" r:id="rId663" display="https://www.fangraphs.com/players/ozzie-albies/16556/stats" xr:uid="{58EB9888-1DB4-4470-A20A-AD4113C82013}"/>
    <hyperlink ref="C335" r:id="rId664" display="https://www.fangraphs.com/teams/braves" xr:uid="{AABE96A3-B019-43EC-B22F-EAF842463B87}"/>
    <hyperlink ref="B336" r:id="rId665" display="https://www.fangraphs.com/players/masataka-yoshida/31837/stats" xr:uid="{4018C3B7-4F5E-4925-BAD1-9165BF00CF4C}"/>
    <hyperlink ref="C336" r:id="rId666" display="https://www.fangraphs.com/teams/red-sox" xr:uid="{47516F9A-2C80-4AB8-9F98-31CB0AF8A711}"/>
    <hyperlink ref="B337" r:id="rId667" display="https://www.fangraphs.com/players/merrill-kelly/11156/stats" xr:uid="{CA47E307-88C4-4EB1-AD46-3B43CB47F4B3}"/>
    <hyperlink ref="C337" r:id="rId668" display="https://www.fangraphs.com/teams/diamondbacks" xr:uid="{64F7D186-921D-438C-A508-DAF76E048142}"/>
    <hyperlink ref="B338" r:id="rId669" display="https://www.fangraphs.com/players/justin-turner/5235/stats" xr:uid="{4A0F64F5-A305-4266-9A28-69A99AABCCEA}"/>
    <hyperlink ref="C338" r:id="rId670" display="https://www.fangraphs.com/teams/cubs" xr:uid="{BB66D18B-1CB5-43EC-BD3C-3FCD38DA214F}"/>
    <hyperlink ref="B339" r:id="rId671" display="https://www.fangraphs.com/players/derek-law/13133/stats" xr:uid="{C875A5AD-5B97-4776-ACCD-49AE01FDC96C}"/>
    <hyperlink ref="C339" r:id="rId672" display="https://www.fangraphs.com/teams/nationals" xr:uid="{EC188763-7A42-44F7-9356-CCA768F970C4}"/>
    <hyperlink ref="B340" r:id="rId673" display="https://www.fangraphs.com/players/james-wood/29518/stats" xr:uid="{971591FF-D220-4D50-B9E7-4DE4CDB7347E}"/>
    <hyperlink ref="C340" r:id="rId674" display="https://www.fangraphs.com/teams/nationals" xr:uid="{1A0B4110-D6BE-4D10-8444-D797E03BAC2C}"/>
    <hyperlink ref="B341" r:id="rId675" display="https://www.fangraphs.com/players/miguel-amaya/21693/stats" xr:uid="{EBA76030-83ED-43B4-B3BD-E26E64DE215F}"/>
    <hyperlink ref="C341" r:id="rId676" display="https://www.fangraphs.com/teams/cubs" xr:uid="{014438A6-E99B-4800-BA31-E95F906F720F}"/>
    <hyperlink ref="B342" r:id="rId677" display="https://www.fangraphs.com/players/luis-robert-jr/20043/stats" xr:uid="{DB0928FC-6658-45DC-9D81-E4D6CB2819F9}"/>
    <hyperlink ref="C342" r:id="rId678" display="https://www.fangraphs.com/teams/white-sox" xr:uid="{9B4EBBEA-E52B-47A9-968A-C3844197C70F}"/>
    <hyperlink ref="B343" r:id="rId679" display="https://www.fangraphs.com/players/trevor-megill/17722/stats" xr:uid="{129944C1-836B-40C2-B5BC-04B019B56F00}"/>
    <hyperlink ref="C343" r:id="rId680" display="https://www.fangraphs.com/teams/brewers" xr:uid="{4064617E-CC3A-4F13-B394-811937389593}"/>
    <hyperlink ref="B344" r:id="rId681" display="https://www.fangraphs.com/players/hogan-harris/21520/stats" xr:uid="{D0E08230-F7A2-4667-AE86-8AFB1BB4B0D2}"/>
    <hyperlink ref="C344" r:id="rId682" display="https://www.fangraphs.com/teams/athletics" xr:uid="{A2AFD34A-4777-4EB1-AA2D-E3C9C248FED9}"/>
    <hyperlink ref="B345" r:id="rId683" display="https://www.fangraphs.com/players/gavin-lux/19955/stats" xr:uid="{9E408CB9-F1E2-4C29-9D2D-AF1A46277C6F}"/>
    <hyperlink ref="C345" r:id="rId684" display="https://www.fangraphs.com/teams/reds" xr:uid="{1FEE1D66-E210-4409-A811-6AF6E60B43A1}"/>
    <hyperlink ref="B346" r:id="rId685" display="https://www.fangraphs.com/players/kevin-ginkel/19876/stats" xr:uid="{2F64B3AB-921F-412B-95FD-5C73ECFDCAA6}"/>
    <hyperlink ref="C346" r:id="rId686" display="https://www.fangraphs.com/teams/diamondbacks" xr:uid="{8E60E179-B1FB-4AEA-941D-9143ADAD9274}"/>
    <hyperlink ref="B347" r:id="rId687" display="https://www.fangraphs.com/players/kevin-kelly/25679/stats" xr:uid="{1B29E222-E222-4B79-ABBB-D6FB12976541}"/>
    <hyperlink ref="C347" r:id="rId688" display="https://www.fangraphs.com/teams/rays" xr:uid="{C58D2C49-BBC2-42CB-8099-F84C1AAFE8BB}"/>
    <hyperlink ref="B348" r:id="rId689" display="https://www.fangraphs.com/players/elias-diaz/11680/stats" xr:uid="{747D608B-65F4-40E8-AB37-FAB2979EA413}"/>
    <hyperlink ref="C348" r:id="rId690" display="https://www.fangraphs.com/teams/padres" xr:uid="{3CAB7FE0-E094-48C4-B180-D9A767C39481}"/>
    <hyperlink ref="B349" r:id="rId691" display="https://www.fangraphs.com/players/edwin-uceta/20539/stats" xr:uid="{1A044769-29E9-48AB-BC17-D9BD0189CBE0}"/>
    <hyperlink ref="C349" r:id="rId692" display="https://www.fangraphs.com/teams/rays" xr:uid="{FCFBF20E-9CFD-4A36-823E-0EC62439DF76}"/>
    <hyperlink ref="B350" r:id="rId693" display="https://www.fangraphs.com/players/lance-lynn/2520/stats" xr:uid="{080E51BE-A822-4824-9FBC-73EC77D6FA61}"/>
    <hyperlink ref="B351" r:id="rId694" display="https://www.fangraphs.com/players/victor-caratini/14968/stats" xr:uid="{2F76B9FA-1B65-4830-8535-C7314655C8B5}"/>
    <hyperlink ref="C351" r:id="rId695" display="https://www.fangraphs.com/teams/astros" xr:uid="{60EB583D-40DD-4C63-8098-7FD2CD4801DC}"/>
    <hyperlink ref="B352" r:id="rId696" display="https://www.fangraphs.com/players/luis-campusano/22217/stats" xr:uid="{244F9788-5D8C-4069-9FB7-F1C3AE48E4C8}"/>
    <hyperlink ref="C352" r:id="rId697" display="https://www.fangraphs.com/teams/padres" xr:uid="{55876025-7EB3-409C-9616-8A2F3D5A1435}"/>
    <hyperlink ref="B353" r:id="rId698" display="https://www.fangraphs.com/players/hayden-wesneski/27581/stats" xr:uid="{461D7C5E-248F-4F50-8762-8C498FC30212}"/>
    <hyperlink ref="C353" r:id="rId699" display="https://www.fangraphs.com/teams/astros" xr:uid="{F348B4B0-ACDF-44CB-8B5C-549B58E471F7}"/>
    <hyperlink ref="B354" r:id="rId700" display="https://www.fangraphs.com/players/evan-phillips/17734/stats" xr:uid="{D937C5D8-EB5C-48CB-89EE-191D3B746F47}"/>
    <hyperlink ref="C354" r:id="rId701" display="https://www.fangraphs.com/teams/dodgers" xr:uid="{55654F46-BC48-48D1-8BA4-6339F5E750A9}"/>
    <hyperlink ref="B355" r:id="rId702" display="https://www.fangraphs.com/players/erik-miller/26252/stats" xr:uid="{1B401DD3-D1C5-4AE3-B4ED-E8C4529417E1}"/>
    <hyperlink ref="C355" r:id="rId703" display="https://www.fangraphs.com/teams/giants" xr:uid="{1CE568E3-A823-4424-AF4D-2FA4EC110451}"/>
    <hyperlink ref="B356" r:id="rId704" display="https://www.fangraphs.com/players/korey-lee/25543/stats" xr:uid="{D7413926-A829-48E1-8F51-5368A4AE818C}"/>
    <hyperlink ref="C356" r:id="rId705" display="https://www.fangraphs.com/teams/white-sox" xr:uid="{C042F8E0-A89C-4077-98D2-5AA9B15CF9BF}"/>
    <hyperlink ref="B357" r:id="rId706" display="https://www.fangraphs.com/players/orion-kerkering/31776/stats" xr:uid="{80A3E794-372C-4FA5-BD18-51754E944E3D}"/>
    <hyperlink ref="C357" r:id="rId707" display="https://www.fangraphs.com/teams/phillies" xr:uid="{1252AB60-283D-43D8-B5CA-7A3FEFEC0A4F}"/>
    <hyperlink ref="B358" r:id="rId708" display="https://www.fangraphs.com/players/justin-martinez/24453/stats" xr:uid="{D419161D-BE0D-4184-A5CE-3D0B1214E7FA}"/>
    <hyperlink ref="C358" r:id="rId709" display="https://www.fangraphs.com/teams/diamondbacks" xr:uid="{342FB32C-4F80-4BEE-8253-BE45F4D83560}"/>
    <hyperlink ref="B359" r:id="rId710" display="https://www.fangraphs.com/players/carson-kelly/13620/stats" xr:uid="{FCF5D536-2D12-44E9-A03D-9DAA3F7CC42A}"/>
    <hyperlink ref="C359" r:id="rId711" display="https://www.fangraphs.com/teams/cubs" xr:uid="{603CB22E-B16D-4883-808A-0062D409DC7B}"/>
    <hyperlink ref="B360" r:id="rId712" display="https://www.fangraphs.com/players/ben-brown/23590/stats" xr:uid="{BD4D0C42-B059-4330-9444-52E9C894D92C}"/>
    <hyperlink ref="C360" r:id="rId713" display="https://www.fangraphs.com/teams/cubs" xr:uid="{AE42F4FE-EE2F-447C-AAC8-CEF84AC47C94}"/>
    <hyperlink ref="B361" r:id="rId714" display="https://www.fangraphs.com/players/randal-grichuk/10243/stats" xr:uid="{B057E29E-0E8B-4866-B48C-6DE928134A15}"/>
    <hyperlink ref="C361" r:id="rId715" display="https://www.fangraphs.com/teams/diamondbacks" xr:uid="{CD825776-71B9-4E6D-A5CD-D9D3B926F9EF}"/>
    <hyperlink ref="B362" r:id="rId716" display="https://www.fangraphs.com/players/alex-faedo/19874/stats" xr:uid="{052B65E1-7D30-4B32-AB66-12A71F11DF90}"/>
    <hyperlink ref="C362" r:id="rId717" display="https://www.fangraphs.com/teams/rays" xr:uid="{FFD191C5-F83A-4955-9513-242BD356BB20}"/>
    <hyperlink ref="B363" r:id="rId718" display="https://www.fangraphs.com/players/jd-martinez/6184/stats" xr:uid="{5D11F127-9582-492A-9E45-EE056E83FE29}"/>
    <hyperlink ref="B364" r:id="rId719" display="https://www.fangraphs.com/players/grant-holmes/16944/stats" xr:uid="{6955A154-6155-4095-8B32-D1B70D1571A2}"/>
    <hyperlink ref="C364" r:id="rId720" display="https://www.fangraphs.com/teams/braves" xr:uid="{8BF38317-193E-46D9-AF02-6F0C0CC76C9E}"/>
    <hyperlink ref="B365" r:id="rId721" display="https://www.fangraphs.com/players/dj-herz/26389/stats" xr:uid="{80675097-0961-4029-ACFE-1DF9E9B39724}"/>
    <hyperlink ref="C365" r:id="rId722" display="https://www.fangraphs.com/teams/nationals" xr:uid="{52E40BAA-2625-40AC-8C9A-DB5677637089}"/>
    <hyperlink ref="B366" r:id="rId723" display="https://www.fangraphs.com/players/josh-lowe/19953/stats" xr:uid="{9334AB5D-EE66-465D-AE1A-6EDFBEBD5A21}"/>
    <hyperlink ref="C366" r:id="rId724" display="https://www.fangraphs.com/teams/rays" xr:uid="{700C8591-7628-495E-BCE9-98DB0D5629D9}"/>
    <hyperlink ref="B367" r:id="rId725" display="https://www.fangraphs.com/players/jake-fraley/19260/stats" xr:uid="{B5D21041-F492-4632-B5A4-EA2A6EE38835}"/>
    <hyperlink ref="C367" r:id="rId726" display="https://www.fangraphs.com/teams/reds" xr:uid="{BC35FE46-C174-408B-B3CE-ABC6D97ED788}"/>
    <hyperlink ref="B368" r:id="rId727" display="https://www.fangraphs.com/players/charlie-morton/4676/stats" xr:uid="{13993334-EF6B-46D5-9275-9AE675416559}"/>
    <hyperlink ref="C368" r:id="rId728" display="https://www.fangraphs.com/teams/orioles" xr:uid="{2EBA6F30-88B7-4B9D-B0C8-893F4771ED5B}"/>
    <hyperlink ref="B369" r:id="rId729" display="https://www.fangraphs.com/players/keegan-akin/19362/stats" xr:uid="{49924074-A930-4CCE-B094-400CB2593594}"/>
    <hyperlink ref="C369" r:id="rId730" display="https://www.fangraphs.com/teams/orioles" xr:uid="{DDC1DA1A-97E7-4D9F-8245-D78E17EFB2B9}"/>
    <hyperlink ref="B370" r:id="rId731" display="https://www.fangraphs.com/players/gary-sanchez/11442/stats" xr:uid="{787DA180-CA78-4689-9283-90307B685403}"/>
    <hyperlink ref="C370" r:id="rId732" display="https://www.fangraphs.com/teams/orioles" xr:uid="{5760382D-B664-4EA3-91CC-1892CC86F6A5}"/>
    <hyperlink ref="B371" r:id="rId733" display="https://www.fangraphs.com/players/justin-slaten/25648/stats" xr:uid="{B88D3037-6C95-4CA7-8439-D2825622FA75}"/>
    <hyperlink ref="C371" r:id="rId734" display="https://www.fangraphs.com/teams/red-sox" xr:uid="{AE977D21-AD8F-477E-B1A1-5C003BC17F41}"/>
    <hyperlink ref="B372" r:id="rId735" display="https://www.fangraphs.com/players/kyle-isbel/21614/stats" xr:uid="{0117FE3E-B556-444F-BB99-1AEF80D351D2}"/>
    <hyperlink ref="C372" r:id="rId736" display="https://www.fangraphs.com/teams/royals" xr:uid="{E2CDAB1A-230E-47DD-9842-D29C00169015}"/>
    <hyperlink ref="B373" r:id="rId737" display="https://www.fangraphs.com/players/pete-fairbanks/17998/stats" xr:uid="{553927E3-64CD-4E00-A2F2-DC71D9E98BDB}"/>
    <hyperlink ref="C373" r:id="rId738" display="https://www.fangraphs.com/teams/rays" xr:uid="{C88CF78E-745F-41D5-9FB9-9EB287538878}"/>
    <hyperlink ref="B374" r:id="rId739" display="https://www.fangraphs.com/players/tylor-megill/21318/stats" xr:uid="{E39CD19E-98B6-4266-965A-76A87F3F8150}"/>
    <hyperlink ref="C374" r:id="rId740" display="https://www.fangraphs.com/teams/mets" xr:uid="{E8D0273F-E6A9-4F76-9BF1-F1C1F75197F7}"/>
    <hyperlink ref="B375" r:id="rId741" display="https://www.fangraphs.com/players/geraldo-perdomo/22799/stats" xr:uid="{6BBBA861-231A-4CBD-8384-100A526C78BF}"/>
    <hyperlink ref="C375" r:id="rId742" display="https://www.fangraphs.com/teams/diamondbacks" xr:uid="{EE7E83DD-D169-41DC-8737-4BB16E8BAF3B}"/>
    <hyperlink ref="B376" r:id="rId743" display="https://www.fangraphs.com/players/dylan-lee/19996/stats" xr:uid="{8B16D03C-54B4-4AB5-A99E-D1907310E438}"/>
    <hyperlink ref="C376" r:id="rId744" display="https://www.fangraphs.com/teams/braves" xr:uid="{2379EBB7-5623-4E81-8B4B-4A9850B020B2}"/>
    <hyperlink ref="B377" r:id="rId745" display="https://www.fangraphs.com/players/jarred-kelenic/22558/stats" xr:uid="{A4D6B51E-309F-49EC-95FF-D988F341B0F3}"/>
    <hyperlink ref="C377" r:id="rId746" display="https://www.fangraphs.com/teams/braves" xr:uid="{B1A3BD2C-8986-4DE9-B874-10CA4FC1EF7A}"/>
    <hyperlink ref="B378" r:id="rId747" display="https://www.fangraphs.com/players/brant-hurter/30133/stats" xr:uid="{2BA0E46C-B26B-4303-B494-02590578FF99}"/>
    <hyperlink ref="C378" r:id="rId748" display="https://www.fangraphs.com/teams/tigers" xr:uid="{A0D0E041-1B65-43CD-968B-3B06754C7544}"/>
    <hyperlink ref="B379" r:id="rId749" display="https://www.fangraphs.com/players/lucas-erceg/19360/stats" xr:uid="{643F73AC-75AB-4C58-B985-447AF1F4D39B}"/>
    <hyperlink ref="C379" r:id="rId750" display="https://www.fangraphs.com/teams/royals" xr:uid="{08B10554-B16E-4AC4-B1D5-0CC751094314}"/>
    <hyperlink ref="B380" r:id="rId751" display="https://www.fangraphs.com/players/jake-rogers/19452/stats" xr:uid="{2265539C-38D1-46AD-A494-B1E32E76B1FF}"/>
    <hyperlink ref="C380" r:id="rId752" display="https://www.fangraphs.com/teams/tigers" xr:uid="{9D335908-ADFC-472B-9D93-A00864443B2C}"/>
    <hyperlink ref="B381" r:id="rId753" display="https://www.fangraphs.com/players/craig-kimbrel/6655/stats" xr:uid="{281AE08E-A87F-4618-A5AF-D143373DE13D}"/>
    <hyperlink ref="B382" r:id="rId754" display="https://www.fangraphs.com/players/max-muncy/13301/stats" xr:uid="{67D7FE28-B20E-4B9D-92A2-0BDEFB56F328}"/>
    <hyperlink ref="C382" r:id="rId755" display="https://www.fangraphs.com/teams/dodgers" xr:uid="{F6E526A7-73DE-4ADB-A986-E32D0401AC82}"/>
    <hyperlink ref="B383" r:id="rId756" display="https://www.fangraphs.com/players/christopher-morel/21897/stats" xr:uid="{4C775719-801E-4018-B3A0-A1EBE8493551}"/>
    <hyperlink ref="C383" r:id="rId757" display="https://www.fangraphs.com/teams/rays" xr:uid="{2D0B3BDC-85F8-42E0-8AC9-AFB56688DCB4}"/>
    <hyperlink ref="B384" r:id="rId758" display="https://www.fangraphs.com/players/andrew-heaney/15423/stats" xr:uid="{0AFF3CA5-8C19-49F6-A704-A6D66DF03AD8}"/>
    <hyperlink ref="C384" r:id="rId759" display="https://www.fangraphs.com/teams/pirates" xr:uid="{D5BBD8C8-DCC8-45BB-9AF6-57343672BF9A}"/>
    <hyperlink ref="B385" r:id="rId760" display="https://www.fangraphs.com/players/mitch-garver/15161/stats" xr:uid="{042E72EA-8551-4D5F-97B1-269DD6677527}"/>
    <hyperlink ref="C385" r:id="rId761" display="https://www.fangraphs.com/teams/mariners" xr:uid="{9751781D-4310-4E23-BA06-47579FEC3305}"/>
    <hyperlink ref="B386" r:id="rId762" display="https://www.fangraphs.com/players/aroldis-chapman/10233/stats" xr:uid="{32C4BFED-B696-457F-AF8E-C0875B305D48}"/>
    <hyperlink ref="C386" r:id="rId763" display="https://www.fangraphs.com/teams/red-sox" xr:uid="{6958F571-74DE-49FA-BE82-0191523275D6}"/>
    <hyperlink ref="B387" r:id="rId764" display="https://www.fangraphs.com/players/tj-friedl/19522/stats" xr:uid="{A412F6D3-6F62-4D7C-9990-67706CFE4EC0}"/>
    <hyperlink ref="C387" r:id="rId765" display="https://www.fangraphs.com/teams/reds" xr:uid="{07D98A96-AE57-4C44-AC53-9295C1D5A628}"/>
    <hyperlink ref="B388" r:id="rId766" display="https://www.fangraphs.com/players/michael-massey/27684/stats" xr:uid="{2A64F7E3-6782-4338-9EB3-EE642A7C5BEE}"/>
    <hyperlink ref="C388" r:id="rId767" display="https://www.fangraphs.com/teams/royals" xr:uid="{CA28A9B2-156B-4728-8CAE-A8B3095D422C}"/>
    <hyperlink ref="B389" r:id="rId768" display="https://www.fangraphs.com/players/johan-rojas/24336/stats" xr:uid="{E4EC1E06-A858-4F80-A7B9-5BB1A4A62B3D}"/>
    <hyperlink ref="C389" r:id="rId769" display="https://www.fangraphs.com/teams/phillies" xr:uid="{1A785D2E-161B-4733-B9AA-B2EDF696F3D9}"/>
    <hyperlink ref="B390" r:id="rId770" display="https://www.fangraphs.com/players/jeff-mcneil/15362/stats" xr:uid="{4F8921A4-BCF5-4C44-A84B-1D640B282EF2}"/>
    <hyperlink ref="C390" r:id="rId771" display="https://www.fangraphs.com/teams/mets" xr:uid="{9C0B5177-E6A3-4C57-B8AA-CDC6D884AAB4}"/>
    <hyperlink ref="B391" r:id="rId772" display="https://www.fangraphs.com/players/mickey-moniak/19956/stats" xr:uid="{22F8C5EB-CBE7-49B5-9A3C-9F357E1813BF}"/>
    <hyperlink ref="C391" r:id="rId773" display="https://www.fangraphs.com/teams/angels" xr:uid="{3C10A8BF-970D-435B-A7B0-50CDBC17C2C8}"/>
    <hyperlink ref="B392" r:id="rId774" display="https://www.fangraphs.com/players/joel-payamps/14332/stats" xr:uid="{D02F1176-E620-4526-933E-734D4E6116FE}"/>
    <hyperlink ref="C392" r:id="rId775" display="https://www.fangraphs.com/teams/brewers" xr:uid="{6FADF0CC-9525-4A6C-8BFF-6764FF12596C}"/>
    <hyperlink ref="B393" r:id="rId776" display="https://www.fangraphs.com/players/ryan-yarbrough/16502/stats" xr:uid="{8FF21BEF-6588-43F2-A25E-6F9D8AEB856E}"/>
    <hyperlink ref="C393" r:id="rId777" display="https://www.fangraphs.com/teams/blue-jays" xr:uid="{B1819A11-855E-4CA9-BC6B-CC1175B16BFC}"/>
    <hyperlink ref="B394" r:id="rId778" display="https://www.fangraphs.com/players/david-robertson/8241/stats" xr:uid="{C10204EB-F2E8-4A72-8F72-7D5DC2D0FCED}"/>
    <hyperlink ref="B395" r:id="rId779" display="https://www.fangraphs.com/players/aj-puk/19343/stats" xr:uid="{2E56B2FD-114E-4566-9794-F9E178D14981}"/>
    <hyperlink ref="C395" r:id="rId780" display="https://www.fangraphs.com/teams/diamondbacks" xr:uid="{7B3527AD-CF43-499A-BCC8-81D2E3C08E4E}"/>
    <hyperlink ref="B396" r:id="rId781" display="https://www.fangraphs.com/players/joe-jimenez/15761/stats" xr:uid="{412EEA54-E7B3-4B9E-892A-198D5F65F089}"/>
    <hyperlink ref="C396" r:id="rId782" display="https://www.fangraphs.com/teams/braves" xr:uid="{A126E17A-16BA-45D3-B87B-718B0A12E5DC}"/>
    <hyperlink ref="B397" r:id="rId783" display="https://www.fangraphs.com/players/aaron-civale/19479/stats" xr:uid="{E40996E9-0BD2-4F73-AFED-0D44F17133EB}"/>
    <hyperlink ref="C397" r:id="rId784" display="https://www.fangraphs.com/teams/brewers" xr:uid="{CE12206A-F321-4DF4-A7BB-86C443BFAC0C}"/>
    <hyperlink ref="B398" r:id="rId785" display="https://www.fangraphs.com/players/nick-gonzales/27490/stats" xr:uid="{C2721D07-3C59-4938-ADF2-1FE5FFD36484}"/>
    <hyperlink ref="C398" r:id="rId786" display="https://www.fangraphs.com/teams/pirates" xr:uid="{B6A6BE00-338D-4A51-9EDF-B66A68DE2C45}"/>
    <hyperlink ref="B399" r:id="rId787" display="https://www.fangraphs.com/players/max-scherzer/3137/stats" xr:uid="{B727581C-E660-4E27-BF0F-D0F533F1B0A9}"/>
    <hyperlink ref="C399" r:id="rId788" display="https://www.fangraphs.com/teams/blue-jays" xr:uid="{15434B95-A95C-4E32-A764-6F494707E27E}"/>
    <hyperlink ref="B400" r:id="rId789" display="https://www.fangraphs.com/players/james-mccann/12859/stats" xr:uid="{6CC279F7-50A7-4B1D-BCA4-504DD449B35F}"/>
    <hyperlink ref="B401" r:id="rId790" display="https://www.fangraphs.com/players/bryse-wilson/19990/stats" xr:uid="{DC80CEBF-3CCC-4A0D-B91D-D7FCB6B135DD}"/>
    <hyperlink ref="C401" r:id="rId791" display="https://www.fangraphs.com/teams/white-sox" xr:uid="{6F777106-63EC-4FBD-98DD-76CD25DB33D9}"/>
    <hyperlink ref="B402" r:id="rId792" display="https://www.fangraphs.com/players/jose-siri/17452/stats" xr:uid="{BCB2B9EC-489C-4E42-B291-C76D09130910}"/>
    <hyperlink ref="C402" r:id="rId793" display="https://www.fangraphs.com/teams/mets" xr:uid="{B434CD78-5F3F-4AF5-AEF0-B7813BDEE68E}"/>
    <hyperlink ref="B403" r:id="rId794" display="https://www.fangraphs.com/players/alexis-diaz/21132/stats" xr:uid="{394A74C5-342F-4F83-B80E-C4987518CC21}"/>
    <hyperlink ref="C403" r:id="rId795" display="https://www.fangraphs.com/teams/reds" xr:uid="{1151104B-4670-4BDA-8B0E-0E1AB7267460}"/>
    <hyperlink ref="B404" r:id="rId796" display="https://www.fangraphs.com/players/lars-nootbaar/21454/stats" xr:uid="{D11E1C3D-7856-4593-BF4E-61E7D5C51805}"/>
    <hyperlink ref="C404" r:id="rId797" display="https://www.fangraphs.com/teams/cardinals" xr:uid="{040A8C63-1793-4060-ABB6-A9DC10EE4EC5}"/>
    <hyperlink ref="B405" r:id="rId798" display="https://www.fangraphs.com/players/hunter-goodman/29715/stats" xr:uid="{AC74CF86-E748-442C-AA61-2EA595DEF2F1}"/>
    <hyperlink ref="C405" r:id="rId799" display="https://www.fangraphs.com/teams/rockies" xr:uid="{F0620DDA-B30E-473A-B6C2-5468A35D45B4}"/>
    <hyperlink ref="B406" r:id="rId800" display="https://www.fangraphs.com/players/javier-assad/21741/stats" xr:uid="{B287FFD1-B07A-42C6-ABE8-D86BAD4C1026}"/>
    <hyperlink ref="C406" r:id="rId801" display="https://www.fangraphs.com/teams/cubs" xr:uid="{DACE5121-63E2-42B6-87C5-F687CBF3A662}"/>
    <hyperlink ref="B407" r:id="rId802" display="https://www.fangraphs.com/players/andrew-kittredge/12828/stats" xr:uid="{51837562-32E5-4D3B-BA63-707D96B6D9D0}"/>
    <hyperlink ref="C407" r:id="rId803" display="https://www.fangraphs.com/teams/orioles" xr:uid="{2EC8A488-B696-450B-94D3-54B664487453}"/>
    <hyperlink ref="B408" r:id="rId804" display="https://www.fangraphs.com/players/hunter-renfroe/15464/stats" xr:uid="{34ABC337-573A-44D1-950D-14858E6BA296}"/>
    <hyperlink ref="C408" r:id="rId805" display="https://www.fangraphs.com/teams/royals" xr:uid="{96BDEF4A-D6FB-40BB-BC28-A397924EB9AF}"/>
    <hyperlink ref="B409" r:id="rId806" display="https://www.fangraphs.com/players/wenceel-perez/22857/stats" xr:uid="{85CF6B1E-5832-42CB-BD47-FEAC2CC3535F}"/>
    <hyperlink ref="C409" r:id="rId807" display="https://www.fangraphs.com/teams/tigers" xr:uid="{8E363188-0033-4CC8-A4BF-64C27CD252B1}"/>
    <hyperlink ref="B410" r:id="rId808" display="https://www.fangraphs.com/players/mitchell-parker/27636/stats" xr:uid="{FEE560BE-70B3-4849-9834-F148A0969C5B}"/>
    <hyperlink ref="C410" r:id="rId809" display="https://www.fangraphs.com/teams/nationals" xr:uid="{C18169A6-8B24-42FA-9B3F-453E63B11441}"/>
    <hyperlink ref="B411" r:id="rId810" display="https://www.fangraphs.com/players/tommy-pham/2967/stats" xr:uid="{13A71E52-43F1-4F9A-8C0A-A9685EC76664}"/>
    <hyperlink ref="C411" r:id="rId811" display="https://www.fangraphs.com/teams/pirates" xr:uid="{E71CF2F7-CE83-4220-A85B-AEECE669C502}"/>
    <hyperlink ref="B412" r:id="rId812" display="https://www.fangraphs.com/players/jose-urena/11589/stats" xr:uid="{1E814E4F-BD4A-4F6A-AED8-14BAF1C5B93A}"/>
    <hyperlink ref="C412" r:id="rId813" display="https://www.fangraphs.com/teams/mets" xr:uid="{B27DCAA2-3F6B-4D00-866D-B6B352CE8679}"/>
    <hyperlink ref="B413" r:id="rId814" display="https://www.fangraphs.com/players/jose-iglesias/10231/stats" xr:uid="{B6F7854F-FBF8-4C0A-A999-32A95397495E}"/>
    <hyperlink ref="B414" r:id="rId815" display="https://www.fangraphs.com/players/spencer-horwitz/26477/stats" xr:uid="{27497E1A-4F54-466A-B26A-93EC3789A312}"/>
    <hyperlink ref="C414" r:id="rId816" display="https://www.fangraphs.com/teams/pirates" xr:uid="{F7E484F2-A76D-4627-8095-D622B83AA848}"/>
    <hyperlink ref="B415" r:id="rId817" display="https://www.fangraphs.com/players/yasmani-grandal/11368/stats" xr:uid="{E456307E-00C2-4327-8B45-E8CA4FDE257C}"/>
    <hyperlink ref="B416" r:id="rId818" display="https://www.fangraphs.com/players/tyrone-taylor/13675/stats" xr:uid="{E7D21D8F-4281-4481-AA20-30EACBF808D2}"/>
    <hyperlink ref="C416" r:id="rId819" display="https://www.fangraphs.com/teams/mets" xr:uid="{8A2440AD-D796-4009-BC4D-8802147CFF43}"/>
    <hyperlink ref="B417" r:id="rId820" display="https://www.fangraphs.com/players/rob-refsnyder/13770/stats" xr:uid="{60353A90-7B1E-4EDA-93CA-F555D8DC01CD}"/>
    <hyperlink ref="C417" r:id="rId821" display="https://www.fangraphs.com/teams/red-sox" xr:uid="{C368CC76-4C9F-4D63-BACF-DF417084BF72}"/>
    <hyperlink ref="B418" r:id="rId822" display="https://www.fangraphs.com/players/royce-lewis/20437/stats" xr:uid="{C66ECDDA-F552-4831-8750-CD5481B12BC6}"/>
    <hyperlink ref="C418" r:id="rId823" display="https://www.fangraphs.com/teams/twins" xr:uid="{5F2D22DA-1895-4B5F-B676-7ED030AC605E}"/>
    <hyperlink ref="B419" r:id="rId824" display="https://www.fangraphs.com/players/cooper-criswell/24975/stats" xr:uid="{2F04BCE6-4D7B-4C6F-AE98-62EA2153B4B8}"/>
    <hyperlink ref="C419" r:id="rId825" display="https://www.fangraphs.com/teams/red-sox" xr:uid="{61A38194-1402-4D77-A5E9-D316E43E82C3}"/>
    <hyperlink ref="B420" r:id="rId826" display="https://www.fangraphs.com/players/bryan-abreu/16609/stats" xr:uid="{DDC9E04F-23D9-438E-B23A-E4E4BA1EB1AB}"/>
    <hyperlink ref="C420" r:id="rId827" display="https://www.fangraphs.com/teams/astros" xr:uid="{B9B83437-F942-4989-BA9D-069B08699E3B}"/>
    <hyperlink ref="B421" r:id="rId828" display="https://www.fangraphs.com/players/miguel-rojas/7802/stats" xr:uid="{1B30DAE6-8ECE-4372-8F67-6283C6170108}"/>
    <hyperlink ref="C421" r:id="rId829" display="https://www.fangraphs.com/teams/dodgers" xr:uid="{5C9FE377-AA16-4422-860A-C69243A3FA0D}"/>
    <hyperlink ref="B422" r:id="rId830" display="https://www.fangraphs.com/players/reed-garrett/16866/stats" xr:uid="{60A51DDC-4BD2-4563-A0D0-24C2CF3F0316}"/>
    <hyperlink ref="C422" r:id="rId831" display="https://www.fangraphs.com/teams/mets" xr:uid="{55D4CB4B-D417-49A9-8AF7-331E4AA8E14E}"/>
    <hyperlink ref="B423" r:id="rId832" display="https://www.fangraphs.com/players/hayden-birdsong/31635/stats" xr:uid="{125DF7C9-53C7-4220-819E-C0169D9E2599}"/>
    <hyperlink ref="C423" r:id="rId833" display="https://www.fangraphs.com/teams/giants" xr:uid="{DC55540A-B15A-4D65-A437-AEDC67E34E81}"/>
    <hyperlink ref="B424" r:id="rId834" display="https://www.fangraphs.com/players/simeon-woods-richardson/24494/stats" xr:uid="{ADD4E6F9-3637-4A13-81D3-475C0B75F478}"/>
    <hyperlink ref="C424" r:id="rId835" display="https://www.fangraphs.com/teams/twins" xr:uid="{07C6808F-54F8-41DB-BCB5-54F8B41DE871}"/>
    <hyperlink ref="B425" r:id="rId836" display="https://www.fangraphs.com/players/dairon-blanco/19779/stats" xr:uid="{3F983450-4B7E-4D96-824C-120A2D0C42CA}"/>
    <hyperlink ref="C425" r:id="rId837" display="https://www.fangraphs.com/teams/royals" xr:uid="{A5E8112F-8B6D-46A6-9C09-90B6D2D2F6C1}"/>
    <hyperlink ref="B426" r:id="rId838" display="https://www.fangraphs.com/players/jojo-romero/19574/stats" xr:uid="{A9C72DDE-9662-4F28-B817-D443D2AD630C}"/>
    <hyperlink ref="C426" r:id="rId839" display="https://www.fangraphs.com/teams/cardinals" xr:uid="{5F8DD28D-6974-4AD7-8118-73310EBB5AEE}"/>
    <hyperlink ref="B427" r:id="rId840" display="https://www.fangraphs.com/players/joe-ross/12972/stats" xr:uid="{B0A004EF-B3AC-4403-AD23-8E51BB093967}"/>
    <hyperlink ref="C427" r:id="rId841" display="https://www.fangraphs.com/teams/phillies" xr:uid="{095034AD-2970-41DC-ACFC-0590B8CAD562}"/>
    <hyperlink ref="B428" r:id="rId842" display="https://www.fangraphs.com/players/ryan-thompson/16647/stats" xr:uid="{79DE387E-5F69-4B48-BA4D-B89D98F85BFB}"/>
    <hyperlink ref="C428" r:id="rId843" display="https://www.fangraphs.com/teams/diamondbacks" xr:uid="{E1685B76-7BD1-4306-B2DE-7D2795C36B8B}"/>
    <hyperlink ref="B429" r:id="rId844" display="https://www.fangraphs.com/players/xzavion-curry/25595/stats" xr:uid="{588A45D1-A2E5-4E73-9F78-8ED025BB20B3}"/>
    <hyperlink ref="C429" r:id="rId845" display="https://www.fangraphs.com/teams/marlins" xr:uid="{D69C8893-04DD-43F7-85AC-18F3617EFB6B}"/>
    <hyperlink ref="B430" r:id="rId846" display="https://www.fangraphs.com/players/valente-bellozo/23899/stats" xr:uid="{39C0DF0F-3BC5-40DF-9AE3-8EFA6042D85C}"/>
    <hyperlink ref="C430" r:id="rId847" display="https://www.fangraphs.com/teams/marlins" xr:uid="{1B753BF3-ACD1-4B11-99D9-410CBB10386B}"/>
    <hyperlink ref="B431" r:id="rId848" display="https://www.fangraphs.com/players/kevin-pillar/12434/stats" xr:uid="{095E14AF-5A96-4581-9EBC-0C303BBE41FF}"/>
    <hyperlink ref="C431" r:id="rId849" display="https://www.fangraphs.com/teams/rangers" xr:uid="{A2C6458E-B167-4F88-8652-4C7161D2DD81}"/>
    <hyperlink ref="B432" r:id="rId850" display="https://www.fangraphs.com/players/nolan-gorman/22263/stats" xr:uid="{9E07525F-9269-44D0-9DA7-0B8AAEF7FFA5}"/>
    <hyperlink ref="C432" r:id="rId851" display="https://www.fangraphs.com/teams/cardinals" xr:uid="{1C3A6AAD-FD01-4561-9CC6-19E54B9E7DBB}"/>
    <hyperlink ref="B433" r:id="rId852" display="https://www.fangraphs.com/players/kyle-gibson/10123/stats" xr:uid="{DCA07565-431C-46C2-8C3A-CFA36E89C206}"/>
    <hyperlink ref="B434" r:id="rId853" display="https://www.fangraphs.com/players/mauricio-dubon/16530/stats" xr:uid="{CE128AC5-ABB1-47AF-B12D-F580080B681D}"/>
    <hyperlink ref="C434" r:id="rId854" display="https://www.fangraphs.com/teams/astros" xr:uid="{39636A7A-7FFE-4E22-B872-688882B90D08}"/>
    <hyperlink ref="B435" r:id="rId855" display="https://www.fangraphs.com/players/yimi-garcia/12095/stats" xr:uid="{41C2995C-65ED-4F7C-B488-3708EACBCC8E}"/>
    <hyperlink ref="C435" r:id="rId856" display="https://www.fangraphs.com/teams/blue-jays" xr:uid="{7C8060E9-8438-4020-94D6-FF4EE53169E1}"/>
    <hyperlink ref="B436" r:id="rId857" display="https://www.fangraphs.com/players/nick-sandlin/20517/stats" xr:uid="{5FCAC2A0-C2D9-4381-9C8C-58CE44A338AC}"/>
    <hyperlink ref="C436" r:id="rId858" display="https://www.fangraphs.com/teams/blue-jays" xr:uid="{AED6006C-EAC1-4BC9-A2FE-9D63E68F8B72}"/>
    <hyperlink ref="B437" r:id="rId859" display="https://www.fangraphs.com/players/bailey-falter/20070/stats" xr:uid="{203F2D16-3F02-451D-A15D-DF6A5C7AFB1F}"/>
    <hyperlink ref="C437" r:id="rId860" display="https://www.fangraphs.com/teams/pirates" xr:uid="{BF075560-1FB7-48A7-A844-A71BF179CB92}"/>
    <hyperlink ref="B438" r:id="rId861" display="https://www.fangraphs.com/players/rowdy-tellez/15679/stats" xr:uid="{36908F49-A9BB-4036-B074-8B4615C1AC88}"/>
    <hyperlink ref="C438" r:id="rId862" display="https://www.fangraphs.com/teams/mariners" xr:uid="{E73DE5B2-38E6-4580-A257-E4A9473B4A17}"/>
    <hyperlink ref="B439" r:id="rId863" display="https://www.fangraphs.com/players/kyle-harrison/27758/stats" xr:uid="{D311EFC5-AA66-4479-88AC-116479372818}"/>
    <hyperlink ref="C439" r:id="rId864" display="https://www.fangraphs.com/teams/giants" xr:uid="{8550CF02-471E-456A-9781-2C2B35745729}"/>
    <hyperlink ref="B440" r:id="rId865" display="https://www.fangraphs.com/players/paul-blackburn/14739/stats" xr:uid="{B5998399-48DC-4ACD-B833-C10B110EBCE0}"/>
    <hyperlink ref="C440" r:id="rId866" display="https://www.fangraphs.com/teams/mets" xr:uid="{69F57446-538E-4B28-8976-75FAAFC93D0B}"/>
    <hyperlink ref="B441" r:id="rId867" display="https://www.fangraphs.com/players/jose-trevino/16725/stats" xr:uid="{AFA84226-A807-4409-8961-1D9115566E6B}"/>
    <hyperlink ref="C441" r:id="rId868" display="https://www.fangraphs.com/teams/reds" xr:uid="{EFA7EAB7-9D24-498C-96D8-600FE8A03E37}"/>
    <hyperlink ref="B442" r:id="rId869" display="https://www.fangraphs.com/players/christian-vazquez/9774/stats" xr:uid="{273B2B5D-7BE7-4AF6-BAE9-6B20B049B430}"/>
    <hyperlink ref="C442" r:id="rId870" display="https://www.fangraphs.com/teams/twins" xr:uid="{54B5330D-382D-4A58-A8BB-6A55F0A52C80}"/>
    <hyperlink ref="B443" r:id="rId871" display="https://www.fangraphs.com/players/ramon-laureano/17128/stats" xr:uid="{AE340BEA-1090-46C8-8699-7FB96E74AD8F}"/>
    <hyperlink ref="C443" r:id="rId872" display="https://www.fangraphs.com/teams/orioles" xr:uid="{03BA0612-E991-4720-BF06-A92AE2F33EDF}"/>
    <hyperlink ref="B444" r:id="rId873" display="https://www.fangraphs.com/players/james-paxton/11828/stats" xr:uid="{C08810B0-6962-4A95-8066-43A8890E1EA5}"/>
    <hyperlink ref="B445" r:id="rId874" display="https://www.fangraphs.com/players/chris-bassitt/12304/stats" xr:uid="{910771DC-8D7E-4373-9D23-8697E6D5FD7E}"/>
    <hyperlink ref="C445" r:id="rId875" display="https://www.fangraphs.com/teams/blue-jays" xr:uid="{7C62AE2C-D0B4-4CA1-9598-D4FAFD49704A}"/>
    <hyperlink ref="B446" r:id="rId876" display="https://www.fangraphs.com/players/mark-canha/11445/stats" xr:uid="{16E17FA6-29AC-4CCD-BC4D-A09353CE7139}"/>
    <hyperlink ref="C446" r:id="rId877" display="https://www.fangraphs.com/teams/brewers" xr:uid="{C53560DE-0337-4373-A89D-8886FA011EF5}"/>
    <hyperlink ref="B447" r:id="rId878" display="https://www.fangraphs.com/players/tyler-rogers/15541/stats" xr:uid="{88099DA4-333E-4809-87CA-792D03275A22}"/>
    <hyperlink ref="C447" r:id="rId879" display="https://www.fangraphs.com/teams/giants" xr:uid="{8521A2A1-E8F1-4E5B-A163-F04B577E367B}"/>
    <hyperlink ref="B448" r:id="rId880" display="https://www.fangraphs.com/players/pedro-pages/25782/stats" xr:uid="{E3ACDE6E-D718-4802-A741-8EFA3386B40F}"/>
    <hyperlink ref="C448" r:id="rId881" display="https://www.fangraphs.com/teams/cardinals" xr:uid="{6C462996-9082-4508-ABBA-F62C0399E3EB}"/>
    <hyperlink ref="B449" r:id="rId882" display="https://www.fangraphs.com/players/will-vest/19769/stats" xr:uid="{E50A765D-E097-4209-9860-D76CC514FBA1}"/>
    <hyperlink ref="C449" r:id="rId883" display="https://www.fangraphs.com/teams/tigers" xr:uid="{ED196AA1-8BDD-4ED2-9D78-E8425009671E}"/>
    <hyperlink ref="B450" r:id="rId884" display="https://www.fangraphs.com/players/eli-morgan/20203/stats" xr:uid="{97796740-415F-459A-A475-F8DE28519855}"/>
    <hyperlink ref="C450" r:id="rId885" display="https://www.fangraphs.com/teams/cubs" xr:uid="{E01AA505-F09C-4F7E-BC78-9A4CF4E0F7AD}"/>
    <hyperlink ref="B451" r:id="rId886" display="https://www.fangraphs.com/players/spencer-arrighetti/29921/stats" xr:uid="{AF7EEF21-4414-40F0-9FA5-1CFCA3367FA3}"/>
    <hyperlink ref="C451" r:id="rId887" display="https://www.fangraphs.com/teams/astros" xr:uid="{A45E64AC-C066-4D1B-8447-63E0C149E1FB}"/>
    <hyperlink ref="B452" r:id="rId888" display="https://www.fangraphs.com/players/matthew-liberatore/22294/stats" xr:uid="{7B7A52DD-8E7B-4E1A-A383-A8DAAFD6B830}"/>
    <hyperlink ref="C452" r:id="rId889" display="https://www.fangraphs.com/teams/cardinals" xr:uid="{AFB5E9F8-13C4-4EC6-B1A3-117D0553E9C3}"/>
    <hyperlink ref="B453" r:id="rId890" display="https://www.fangraphs.com/players/jorge-alcala/19459/stats" xr:uid="{90EA4789-1FB0-4AEC-9BE0-9431BFD42D0E}"/>
    <hyperlink ref="C453" r:id="rId891" display="https://www.fangraphs.com/teams/twins" xr:uid="{EDBF38FF-393D-418B-B3D1-E0260D9A8336}"/>
    <hyperlink ref="B454" r:id="rId892" display="https://www.fangraphs.com/players/josh-winckowski/22387/stats" xr:uid="{335CEBBD-0DE1-4237-8B57-CD9393895D8A}"/>
    <hyperlink ref="C454" r:id="rId893" display="https://www.fangraphs.com/teams/red-sox" xr:uid="{325CA470-B1D3-4BF2-9993-6E53404FEA54}"/>
    <hyperlink ref="B455" r:id="rId894" display="https://www.fangraphs.com/players/garrett-cleavinger/17897/stats" xr:uid="{3DF2E555-99AA-4B18-BB95-98DB77D832F9}"/>
    <hyperlink ref="C455" r:id="rId895" display="https://www.fangraphs.com/teams/rays" xr:uid="{A718F704-9E86-411E-9A05-78A6F2545794}"/>
    <hyperlink ref="B456" r:id="rId896" display="https://www.fangraphs.com/players/will-benson/21853/stats" xr:uid="{32A3184A-2AB6-4B87-9F8E-8147162408FA}"/>
    <hyperlink ref="C456" r:id="rId897" display="https://www.fangraphs.com/teams/reds" xr:uid="{1E549FCB-D746-494D-8C2C-FE3E1C6A5727}"/>
    <hyperlink ref="B457" r:id="rId898" display="https://www.fangraphs.com/players/santiago-espinal/19997/stats" xr:uid="{6D6C8811-F03C-4FA4-84B2-BF221D11D374}"/>
    <hyperlink ref="C457" r:id="rId899" display="https://www.fangraphs.com/teams/reds" xr:uid="{B10F3CF1-4903-4FA1-9463-366323C1D2C2}"/>
    <hyperlink ref="B458" r:id="rId900" display="https://www.fangraphs.com/players/danny-jansen/16535/stats" xr:uid="{886AA750-B468-48CC-A3FA-98D87A800FE1}"/>
    <hyperlink ref="C458" r:id="rId901" display="https://www.fangraphs.com/teams/rays" xr:uid="{19B51E01-477D-445F-8DBB-F88FAFEF1EE4}"/>
    <hyperlink ref="B459" r:id="rId902" display="https://www.fangraphs.com/players/joey-cantillo/23335/stats" xr:uid="{97CB8802-43C5-4161-8E71-2DC131FB2F87}"/>
    <hyperlink ref="C459" r:id="rId903" display="https://www.fangraphs.com/teams/guardians" xr:uid="{698238AA-76C2-461E-A18C-9D9DDD156CC6}"/>
    <hyperlink ref="B460" r:id="rId904" display="https://www.fangraphs.com/players/max-kepler/12144/stats" xr:uid="{DEF527F7-935C-4E09-A428-0F9FAF3EC01E}"/>
    <hyperlink ref="C460" r:id="rId905" display="https://www.fangraphs.com/teams/phillies" xr:uid="{3463ED0C-1258-497A-87C7-C645FC2EBE7A}"/>
    <hyperlink ref="B461" r:id="rId906" display="https://www.fangraphs.com/players/jon-gray/14916/stats" xr:uid="{67C13BB4-E460-4F68-8D59-21E37F70C4C3}"/>
    <hyperlink ref="C461" r:id="rId907" display="https://www.fangraphs.com/teams/rangers" xr:uid="{70F2C058-1FA7-4313-A76E-F4078FD71ED7}"/>
    <hyperlink ref="B462" r:id="rId908" display="https://www.fangraphs.com/players/oswaldo-cabrera/21707/stats" xr:uid="{8F2508B9-797E-4245-A37F-546C713E91CC}"/>
    <hyperlink ref="C462" r:id="rId909" display="https://www.fangraphs.com/teams/yankees" xr:uid="{EFE713A4-4102-4056-8475-1856D8D526A8}"/>
    <hyperlink ref="B463" r:id="rId910" display="https://www.fangraphs.com/players/braxton-garrett/21844/stats" xr:uid="{EA1F8607-B455-415C-B782-850BAD236633}"/>
    <hyperlink ref="C463" r:id="rId911" display="https://www.fangraphs.com/teams/marlins" xr:uid="{E817FD5C-2F87-46CC-BE60-9756DFB1BBDA}"/>
    <hyperlink ref="B464" r:id="rId912" display="https://www.fangraphs.com/players/jack-kochanowicz/27688/stats" xr:uid="{9C76A033-EDF9-485D-A9E2-2C724ECEED9D}"/>
    <hyperlink ref="C464" r:id="rId913" display="https://www.fangraphs.com/teams/angels" xr:uid="{E39E4B91-F0EF-488C-ADAA-F2A400FE88B3}"/>
    <hyperlink ref="B465" r:id="rId914" display="https://www.fangraphs.com/players/mike-tauchman/15274/stats" xr:uid="{DACFB08B-B776-4658-B2E2-82C88E109685}"/>
    <hyperlink ref="C465" r:id="rId915" display="https://www.fangraphs.com/teams/white-sox" xr:uid="{E9927083-B959-4FDD-888B-4CFCD353574D}"/>
    <hyperlink ref="B466" r:id="rId916" display="https://www.fangraphs.com/players/ty-france/17982/stats" xr:uid="{FF6C01A4-6773-4FC6-B5C6-4B352AC45EC0}"/>
    <hyperlink ref="C466" r:id="rId917" display="https://www.fangraphs.com/teams/twins" xr:uid="{4CE9078E-526F-4905-8BA1-C7A50F5C9D44}"/>
    <hyperlink ref="B467" r:id="rId918" display="https://www.fangraphs.com/players/shelby-miller/10197/stats" xr:uid="{15830C69-FD61-4C9C-9DFF-4FAADDB7F274}"/>
    <hyperlink ref="C467" r:id="rId919" display="https://www.fangraphs.com/teams/diamondbacks" xr:uid="{7F366FF0-1530-454F-BEB2-25F29FF9C1C4}"/>
    <hyperlink ref="B468" r:id="rId920" display="https://www.fangraphs.com/players/mj-melendez/22197/stats" xr:uid="{1548F4DD-4CCB-4F60-9CFC-572654F62AA9}"/>
    <hyperlink ref="C468" r:id="rId921" display="https://www.fangraphs.com/teams/royals" xr:uid="{3AEB3522-7B6C-4A18-8AC7-6E394CC3D45A}"/>
    <hyperlink ref="B469" r:id="rId922" display="https://www.fangraphs.com/players/jake-cave/14477/stats" xr:uid="{C957E46B-7B56-48D3-8501-3B2EE1805236}"/>
    <hyperlink ref="B470" r:id="rId923" display="https://www.fangraphs.com/players/matt-waldron/25550/stats" xr:uid="{0849066E-D832-4E63-853F-58E0B0E4244D}"/>
    <hyperlink ref="C470" r:id="rId924" display="https://www.fangraphs.com/teams/padres" xr:uid="{AF033FB0-1596-4061-80A2-595B07DA47E0}"/>
    <hyperlink ref="B471" r:id="rId925" display="https://www.fangraphs.com/players/ramon-urias/18795/stats" xr:uid="{F3D96505-039E-4125-A42D-1A6475115858}"/>
    <hyperlink ref="C471" r:id="rId926" display="https://www.fangraphs.com/teams/orioles" xr:uid="{2A4D097D-38A8-458B-B927-2302A427F63C}"/>
    <hyperlink ref="B472" r:id="rId927" display="https://www.fangraphs.com/players/manuel-rodriguez/20794/stats" xr:uid="{CC8F1A67-68A4-4ED1-A8D3-49AF4DB4770E}"/>
    <hyperlink ref="C472" r:id="rId928" display="https://www.fangraphs.com/teams/rays" xr:uid="{DC8515A0-7807-4661-A061-7D6584C4D44E}"/>
    <hyperlink ref="B473" r:id="rId929" display="https://www.fangraphs.com/players/gio-urshela/10681/stats" xr:uid="{2A4FF020-186B-4E7D-B56B-EC65A18C2F03}"/>
    <hyperlink ref="C473" r:id="rId930" display="https://www.fangraphs.com/teams/athletics" xr:uid="{F81B9561-5AD4-408F-A24B-AACAE48826DD}"/>
    <hyperlink ref="B474" r:id="rId931" display="https://www.fangraphs.com/players/tyler-ferguson/19481/stats" xr:uid="{9C75B95C-1469-4DC8-A97D-1CC2E834756B}"/>
    <hyperlink ref="C474" r:id="rId932" display="https://www.fangraphs.com/teams/athletics" xr:uid="{093530A8-B7CA-4F40-9F0D-813CFA19AE26}"/>
    <hyperlink ref="B475" r:id="rId933" display="https://www.fangraphs.com/players/jake-cousins/21620/stats" xr:uid="{1A36D0A1-2577-4EF2-AAC4-A0793A132CC0}"/>
    <hyperlink ref="C475" r:id="rId934" display="https://www.fangraphs.com/teams/yankees" xr:uid="{94FE4062-82E7-4A55-ADEC-F0F63F56F94A}"/>
    <hyperlink ref="B476" r:id="rId935" display="https://www.fangraphs.com/players/ben-rortvedt/20287/stats" xr:uid="{8A3B000C-3234-4B78-8FEB-D4D265246876}"/>
    <hyperlink ref="C476" r:id="rId936" display="https://www.fangraphs.com/teams/rays" xr:uid="{ABCEC95C-25B4-4A97-9DC0-9EDBE0055696}"/>
    <hyperlink ref="B477" r:id="rId937" display="https://www.fangraphs.com/players/jake-bauers/15194/stats" xr:uid="{67E0738E-4A82-4927-8DAC-EEB447FA22E0}"/>
    <hyperlink ref="C477" r:id="rId938" display="https://www.fangraphs.com/teams/brewers" xr:uid="{C52D5211-49E7-4C6B-8026-AB2F98E75002}"/>
    <hyperlink ref="B478" r:id="rId939" display="https://www.fangraphs.com/players/trent-thornton/17948/stats" xr:uid="{31479705-3D67-4FE2-B18D-12D88ECE69E3}"/>
    <hyperlink ref="C478" r:id="rId940" display="https://www.fangraphs.com/teams/mariners" xr:uid="{9F48C18A-E3B0-4EF5-86E0-821F92E95BE7}"/>
    <hyperlink ref="B479" r:id="rId941" display="https://www.fangraphs.com/players/max-schuemann/24488/stats" xr:uid="{6A22F248-A23C-4F11-8174-944BEB79B73C}"/>
    <hyperlink ref="C479" r:id="rId942" display="https://www.fangraphs.com/teams/athletics" xr:uid="{2727EEC6-BF66-4AF4-959D-18236D4E95AC}"/>
    <hyperlink ref="B480" r:id="rId943" display="https://www.fangraphs.com/players/bryan-hoeing/26304/stats" xr:uid="{C920D964-E4EC-4B03-B06C-3B0596ACA873}"/>
    <hyperlink ref="C480" r:id="rId944" display="https://www.fangraphs.com/teams/padres" xr:uid="{3BAABDB8-7B95-4686-A330-FBE5B6A10884}"/>
    <hyperlink ref="B481" r:id="rId945" display="https://www.fangraphs.com/players/collin-snider/23307/stats" xr:uid="{9AAA1B82-9B25-4526-8773-8EA381E5EFB0}"/>
    <hyperlink ref="C481" r:id="rId946" display="https://www.fangraphs.com/teams/mariners" xr:uid="{D51C3BFF-FB41-45F0-861A-9A82A6FD313D}"/>
    <hyperlink ref="B482" r:id="rId947" display="https://www.fangraphs.com/players/yennier-cano/25911/stats" xr:uid="{A1D61D81-A649-4E40-9B60-3AC892F3845B}"/>
    <hyperlink ref="C482" r:id="rId948" display="https://www.fangraphs.com/teams/orioles" xr:uid="{D501B119-0CB1-43FB-9975-CC054A69C2F3}"/>
    <hyperlink ref="B483" r:id="rId949" display="https://www.fangraphs.com/players/tyler-alexander/17735/stats" xr:uid="{DF545195-288A-46E9-B4F8-7F9B34E98829}"/>
    <hyperlink ref="C483" r:id="rId950" display="https://www.fangraphs.com/teams/brewers" xr:uid="{7299F24C-DCE1-4A92-879F-10E7811C9688}"/>
    <hyperlink ref="B484" r:id="rId951" display="https://www.fangraphs.com/players/seth-brown/18171/stats" xr:uid="{53BC0631-E326-4FB3-ACB8-2F27032494E9}"/>
    <hyperlink ref="C484" r:id="rId952" display="https://www.fangraphs.com/teams/athletics" xr:uid="{2212C1AC-9436-4CE3-AE93-9BA74ED6D941}"/>
    <hyperlink ref="B485" r:id="rId953" display="https://www.fangraphs.com/players/donovan-solano/8623/stats" xr:uid="{7462CF39-3E8A-44B5-8466-96D9F20EAD5D}"/>
    <hyperlink ref="C485" r:id="rId954" display="https://www.fangraphs.com/teams/mariners" xr:uid="{8D6F370C-3B0F-4E97-BE6D-BA8D68F165A0}"/>
    <hyperlink ref="B486" r:id="rId955" display="https://www.fangraphs.com/players/nick-fortes/21538/stats" xr:uid="{EE2231DA-8E9C-42CA-BFDA-181A1FBA7E91}"/>
    <hyperlink ref="C486" r:id="rId956" display="https://www.fangraphs.com/teams/marlins" xr:uid="{6AB047FA-1284-4F07-B187-27E11D4F18CE}"/>
    <hyperlink ref="B487" r:id="rId957" display="https://www.fangraphs.com/players/jesus-luzardo/19959/stats" xr:uid="{904D72E9-A1BA-4A09-8F38-8D56B4976DD6}"/>
    <hyperlink ref="C487" r:id="rId958" display="https://www.fangraphs.com/teams/phillies" xr:uid="{EF5A3361-2CBB-49D1-9980-9AB4F0A4AD2C}"/>
    <hyperlink ref="B488" r:id="rId959" display="https://www.fangraphs.com/players/pierce-johnson/13435/stats" xr:uid="{EE38CF6E-8920-4412-AA58-7438DBAD6F6E}"/>
    <hyperlink ref="C488" r:id="rId960" display="https://www.fangraphs.com/teams/braves" xr:uid="{506562FC-8276-4179-9B51-14758134CC2B}"/>
    <hyperlink ref="B489" r:id="rId961" display="https://www.fangraphs.com/players/keider-montero/22630/stats" xr:uid="{9FBCD513-AEE1-4F7E-83B6-C8367395B545}"/>
    <hyperlink ref="C489" r:id="rId962" display="https://www.fangraphs.com/teams/tigers" xr:uid="{7B8D79B1-473F-4AF9-B27F-30ED6B75E898}"/>
    <hyperlink ref="B490" r:id="rId963" display="https://www.fangraphs.com/players/camilo-doval/21992/stats" xr:uid="{92DF3BA5-534F-4E03-85B6-97BC62E7FDE7}"/>
    <hyperlink ref="C490" r:id="rId964" display="https://www.fangraphs.com/teams/giants" xr:uid="{C48768A4-22E0-4E21-B42A-2718D0837DA8}"/>
    <hyperlink ref="B491" r:id="rId965" display="https://www.fangraphs.com/players/matt-wallner/26466/stats" xr:uid="{42706454-98F6-44CB-8625-71792F516C0F}"/>
    <hyperlink ref="C491" r:id="rId966" display="https://www.fangraphs.com/teams/twins" xr:uid="{AD080F5E-20A0-488C-945C-EA970CC57BEC}"/>
    <hyperlink ref="B492" r:id="rId967" display="https://www.fangraphs.com/players/orlando-arcia/13185/stats" xr:uid="{E69E1CDA-0A1A-4D56-99E5-79138F8C0AC3}"/>
    <hyperlink ref="C492" r:id="rId968" display="https://www.fangraphs.com/teams/braves" xr:uid="{A542D3A1-9042-4E4C-8F92-18EB8CB05B51}"/>
    <hyperlink ref="B493" r:id="rId969" display="https://www.fangraphs.com/players/david-festa/30056/stats" xr:uid="{25939071-AC57-4F11-9D39-F085D24E44A0}"/>
    <hyperlink ref="C493" r:id="rId970" display="https://www.fangraphs.com/teams/twins" xr:uid="{3F8733C8-C9C9-4F19-B976-204E2CE806F7}"/>
    <hyperlink ref="B494" r:id="rId971" display="https://www.fangraphs.com/players/joey-estes/26257/stats" xr:uid="{21AEE3A4-0481-441B-968A-DE4362E17B9B}"/>
    <hyperlink ref="C494" r:id="rId972" display="https://www.fangraphs.com/teams/athletics" xr:uid="{30F800B3-C51F-4389-90DE-B66486CBC69B}"/>
    <hyperlink ref="B495" r:id="rId973" display="https://www.fangraphs.com/players/parker-meadows/23800/stats" xr:uid="{04EEF466-F9DF-4C45-B7C2-68FE4987EDFD}"/>
    <hyperlink ref="C495" r:id="rId974" display="https://www.fangraphs.com/teams/tigers" xr:uid="{DEAF331A-3FC9-4406-8451-204183FCF1AD}"/>
    <hyperlink ref="B496" r:id="rId975" display="https://www.fangraphs.com/players/jorge-polanco/13152/stats" xr:uid="{0AC266CF-318A-4AB8-AB92-D46BED032CEB}"/>
    <hyperlink ref="C496" r:id="rId976" display="https://www.fangraphs.com/teams/mariners" xr:uid="{D20951C2-EED0-4815-84E5-3A9E2A716249}"/>
    <hyperlink ref="B497" r:id="rId977" display="https://www.fangraphs.com/players/emerson-hancock/27470/stats" xr:uid="{60AC94A3-0B7B-49C0-8CD6-1D685714A0CD}"/>
    <hyperlink ref="C497" r:id="rId978" display="https://www.fangraphs.com/teams/mariners" xr:uid="{4E377950-C212-48FF-AE4A-D6D88BB15F93}"/>
    <hyperlink ref="B498" r:id="rId979" display="https://www.fangraphs.com/players/enrique-hernandez/10472/stats" xr:uid="{8E4F2EB9-1454-4D8D-94FA-F61BBF4A7D5D}"/>
    <hyperlink ref="C498" r:id="rId980" display="https://www.fangraphs.com/teams/dodgers" xr:uid="{14271862-1A4A-4370-A112-A2D6FC524DB9}"/>
    <hyperlink ref="B499" r:id="rId981" display="https://www.fangraphs.com/players/buck-farmer/14814/stats" xr:uid="{DB3BE8DE-B9A1-4914-83C5-95790C5A5713}"/>
    <hyperlink ref="C499" r:id="rId982" display="https://www.fangraphs.com/teams/braves" xr:uid="{0B76C1AC-F6F4-4829-AA4F-B51D9EB9EEA5}"/>
    <hyperlink ref="B500" r:id="rId983" display="https://www.fangraphs.com/players/jt-chargois/13767/stats" xr:uid="{61FFAAB7-924B-4F7C-AC72-CB78795EB53E}"/>
    <hyperlink ref="C500" r:id="rId984" display="https://www.fangraphs.com/teams/rangers" xr:uid="{B70A470E-FC6D-49DD-B103-3460A15717D1}"/>
    <hyperlink ref="B501" r:id="rId985" display="https://www.fangraphs.com/players/jon-singleton/10441/stats" xr:uid="{58710F87-8B08-4075-A7AC-8B9C8D554393}"/>
    <hyperlink ref="C501" r:id="rId986" display="https://www.fangraphs.com/teams/astros" xr:uid="{BDEA7499-52FF-4A24-B141-0B2F4D2E6D93}"/>
    <hyperlink ref="B502" r:id="rId987" display="https://www.fangraphs.com/players/amed-rosario/15518/stats" xr:uid="{F269B328-D4DF-4975-BA24-3F470884F0EF}"/>
    <hyperlink ref="C502" r:id="rId988" display="https://www.fangraphs.com/teams/nationals" xr:uid="{E3EE1259-1782-4825-971D-F62A62489F2E}"/>
    <hyperlink ref="B503" r:id="rId989" display="https://www.fangraphs.com/players/adrian-del-castillo/29554/stats" xr:uid="{A0CAA835-8212-40CC-BEE8-C21F07B312B8}"/>
    <hyperlink ref="C503" r:id="rId990" display="https://www.fangraphs.com/teams/diamondbacks" xr:uid="{F7E6424B-3C6E-4D17-85F3-4E46CBB1A13D}"/>
    <hyperlink ref="B504" r:id="rId991" display="https://www.fangraphs.com/players/will-brennan/25660/stats" xr:uid="{90C23A9B-35E3-4759-B161-30FED7A14297}"/>
    <hyperlink ref="C504" r:id="rId992" display="https://www.fangraphs.com/teams/guardians" xr:uid="{98B6F407-2D4D-490A-90F8-EEE9361B926F}"/>
    <hyperlink ref="B505" r:id="rId993" display="https://www.fangraphs.com/players/hunter-strickland/7836/stats" xr:uid="{3A19A4B5-99C7-4434-8F7B-F6A002465BCF}"/>
    <hyperlink ref="B506" r:id="rId994" display="https://www.fangraphs.com/players/ryne-stanek/15947/stats" xr:uid="{8006A9AE-1D32-4FF5-B1E7-ABE6135438DD}"/>
    <hyperlink ref="C506" r:id="rId995" display="https://www.fangraphs.com/teams/mets" xr:uid="{24AFD098-EC35-433E-A02D-60FD7DECD647}"/>
    <hyperlink ref="B507" r:id="rId996" display="https://www.fangraphs.com/players/paul-sewald/13892/stats" xr:uid="{C730028B-B75E-420E-8959-A3BBDB25E254}"/>
    <hyperlink ref="C507" r:id="rId997" display="https://www.fangraphs.com/teams/guardians" xr:uid="{EE71D07F-97F3-428F-AA12-DCB07FA32242}"/>
    <hyperlink ref="B508" r:id="rId998" display="https://www.fangraphs.com/players/christian-scott/30107/stats" xr:uid="{E18D082C-C669-44B6-A4BD-473A356EBBEB}"/>
    <hyperlink ref="C508" r:id="rId999" display="https://www.fangraphs.com/teams/mets" xr:uid="{7E6D30BC-3927-4F1D-95FE-CD0B8A235C98}"/>
    <hyperlink ref="B509" r:id="rId1000" display="https://www.fangraphs.com/players/joe-mantiply/14857/stats" xr:uid="{ADFD73C5-1153-4D69-9CFA-FAD0A847BFF5}"/>
    <hyperlink ref="C509" r:id="rId1001" display="https://www.fangraphs.com/teams/diamondbacks" xr:uid="{622B7B07-6FC2-4E62-91EE-6F9D2CFD0100}"/>
    <hyperlink ref="B510" r:id="rId1002" display="https://www.fangraphs.com/players/phil-maton/18064/stats" xr:uid="{E0E31668-AAB2-4FCA-8709-95D8AE708EE6}"/>
    <hyperlink ref="B511" r:id="rId1003" display="https://www.fangraphs.com/players/drew-thorpe/31967/stats" xr:uid="{8DBAA027-7F0D-4C9A-ABD3-56C5B069B77F}"/>
    <hyperlink ref="C511" r:id="rId1004" display="https://www.fangraphs.com/teams/white-sox" xr:uid="{F3DF6378-3004-4844-B71E-62208A94B300}"/>
    <hyperlink ref="B512" r:id="rId1005" display="https://www.fangraphs.com/players/dennis-santana/17878/stats" xr:uid="{DCBD6145-6709-44A3-B486-4EE79B3417AC}"/>
    <hyperlink ref="C512" r:id="rId1006" display="https://www.fangraphs.com/teams/pirates" xr:uid="{FE15BFCC-1AA2-42B4-B418-FF8440D24194}"/>
    <hyperlink ref="B513" r:id="rId1007" display="https://www.fangraphs.com/players/gavin-williams/30122/stats" xr:uid="{87237EC7-350F-4613-B586-2C484E66FEFF}"/>
    <hyperlink ref="C513" r:id="rId1008" display="https://www.fangraphs.com/teams/guardians" xr:uid="{E0C20C48-7E82-425E-B903-57A6FB928F40}"/>
    <hyperlink ref="B514" r:id="rId1009" display="https://www.fangraphs.com/players/carmen-mlodzinski/27572/stats" xr:uid="{16BF45BF-6542-4042-950B-BEADBEDB0BB8}"/>
    <hyperlink ref="C514" r:id="rId1010" display="https://www.fangraphs.com/teams/pirates" xr:uid="{153D3A78-D264-4F19-A884-E3FDD55D150F}"/>
    <hyperlink ref="B515" r:id="rId1011" display="https://www.fangraphs.com/players/lamonte-wade-jr/18126/stats" xr:uid="{3AED53DA-D898-4956-A723-20F9F3B1AF30}"/>
    <hyperlink ref="C515" r:id="rId1012" display="https://www.fangraphs.com/teams/giants" xr:uid="{C2448A8A-01A2-4F89-895F-CCA37B5A8F91}"/>
    <hyperlink ref="B516" r:id="rId1013" display="https://www.fangraphs.com/players/connor-joe/16572/stats" xr:uid="{0EF55D66-0612-4740-98D7-AFE6628645C7}"/>
    <hyperlink ref="C516" r:id="rId1014" display="https://www.fangraphs.com/teams/padres" xr:uid="{EE11D186-BDF1-4ECC-8A1D-B1CA5F4EB1A6}"/>
    <hyperlink ref="B517" r:id="rId1015" display="https://www.fangraphs.com/players/kevin-newman/17696/stats" xr:uid="{E6EF40FD-211D-458F-8E7B-D600CE8AE39D}"/>
    <hyperlink ref="C517" r:id="rId1016" display="https://www.fangraphs.com/teams/angels" xr:uid="{85EC5A6C-9284-4702-8AA0-D4879B520BDF}"/>
    <hyperlink ref="B518" r:id="rId1017" display="https://www.fangraphs.com/players/quinn-priester/25977/stats" xr:uid="{A2ABAA7F-29E0-4412-96CC-D7FFD223020F}"/>
    <hyperlink ref="C518" r:id="rId1018" display="https://www.fangraphs.com/teams/red-sox" xr:uid="{FDCC5FDE-B3F8-441B-A4FB-C6A680F8FA73}"/>
    <hyperlink ref="B519" r:id="rId1019" display="https://www.fangraphs.com/players/christian-bethancourt/10028/stats" xr:uid="{757CAEB9-F17F-4E49-A0CE-08AF2DE6D5BF}"/>
    <hyperlink ref="C519" r:id="rId1020" display="https://www.fangraphs.com/teams/blue-jays" xr:uid="{11C58FAD-9050-41FF-9143-9E469990F2D6}"/>
    <hyperlink ref="B520" r:id="rId1021" display="https://www.fangraphs.com/players/adrian-morejon/20039/stats" xr:uid="{24B3F260-8451-4AF4-9A12-BF22742A24CA}"/>
    <hyperlink ref="C520" r:id="rId1022" display="https://www.fangraphs.com/teams/padres" xr:uid="{A3C0D790-0FB4-4179-BC75-AD0B1400D5C6}"/>
    <hyperlink ref="B521" r:id="rId1023" display="https://www.fangraphs.com/players/jonathan-cannon/31730/stats" xr:uid="{141E2BBA-2E93-4F15-9FF7-25C6861F2764}"/>
    <hyperlink ref="C521" r:id="rId1024" display="https://www.fangraphs.com/teams/white-sox" xr:uid="{DB010D94-D199-43EE-96AB-E3E150951D54}"/>
    <hyperlink ref="B522" r:id="rId1025" display="https://www.fangraphs.com/players/edmundo-sosa/17022/stats" xr:uid="{9849C407-08E1-4DB8-ADF3-84D1F8C14FA2}"/>
    <hyperlink ref="C522" r:id="rId1026" display="https://www.fangraphs.com/teams/phillies" xr:uid="{D90F6408-B0DD-4FF8-B74E-D4B359EBF917}"/>
    <hyperlink ref="B523" r:id="rId1027" display="https://www.fangraphs.com/players/edward-cabrera/21690/stats" xr:uid="{94C4E314-420F-4E22-84A4-D407F5CA1C21}"/>
    <hyperlink ref="C523" r:id="rId1028" display="https://www.fangraphs.com/teams/marlins" xr:uid="{5B40F327-A3B2-442A-8BA4-3D1A07772C97}"/>
    <hyperlink ref="B524" r:id="rId1029" display="https://www.fangraphs.com/players/jonah-bride/24703/stats" xr:uid="{59CCEA78-0C5A-4E76-BB71-47952D7D6CAF}"/>
    <hyperlink ref="C524" r:id="rId1030" display="https://www.fangraphs.com/teams/marlins" xr:uid="{EEB73258-9C3E-43FE-AED4-A7A230ADF69D}"/>
    <hyperlink ref="B525" r:id="rId1031" display="https://www.fangraphs.com/players/josh-rojas/19734/stats" xr:uid="{876AAE28-907B-473A-A796-63E97E0C1735}"/>
    <hyperlink ref="C525" r:id="rId1032" display="https://www.fangraphs.com/teams/white-sox" xr:uid="{F9E70241-AA79-43B8-9343-3AFC03A55137}"/>
    <hyperlink ref="B526" r:id="rId1033" display="https://www.fangraphs.com/players/chris-martin/11847/stats" xr:uid="{4F768957-A388-4A7D-B4C9-2B60E6A02CD9}"/>
    <hyperlink ref="C526" r:id="rId1034" display="https://www.fangraphs.com/teams/rangers" xr:uid="{FA2A2AD7-53A7-442C-9A0E-027526129164}"/>
    <hyperlink ref="B527" r:id="rId1035" display="https://www.fangraphs.com/players/elvis-peguero/21652/stats" xr:uid="{3DED017E-731C-455F-BBF5-647230A1F1F8}"/>
    <hyperlink ref="C527" r:id="rId1036" display="https://www.fangraphs.com/teams/brewers" xr:uid="{2943618E-BDCE-49FA-88BE-49A284D5925B}"/>
    <hyperlink ref="B528" r:id="rId1037" display="https://www.fangraphs.com/players/jordan-hicks/19618/stats" xr:uid="{258C69ED-C74B-487D-AF07-56426F9630F5}"/>
    <hyperlink ref="C528" r:id="rId1038" display="https://www.fangraphs.com/teams/giants" xr:uid="{4207EDD3-C48B-4C33-AA44-D033C75C8B77}"/>
    <hyperlink ref="B529" r:id="rId1039" display="https://www.fangraphs.com/players/yuki-matsui/33826/stats" xr:uid="{46D435B1-A894-4073-A174-FD46D4F4B42B}"/>
    <hyperlink ref="C529" r:id="rId1040" display="https://www.fangraphs.com/teams/padres" xr:uid="{D835DE60-71A6-4451-BDDD-E0FE42137C02}"/>
    <hyperlink ref="B530" r:id="rId1041" display="https://www.fangraphs.com/players/mitch-spence/27707/stats" xr:uid="{1C56A602-69EC-4650-B593-37C901A029FC}"/>
    <hyperlink ref="C530" r:id="rId1042" display="https://www.fangraphs.com/teams/athletics" xr:uid="{D1EB6C49-80EB-4BD1-AEB1-5C16D5135ED9}"/>
    <hyperlink ref="B531" r:id="rId1043" display="https://www.fangraphs.com/players/michael-tonkin/10315/stats" xr:uid="{53962B56-BB5A-4872-B2AD-A9D06AB844CC}"/>
    <hyperlink ref="C531" r:id="rId1044" display="https://www.fangraphs.com/teams/twins" xr:uid="{9A48D569-7343-45A5-8475-D7FE2ADBDABE}"/>
    <hyperlink ref="B532" r:id="rId1045" display="https://www.fangraphs.com/players/richie-palacios/24589/stats" xr:uid="{0C9989A4-BA79-4D4D-A9AC-B9CFBEEBE68F}"/>
    <hyperlink ref="C532" r:id="rId1046" display="https://www.fangraphs.com/teams/rays" xr:uid="{A39962D3-6B60-4C57-866C-9AD0AAE12B4D}"/>
    <hyperlink ref="B533" r:id="rId1047" display="https://www.fangraphs.com/players/jose-alvarado/17780/stats" xr:uid="{209C1CC1-2E3C-471D-9E11-C435793189EE}"/>
    <hyperlink ref="C533" r:id="rId1048" display="https://www.fangraphs.com/teams/phillies" xr:uid="{D9663DBA-414B-4152-982F-290641E64911}"/>
    <hyperlink ref="B534" r:id="rId1049" display="https://www.fangraphs.com/players/seranthony-dominguez/19249/stats" xr:uid="{19EE3650-1573-403F-A727-27637CFBE62E}"/>
    <hyperlink ref="C534" r:id="rId1050" display="https://www.fangraphs.com/teams/orioles" xr:uid="{7202B09E-64A1-41D8-B1D0-C23563D51E4A}"/>
    <hyperlink ref="B535" r:id="rId1051" display="https://www.fangraphs.com/players/zack-kelly/20349/stats" xr:uid="{9FDEB10E-6AFC-449F-9FE2-BD87041CF476}"/>
    <hyperlink ref="C535" r:id="rId1052" display="https://www.fangraphs.com/teams/red-sox" xr:uid="{288C77CD-3BDE-4648-8A34-C98BBBE38A01}"/>
    <hyperlink ref="B536" r:id="rId1053" display="https://www.fangraphs.com/players/jorge-lopez/14527/stats" xr:uid="{E33A2662-6401-43AE-A2B9-9DF111E05A01}"/>
    <hyperlink ref="C536" r:id="rId1054" display="https://www.fangraphs.com/teams/nationals" xr:uid="{61802325-2A6A-4A1A-A51A-CE7307EFE08C}"/>
    <hyperlink ref="B537" r:id="rId1055" display="https://www.fangraphs.com/players/sean-murphy/19352/stats" xr:uid="{69CF2A5B-493C-48CC-99FF-E9DDFCD4D351}"/>
    <hyperlink ref="C537" r:id="rId1056" display="https://www.fangraphs.com/teams/braves" xr:uid="{2AB844AA-C5E7-4CCC-A99B-EF3E6967779F}"/>
    <hyperlink ref="B538" r:id="rId1057" display="https://www.fangraphs.com/players/yariel-rodriguez/33838/stats" xr:uid="{C0A83091-C1B0-4BFA-A209-F2E47159FA06}"/>
    <hyperlink ref="C538" r:id="rId1058" display="https://www.fangraphs.com/teams/blue-jays" xr:uid="{8219DF7B-9896-4F81-9979-D3AF8A541965}"/>
    <hyperlink ref="B539" r:id="rId1059" display="https://www.fangraphs.com/players/garrett-mitchell/27555/stats" xr:uid="{3CD526F0-D2C4-459A-8921-F58F4994019F}"/>
    <hyperlink ref="C539" r:id="rId1060" display="https://www.fangraphs.com/teams/brewers" xr:uid="{B3C6A50A-E578-472E-A408-4EE1A34387D2}"/>
    <hyperlink ref="B540" r:id="rId1061" display="https://www.fangraphs.com/players/marcus-stroman/13431/stats" xr:uid="{6F426F02-607D-4BB1-B6CD-2152C710EAB1}"/>
    <hyperlink ref="C540" r:id="rId1062" display="https://www.fangraphs.com/teams/yankees" xr:uid="{18A1BB36-4625-49DA-A2D3-C487601A94E4}"/>
    <hyperlink ref="B541" r:id="rId1063" display="https://www.fangraphs.com/players/tyler-freeman/22532/stats" xr:uid="{F09203DE-42EF-4F84-BE70-13A602FBA1BA}"/>
    <hyperlink ref="C541" r:id="rId1064" display="https://www.fangraphs.com/teams/guardians" xr:uid="{D26215F6-5711-4A74-B50E-839EC230B067}"/>
    <hyperlink ref="B542" r:id="rId1065" display="https://www.fangraphs.com/players/jared-triolo/25807/stats" xr:uid="{EBE19529-5113-4F53-9CD3-E8D8AF5B743B}"/>
    <hyperlink ref="C542" r:id="rId1066" display="https://www.fangraphs.com/teams/pirates" xr:uid="{D4287E32-7D69-4611-B7AC-43AB610A0D31}"/>
    <hyperlink ref="B543" r:id="rId1067" display="https://www.fangraphs.com/players/jacob-webb/19274/stats" xr:uid="{A37D04D9-8CB2-4B00-A2EA-8675EA45EEFE}"/>
    <hyperlink ref="C543" r:id="rId1068" display="https://www.fangraphs.com/teams/rangers" xr:uid="{B1DD8137-FE9C-4BFB-8C8A-F1D0D723A61C}"/>
    <hyperlink ref="B544" r:id="rId1069" display="https://www.fangraphs.com/players/eduardo-rodriguez/13164/stats" xr:uid="{FE6E52B1-A56B-4D07-A1C0-A344A93E7E13}"/>
    <hyperlink ref="C544" r:id="rId1070" display="https://www.fangraphs.com/teams/diamondbacks" xr:uid="{7CC32FB7-05E7-432D-99F8-5E119379E9D5}"/>
    <hyperlink ref="B545" r:id="rId1071" display="https://www.fangraphs.com/players/stuart-fairchild/20321/stats" xr:uid="{C96FEC6D-E347-45EB-9CBA-4BCD519D6ED6}"/>
    <hyperlink ref="C545" r:id="rId1072" display="https://www.fangraphs.com/teams/reds" xr:uid="{3DCF9A16-4F81-46E1-9729-F361E7E651E8}"/>
    <hyperlink ref="B546" r:id="rId1073" display="https://www.fangraphs.com/players/gavin-sheets/19901/stats" xr:uid="{989F165D-621E-48BB-9BF7-596B36C3742F}"/>
    <hyperlink ref="C546" r:id="rId1074" display="https://www.fangraphs.com/teams/padres" xr:uid="{3245BAFB-F945-4384-B27F-51060A598D46}"/>
    <hyperlink ref="B547" r:id="rId1075" display="https://www.fangraphs.com/players/chris-paddack/20099/stats" xr:uid="{E689AB99-262D-45CF-86C3-D94A9B9E69B7}"/>
    <hyperlink ref="C547" r:id="rId1076" display="https://www.fangraphs.com/teams/twins" xr:uid="{EB99F748-39E0-417F-8468-230F475B4243}"/>
    <hyperlink ref="B548" r:id="rId1077" display="https://www.fangraphs.com/players/jesus-tinoco/16300/stats" xr:uid="{D03BEA10-9A05-47D8-AB17-02ABF2A542A0}"/>
    <hyperlink ref="C548" r:id="rId1078" display="https://www.fangraphs.com/teams/marlins" xr:uid="{058156B0-974B-4077-BEB1-345D7A224BD1}"/>
    <hyperlink ref="B549" r:id="rId1079" display="https://www.fangraphs.com/players/dylan-floro/13394/stats" xr:uid="{8BA13221-6D12-4544-A31D-2EAB791B7A8E}"/>
    <hyperlink ref="C549" r:id="rId1080" display="https://www.fangraphs.com/teams/athletics" xr:uid="{4ECA4183-4000-48F8-8B10-B5F1A13B67ED}"/>
    <hyperlink ref="B550" r:id="rId1081" display="https://www.fangraphs.com/players/david-peralta/2136/stats" xr:uid="{3706B7E6-698B-45B0-982A-6A131C209FA2}"/>
    <hyperlink ref="B551" r:id="rId1082" display="https://www.fangraphs.com/players/jose-leclerc/14524/stats" xr:uid="{2F11217F-7511-4098-BC47-F3BF0C2D9AD5}"/>
    <hyperlink ref="C551" r:id="rId1083" display="https://www.fangraphs.com/teams/athletics" xr:uid="{F5D37577-038D-4BAA-A63F-13B537F3EE73}"/>
    <hyperlink ref="B552" r:id="rId1084" display="https://www.fangraphs.com/players/miguel-andujar/15878/stats" xr:uid="{20049D3F-306A-4C99-B335-7E9A7CBA0899}"/>
    <hyperlink ref="C552" r:id="rId1085" display="https://www.fangraphs.com/teams/athletics" xr:uid="{318A1FF4-64ED-41FE-817D-BB1D08D14DA7}"/>
    <hyperlink ref="B553" r:id="rId1086" display="https://www.fangraphs.com/players/daniel-lynch-iv/21537/stats" xr:uid="{69DC638A-D5C1-463F-A105-09798E137EBE}"/>
    <hyperlink ref="C553" r:id="rId1087" display="https://www.fangraphs.com/teams/royals" xr:uid="{52D6ED6D-FB20-40C2-A932-5F3743F3BD83}"/>
    <hyperlink ref="B554" r:id="rId1088" display="https://www.fangraphs.com/players/taylor-rogers/13449/stats" xr:uid="{D117BD5A-EECE-42EA-92A3-5F85EB4ABD66}"/>
    <hyperlink ref="C554" r:id="rId1089" display="https://www.fangraphs.com/teams/reds" xr:uid="{921E9E13-6270-4C68-A0FD-D3BBC37AAAC6}"/>
    <hyperlink ref="B555" r:id="rId1090" display="https://www.fangraphs.com/players/austin-voth/15047/stats" xr:uid="{3D1F1DFD-CBCF-458A-90CC-BE19797C4B65}"/>
    <hyperlink ref="B556" r:id="rId1091" display="https://www.fangraphs.com/players/davis-schneider/23565/stats" xr:uid="{CD1DF99C-DF87-45EE-9449-FD32086514D1}"/>
    <hyperlink ref="C556" r:id="rId1092" display="https://www.fangraphs.com/teams/blue-jays" xr:uid="{CF6679FB-9B57-4DB3-A259-B6C5A5E85382}"/>
    <hyperlink ref="B557" r:id="rId1093" display="https://www.fangraphs.com/players/pedro-avila/18864/stats" xr:uid="{1D5006A9-04AC-4D5D-BBB7-0E1C08FB1AC6}"/>
    <hyperlink ref="B558" r:id="rId1094" display="https://www.fangraphs.com/players/anthony-banda/14706/stats" xr:uid="{F6995721-1E6D-4A3C-9186-269169F45DCC}"/>
    <hyperlink ref="C558" r:id="rId1095" display="https://www.fangraphs.com/teams/dodgers" xr:uid="{E0FFC37A-0816-44A5-B264-F99E8785CE63}"/>
    <hyperlink ref="B559" r:id="rId1096" display="https://www.fangraphs.com/players/pavin-smith/19892/stats" xr:uid="{86B30574-D57E-427E-A7CF-EAF027851120}"/>
    <hyperlink ref="C559" r:id="rId1097" display="https://www.fangraphs.com/teams/diamondbacks" xr:uid="{16604F4D-A2C6-46B1-BD69-12B14CF0A81B}"/>
    <hyperlink ref="B560" r:id="rId1098" display="https://www.fangraphs.com/players/james-mcarthur/21527/stats" xr:uid="{43943444-DC5D-48FE-B1B5-9C4F528FA52F}"/>
    <hyperlink ref="C560" r:id="rId1099" display="https://www.fangraphs.com/teams/royals" xr:uid="{7A863AF0-175F-4DD0-BD03-CAC7AE552D39}"/>
    <hyperlink ref="B561" r:id="rId1100" display="https://www.fangraphs.com/players/frankie-montas/14309/stats" xr:uid="{8B7FDB54-E292-4F30-87DD-73C45994C625}"/>
    <hyperlink ref="C561" r:id="rId1101" display="https://www.fangraphs.com/teams/mets" xr:uid="{0091DB77-4D4C-4293-907D-EEDEFE3769E6}"/>
    <hyperlink ref="B562" r:id="rId1102" display="https://www.fangraphs.com/players/ronald-acuna-jr/18401/stats" xr:uid="{9BBE9EAC-E785-4868-B4A7-0D39E31F67D4}"/>
    <hyperlink ref="C562" r:id="rId1103" display="https://www.fangraphs.com/teams/braves" xr:uid="{CB8CCDF3-834C-4C2C-BFBD-5F8DB078D951}"/>
    <hyperlink ref="B563" r:id="rId1104" display="https://www.fangraphs.com/players/michael-siani/22557/stats" xr:uid="{AC3DC993-63F6-49E6-8AE4-CB7585BFC9C0}"/>
    <hyperlink ref="C563" r:id="rId1105" display="https://www.fangraphs.com/teams/cardinals" xr:uid="{D7360218-0335-4046-8F63-3F6A8391FA9D}"/>
    <hyperlink ref="B564" r:id="rId1106" display="https://www.fangraphs.com/players/sam-long/25379/stats" xr:uid="{0C9EE71F-4A0E-4750-AFB7-3D61FA50E774}"/>
    <hyperlink ref="C564" r:id="rId1107" display="https://www.fangraphs.com/teams/royals" xr:uid="{6787BAC4-0323-41A1-91F3-1A9D36FB6A92}"/>
    <hyperlink ref="B565" r:id="rId1108" display="https://www.fangraphs.com/players/thairo-estrada/16426/stats" xr:uid="{9C98AD4A-C228-4651-8829-E8CAE60A123C}"/>
    <hyperlink ref="C565" r:id="rId1109" display="https://www.fangraphs.com/teams/rockies" xr:uid="{774F5187-81A2-4101-B8BB-C9592AE12CB3}"/>
    <hyperlink ref="B566" r:id="rId1110" display="https://www.fangraphs.com/players/sam-moll/14874/stats" xr:uid="{8A6D4DD0-67FF-42DD-B658-86E866BF671C}"/>
    <hyperlink ref="C566" r:id="rId1111" display="https://www.fangraphs.com/teams/reds" xr:uid="{324FAA2C-7515-4340-8D2A-07557439084A}"/>
    <hyperlink ref="B567" r:id="rId1112" display="https://www.fangraphs.com/players/tyler-phillips/20629/stats" xr:uid="{C0075B07-9679-4AF2-B5E9-6F59B494D375}"/>
    <hyperlink ref="C567" r:id="rId1113" display="https://www.fangraphs.com/teams/phillies" xr:uid="{49074B46-66F4-4BC5-9115-FF9128D6390D}"/>
    <hyperlink ref="B568" r:id="rId1114" display="https://www.fangraphs.com/players/john-king/22051/stats" xr:uid="{2405CA49-82F6-4789-9C41-62AD9F31E050}"/>
    <hyperlink ref="C568" r:id="rId1115" display="https://www.fangraphs.com/teams/cardinals" xr:uid="{86A1C601-C8D2-461A-80DE-A9455017A807}"/>
    <hyperlink ref="B569" r:id="rId1116" display="https://www.fangraphs.com/players/anthony-bender/19742/stats" xr:uid="{6B13B652-296F-4E0D-930F-1BE92ED0F3CA}"/>
    <hyperlink ref="C569" r:id="rId1117" display="https://www.fangraphs.com/teams/marlins" xr:uid="{9B5F070B-A525-48F3-8E0A-423A6F2235AF}"/>
    <hyperlink ref="B570" r:id="rId1118" display="https://www.fangraphs.com/players/jose-ruiz/14552/stats" xr:uid="{C4D41867-97A0-42C2-98AC-D8D77B4229A4}"/>
    <hyperlink ref="C570" r:id="rId1119" display="https://www.fangraphs.com/teams/phillies" xr:uid="{ACB4D339-9386-44B8-814E-00A5D25A217C}"/>
    <hyperlink ref="B571" r:id="rId1120" display="https://www.fangraphs.com/players/brayan-rocchio/23690/stats" xr:uid="{ED01062C-F05A-4F49-9DCB-55B64ED1EA3E}"/>
    <hyperlink ref="C571" r:id="rId1121" display="https://www.fangraphs.com/teams/guardians" xr:uid="{CBD41D1B-A16E-4292-B524-6F17D95A2B42}"/>
    <hyperlink ref="B572" r:id="rId1122" display="https://www.fangraphs.com/players/greg-weissert/20375/stats" xr:uid="{1F2F2F10-11E9-4FB0-8DF1-CBD6A1523B87}"/>
    <hyperlink ref="C572" r:id="rId1123" display="https://www.fangraphs.com/teams/red-sox" xr:uid="{8E6A2AAB-00BE-4E36-8CB3-5A21FEA30C99}"/>
    <hyperlink ref="B573" r:id="rId1124" display="https://www.fangraphs.com/players/jason-heyward/4940/stats" xr:uid="{F4396ED8-8816-440A-8117-38F85D3AF8EC}"/>
    <hyperlink ref="C573" r:id="rId1125" display="https://www.fangraphs.com/teams/padres" xr:uid="{9FD84ED6-3B64-4FC6-A3DB-996E5A84530A}"/>
    <hyperlink ref="B574" r:id="rId1126" display="https://www.fangraphs.com/players/jacob-barnes/12323/stats" xr:uid="{86B94A8A-73FA-47A4-9DF0-057ECD9A711D}"/>
    <hyperlink ref="C574" r:id="rId1127" display="https://www.fangraphs.com/teams/blue-jays" xr:uid="{71B32878-970E-4A41-9EDE-1301807B2E17}"/>
    <hyperlink ref="B575" r:id="rId1128" display="https://www.fangraphs.com/players/mitch-haniger/14274/stats" xr:uid="{2C713CDE-E675-4A68-8A84-52E5B3EE6F4D}"/>
    <hyperlink ref="C575" r:id="rId1129" display="https://www.fangraphs.com/teams/mariners" xr:uid="{B518A9F4-C4A7-4CC1-90A1-85B71F38DD3E}"/>
    <hyperlink ref="B576" r:id="rId1130" display="https://www.fangraphs.com/players/davis-martin/21448/stats" xr:uid="{E143E86C-FBCD-4D49-8B96-4A893E1AB5A1}"/>
    <hyperlink ref="C576" r:id="rId1131" display="https://www.fangraphs.com/teams/white-sox" xr:uid="{8C9C2118-C7F7-401B-BF02-E15E4996CA5A}"/>
    <hyperlink ref="B577" r:id="rId1132" display="https://www.fangraphs.com/players/tommy-kahnle/11384/stats" xr:uid="{FF648BB8-8494-4FFA-B206-9E6EBA2E473B}"/>
    <hyperlink ref="C577" r:id="rId1133" display="https://www.fangraphs.com/teams/tigers" xr:uid="{9241866E-71F2-48D6-86D9-7528BA87AC75}"/>
    <hyperlink ref="B578" r:id="rId1134" display="https://www.fangraphs.com/players/justin-wrobleski/31204/stats" xr:uid="{E1E15F7F-C74B-42FE-8762-DB375AD03AE8}"/>
    <hyperlink ref="C578" r:id="rId1135" display="https://www.fangraphs.com/teams/dodgers" xr:uid="{169992FC-38D9-4498-AEAA-7177D7AC3845}"/>
    <hyperlink ref="B579" r:id="rId1136" display="https://www.fangraphs.com/players/eric-haase/14111/stats" xr:uid="{B80B4EB8-B912-4BA8-91FF-0BAB77C3BE50}"/>
    <hyperlink ref="C579" r:id="rId1137" display="https://www.fangraphs.com/teams/brewers" xr:uid="{ABFFEE14-D986-42E8-BEE2-4EA18B46A4DD}"/>
    <hyperlink ref="B580" r:id="rId1138" display="https://www.fangraphs.com/players/spencer-bivens/30226/stats" xr:uid="{C3205945-A376-42C7-B0F2-586A94ACC7ED}"/>
    <hyperlink ref="C580" r:id="rId1139" display="https://www.fangraphs.com/teams/giants" xr:uid="{54A56E09-1386-4036-901A-51B5825AB87D}"/>
    <hyperlink ref="B581" r:id="rId1140" display="https://www.fangraphs.com/players/calvin-faucher/20116/stats" xr:uid="{CFCE31C5-7D4A-4BB8-AA3E-B274CBBFBCA9}"/>
    <hyperlink ref="C581" r:id="rId1141" display="https://www.fangraphs.com/teams/marlins" xr:uid="{E2F8EA1B-2980-4612-A177-C318610E29E1}"/>
    <hyperlink ref="B582" r:id="rId1142" display="https://www.fangraphs.com/players/romy-gonzalez/21562/stats" xr:uid="{3BB1E133-35B1-48A8-89FA-1C97C4FAA463}"/>
    <hyperlink ref="C582" r:id="rId1143" display="https://www.fangraphs.com/teams/red-sox" xr:uid="{2010E90D-CABE-433C-8C99-AA0D89F5A3C6}"/>
    <hyperlink ref="B583" r:id="rId1144" display="https://www.fangraphs.com/players/shawn-armstrong/12857/stats" xr:uid="{978ACF6D-06C0-45A9-8E31-3C99F20FEFD2}"/>
    <hyperlink ref="C583" r:id="rId1145" display="https://www.fangraphs.com/teams/rangers" xr:uid="{58EA851D-6488-4706-9F0A-3AF4A1B8A382}"/>
    <hyperlink ref="B584" r:id="rId1146" display="https://www.fangraphs.com/players/luis-medina/21649/stats" xr:uid="{C137A886-710A-4B87-B290-A4A407D54CB7}"/>
    <hyperlink ref="C584" r:id="rId1147" display="https://www.fangraphs.com/teams/athletics" xr:uid="{92247551-622F-4115-BD48-4D27BAEB94CA}"/>
    <hyperlink ref="B585" r:id="rId1148" display="https://www.fangraphs.com/players/colin-holderman/22361/stats" xr:uid="{48DB7E17-4D03-4FB8-B761-F9629C490187}"/>
    <hyperlink ref="C585" r:id="rId1149" display="https://www.fangraphs.com/teams/pirates" xr:uid="{79C793F9-7719-4DC2-8496-D190705D0F71}"/>
    <hyperlink ref="B586" r:id="rId1150" display="https://www.fangraphs.com/players/brent-suter/13942/stats" xr:uid="{34A6C558-F2C1-4B3C-BF3E-F1C9FF445229}"/>
    <hyperlink ref="C586" r:id="rId1151" display="https://www.fangraphs.com/teams/reds" xr:uid="{79D3FB81-8C76-4A00-A780-A8B0CEB468A6}"/>
    <hyperlink ref="B587" r:id="rId1152" display="https://www.fangraphs.com/players/jp-crawford/15491/stats" xr:uid="{046D2889-3C49-4979-822D-E9E9FCB2E925}"/>
    <hyperlink ref="C587" r:id="rId1153" display="https://www.fangraphs.com/teams/mariners" xr:uid="{AD345C5C-8E94-414E-B548-AB5724B522EC}"/>
    <hyperlink ref="B588" r:id="rId1154" display="https://www.fangraphs.com/players/adam-oller/20132/stats" xr:uid="{A58CABDF-D839-410B-94EF-62F868FB81FD}"/>
    <hyperlink ref="C588" r:id="rId1155" display="https://www.fangraphs.com/teams/marlins" xr:uid="{54CA618B-4C26-40C7-A6DE-B7791350E005}"/>
    <hyperlink ref="B589" r:id="rId1156" display="https://www.fangraphs.com/players/kyle-mccann/25575/stats" xr:uid="{FEF965EA-08CC-4E76-B8CD-0FD5036BD146}"/>
    <hyperlink ref="C589" r:id="rId1157" display="https://www.fangraphs.com/teams/athletics" xr:uid="{E5F22D4B-24C8-46B8-A7A4-3D974DE2A071}"/>
    <hyperlink ref="B590" r:id="rId1158" display="https://www.fangraphs.com/players/carson-fulmer/18311/stats" xr:uid="{2A5767DD-BAB1-4A45-AF6E-C00AACB0FCFB}"/>
    <hyperlink ref="C590" r:id="rId1159" display="https://www.fangraphs.com/teams/pirates" xr:uid="{10C3BC9E-9802-481E-9649-E3980E9393D1}"/>
    <hyperlink ref="B591" r:id="rId1160" display="https://www.fangraphs.com/players/steven-matz/13361/stats" xr:uid="{DF9ED99E-794F-4C67-A676-E0C98723839D}"/>
    <hyperlink ref="C591" r:id="rId1161" display="https://www.fangraphs.com/teams/cardinals" xr:uid="{283E002E-6E35-4640-AF5B-EB3C9D9DC434}"/>
    <hyperlink ref="B592" r:id="rId1162" display="https://www.fangraphs.com/players/sam-hilliard/17954/stats" xr:uid="{CF815A8E-83D9-41BD-A0BF-AD4A17ED43D9}"/>
    <hyperlink ref="C592" r:id="rId1163" display="https://www.fangraphs.com/teams/rockies" xr:uid="{354CAC55-A7BA-40B9-96F2-0EBAC90A955A}"/>
    <hyperlink ref="B593" r:id="rId1164" display="https://www.fangraphs.com/players/robert-garcia/23363/stats" xr:uid="{A42DDBB1-D168-4E71-ADEA-2730F3BA0A33}"/>
    <hyperlink ref="C593" r:id="rId1165" display="https://www.fangraphs.com/teams/rangers" xr:uid="{F3E839CC-848C-4428-9638-7628BA6B29D7}"/>
    <hyperlink ref="B594" r:id="rId1166" display="https://www.fangraphs.com/players/john-schreiber/20020/stats" xr:uid="{0D6841B2-23DA-4AEF-8468-8524509F1BF9}"/>
    <hyperlink ref="C594" r:id="rId1167" display="https://www.fangraphs.com/teams/royals" xr:uid="{776E5B50-C2D3-42E6-A931-442FBF524B14}"/>
    <hyperlink ref="B595" r:id="rId1168" display="https://www.fangraphs.com/players/jalen-beeks/17192/stats" xr:uid="{34E83BE6-FB04-4E4C-B008-2B12A851DC38}"/>
    <hyperlink ref="B596" r:id="rId1169" display="https://www.fangraphs.com/players/jonny-deluca/26365/stats" xr:uid="{62034794-7209-426E-8269-12DC9E7E5E7C}"/>
    <hyperlink ref="C596" r:id="rId1170" display="https://www.fangraphs.com/teams/rays" xr:uid="{F2FE7B79-8D0D-474F-A120-CE4F6133F731}"/>
    <hyperlink ref="B597" r:id="rId1171" display="https://www.fangraphs.com/players/max-meyer/27474/stats" xr:uid="{634C7D6F-440C-41EE-8ACD-B470065BE8BF}"/>
    <hyperlink ref="C597" r:id="rId1172" display="https://www.fangraphs.com/teams/marlins" xr:uid="{17A1440E-A25C-4FA5-8023-2801EEE6A473}"/>
    <hyperlink ref="B598" r:id="rId1173" display="https://www.fangraphs.com/players/lenyn-sosa/22896/stats" xr:uid="{98FF058C-A2C4-4C09-9CA8-3F0707B27FB4}"/>
    <hyperlink ref="C598" r:id="rId1174" display="https://www.fangraphs.com/teams/white-sox" xr:uid="{A2B58495-DB8D-420D-A049-BC9251E5F911}"/>
    <hyperlink ref="B599" r:id="rId1175" display="https://www.fangraphs.com/players/dl-hall/22207/stats" xr:uid="{B4D2BDCD-358D-4D5A-B02E-230B8EBB40B3}"/>
    <hyperlink ref="C599" r:id="rId1176" display="https://www.fangraphs.com/teams/brewers" xr:uid="{6D22361C-F179-48EF-B3D9-1388515A3AB8}"/>
    <hyperlink ref="B600" r:id="rId1177" display="https://www.fangraphs.com/players/austin-barnes/12158/stats" xr:uid="{D4DB8B83-92A5-4C49-8E68-F6CBF29CB533}"/>
    <hyperlink ref="C600" r:id="rId1178" display="https://www.fangraphs.com/teams/dodgers" xr:uid="{440A06E9-1AEE-4F42-8BB0-F0197C2A7D95}"/>
    <hyperlink ref="B601" r:id="rId1179" display="https://www.fangraphs.com/players/jesse-chavez/5448/stats" xr:uid="{28165F14-71F3-4D20-A534-038AF18E32CE}"/>
    <hyperlink ref="C601" r:id="rId1180" display="https://www.fangraphs.com/teams/rangers" xr:uid="{5BE49545-9693-40FE-885B-004E028A9A94}"/>
    <hyperlink ref="B602" r:id="rId1181" display="https://www.fangraphs.com/players/david-bednar/19569/stats" xr:uid="{AC666DD1-75F4-42F2-A1ED-912DD72F94E8}"/>
    <hyperlink ref="C602" r:id="rId1182" display="https://www.fangraphs.com/teams/pirates" xr:uid="{4798FCD7-2D30-490A-A491-6C7AD3A8816A}"/>
    <hyperlink ref="B603" r:id="rId1183" display="https://www.fangraphs.com/players/hoby-milner/13346/stats" xr:uid="{F31351C2-E4F5-4C23-A56B-721414A00E74}"/>
    <hyperlink ref="C603" r:id="rId1184" display="https://www.fangraphs.com/teams/rangers" xr:uid="{B0907709-0B50-44CD-913D-8004C84E87FD}"/>
    <hyperlink ref="B604" r:id="rId1185" display="https://www.fangraphs.com/players/luis-torrens/15905/stats" xr:uid="{FE40C442-73FF-480B-941F-14CC2DE9E664}"/>
    <hyperlink ref="C604" r:id="rId1186" display="https://www.fangraphs.com/teams/mets" xr:uid="{3887DC08-6696-40E2-9832-770AFE9A6C15}"/>
    <hyperlink ref="B605" r:id="rId1187" display="https://www.fangraphs.com/players/aaron-bummer/16258/stats" xr:uid="{C3BC22A0-EB61-473C-83A4-1003150D2869}"/>
    <hyperlink ref="C605" r:id="rId1188" display="https://www.fangraphs.com/teams/braves" xr:uid="{1A90434B-948B-48DB-830C-C11F482F1042}"/>
    <hyperlink ref="B606" r:id="rId1189" display="https://www.fangraphs.com/players/mark-leiter-jr/15551/stats" xr:uid="{5E815A3B-D1FB-4A8F-9FA1-C05F435B6040}"/>
    <hyperlink ref="C606" r:id="rId1190" display="https://www.fangraphs.com/teams/yankees" xr:uid="{DDCC1F4E-5400-4890-A5D1-33018F71B7C3}"/>
    <hyperlink ref="B607" r:id="rId1191" display="https://www.fangraphs.com/players/andrew-chafin/12988/stats" xr:uid="{03840145-7B82-416F-A622-AE0EB23EC09F}"/>
    <hyperlink ref="C607" r:id="rId1192" display="https://www.fangraphs.com/teams/tigers" xr:uid="{CE55C7D8-9DD3-4AA2-8A85-DBF3AE33A8ED}"/>
    <hyperlink ref="B608" r:id="rId1193" display="https://www.fangraphs.com/players/danny-young/18439/stats" xr:uid="{9CBE8925-AC14-4D14-AD4F-2D5CA3728796}"/>
    <hyperlink ref="C608" r:id="rId1194" display="https://www.fangraphs.com/teams/mets" xr:uid="{5EB473C7-6203-48CE-AC4E-10CD667F0BAC}"/>
    <hyperlink ref="B609" r:id="rId1195" display="https://www.fangraphs.com/players/manuel-margot/14712/stats" xr:uid="{93AF9E97-B752-42EE-96A6-D8A6600F2044}"/>
    <hyperlink ref="C609" r:id="rId1196" display="https://www.fangraphs.com/teams/brewers" xr:uid="{050080ED-E9C7-4E28-A9F8-A89971EF6459}"/>
    <hyperlink ref="B610" r:id="rId1197" display="https://www.fangraphs.com/players/michael-soroka/18383/stats" xr:uid="{892B534C-4131-4CFE-8C5F-D4B262E4C95F}"/>
    <hyperlink ref="C610" r:id="rId1198" display="https://www.fangraphs.com/teams/nationals" xr:uid="{D58E733C-98B4-41B9-80E0-B57CBB53C776}"/>
    <hyperlink ref="B611" r:id="rId1199" display="https://www.fangraphs.com/players/sean-hjelle/21481/stats" xr:uid="{7E1F37C9-1A63-483A-A288-9664BEC49255}"/>
    <hyperlink ref="C611" r:id="rId1200" display="https://www.fangraphs.com/teams/giants" xr:uid="{275ABAB7-3549-45A2-BAF6-EE3D4DDBEB6A}"/>
    <hyperlink ref="B612" r:id="rId1201" display="https://www.fangraphs.com/players/ryan-pressly/7005/stats" xr:uid="{685E1BB3-486D-43A4-B5E7-AE509058EBB4}"/>
    <hyperlink ref="C612" r:id="rId1202" display="https://www.fangraphs.com/teams/cubs" xr:uid="{ECE15C62-B25E-4E72-9977-3945F0B9F53F}"/>
    <hyperlink ref="B613" r:id="rId1203" display="https://www.fangraphs.com/players/reese-mcguire/15674/stats" xr:uid="{4D71B085-A9BB-4EB5-BE87-4490371D20B3}"/>
    <hyperlink ref="C613" r:id="rId1204" display="https://www.fangraphs.com/teams/cubs" xr:uid="{FD31CA43-DB99-4A5F-95C2-B79903834620}"/>
    <hyperlink ref="B614" r:id="rId1205" display="https://www.fangraphs.com/players/spencer-torkelson/27465/stats" xr:uid="{5710F75F-BB71-4641-B270-3A366FBA2813}"/>
    <hyperlink ref="C614" r:id="rId1206" display="https://www.fangraphs.com/teams/tigers" xr:uid="{75908B3E-05BD-4872-90EB-975E8CDEEC60}"/>
    <hyperlink ref="B615" r:id="rId1207" display="https://www.fangraphs.com/players/dane-dunning/19409/stats" xr:uid="{F72A0EF0-547E-4EBC-84A2-958C73693AF5}"/>
    <hyperlink ref="C615" r:id="rId1208" display="https://www.fangraphs.com/teams/rangers" xr:uid="{8ACD7379-E485-4E0E-B190-E3BF31515971}"/>
    <hyperlink ref="B616" r:id="rId1209" display="https://www.fangraphs.com/players/nick-gordon/16337/stats" xr:uid="{DF58A87D-7831-4A18-9E06-6EB76107F12C}"/>
    <hyperlink ref="C616" r:id="rId1210" display="https://www.fangraphs.com/teams/orioles" xr:uid="{176EFE13-EEEE-4EC2-97E5-82FDFD23429B}"/>
    <hyperlink ref="B617" r:id="rId1211" display="https://www.fangraphs.com/players/justin-verlander/8700/stats" xr:uid="{33C9DA80-369D-40D1-8705-16F192021500}"/>
    <hyperlink ref="C617" r:id="rId1212" display="https://www.fangraphs.com/teams/giants" xr:uid="{57BFE36E-0AA4-42E3-90EA-4659D7113CCE}"/>
    <hyperlink ref="B618" r:id="rId1213" display="https://www.fangraphs.com/players/kebryan-hayes/18577/stats" xr:uid="{3075BA2E-6A39-4AD2-BF2E-4BEFC4286C35}"/>
    <hyperlink ref="C618" r:id="rId1214" display="https://www.fangraphs.com/teams/pirates" xr:uid="{0715A7EA-3E84-4DFE-8C4A-C01F7547A774}"/>
    <hyperlink ref="B619" r:id="rId1215" display="https://www.fangraphs.com/players/juan-yepez/18400/stats" xr:uid="{010A4358-E033-4B7D-A561-5B5906A40D8F}"/>
    <hyperlink ref="C619" r:id="rId1216" display="https://www.fangraphs.com/teams/nationals" xr:uid="{E0EB939C-AA36-4D32-96F5-1920B5D73DD9}"/>
    <hyperlink ref="B620" r:id="rId1217" display="https://www.fangraphs.com/players/miles-mikolas/9803/stats" xr:uid="{106AD710-E816-439A-8787-E26A72D80FFC}"/>
    <hyperlink ref="C620" r:id="rId1218" display="https://www.fangraphs.com/teams/cardinals" xr:uid="{B645C0F0-10B5-4BC5-B88C-1988EBBBE218}"/>
    <hyperlink ref="B621" r:id="rId1219" display="https://www.fangraphs.com/players/scott-alexander/10591/stats" xr:uid="{B47E058B-B94C-4A92-A6F9-10F1251A29B7}"/>
    <hyperlink ref="C621" r:id="rId1220" display="https://www.fangraphs.com/teams/rockies" xr:uid="{D49F33A2-CF12-4469-815B-7FBBD948120B}"/>
    <hyperlink ref="B622" r:id="rId1221" display="https://www.fangraphs.com/players/whit-merrifield/11281/stats" xr:uid="{8346B6D2-EC7D-4092-9FA7-AD481C9BC3E8}"/>
    <hyperlink ref="B623" r:id="rId1222" display="https://www.fangraphs.com/players/triston-casas/22514/stats" xr:uid="{7D7C6792-D2E9-4AA8-9BE7-643CB5E9FE58}"/>
    <hyperlink ref="C623" r:id="rId1223" display="https://www.fangraphs.com/teams/red-sox" xr:uid="{62C11C02-1E6C-43BD-9722-8FE5F2CFB3EF}"/>
    <hyperlink ref="B624" r:id="rId1224" display="https://www.fangraphs.com/players/hunter-stratton/23455/stats" xr:uid="{59011D87-63BF-4C6F-8535-F96503C711FC}"/>
    <hyperlink ref="C624" r:id="rId1225" display="https://www.fangraphs.com/teams/pirates" xr:uid="{40904E2D-1088-4C92-9712-D74704D18A1F}"/>
    <hyperlink ref="B625" r:id="rId1226" display="https://www.fangraphs.com/players/graham-ashcraft/27552/stats" xr:uid="{AAA01F66-1D6C-426E-BA15-5DDAB5D1FE13}"/>
    <hyperlink ref="C625" r:id="rId1227" display="https://www.fangraphs.com/teams/reds" xr:uid="{EC6F8EBA-2724-42CB-9F4E-D4FCF4631183}"/>
    <hyperlink ref="B626" r:id="rId1228" display="https://www.fangraphs.com/players/ryan-feltner/21446/stats" xr:uid="{7A4A6E90-E420-4B93-8F7D-07513ED8B33C}"/>
    <hyperlink ref="C626" r:id="rId1229" display="https://www.fangraphs.com/teams/rockies" xr:uid="{0BCF12D0-E501-417E-BAB9-5DE0BEDE0340}"/>
    <hyperlink ref="B627" r:id="rId1230" display="https://www.fangraphs.com/players/emilio-pagan/14771/stats" xr:uid="{9205B234-0E1B-4668-9B44-8FBEF7E4209E}"/>
    <hyperlink ref="C627" r:id="rId1231" display="https://www.fangraphs.com/teams/reds" xr:uid="{29D73B08-7B73-49EF-A07B-D358E7ABE2D7}"/>
    <hyperlink ref="B628" r:id="rId1232" display="https://www.fangraphs.com/players/luis-garcia/6984/stats" xr:uid="{C55B40AF-16ED-4F00-A7D9-E1284F83C3AA}"/>
    <hyperlink ref="C628" r:id="rId1233" display="https://www.fangraphs.com/teams/dodgers" xr:uid="{0EC4C9EE-E9B3-451C-9D37-B4C163371096}"/>
    <hyperlink ref="B629" r:id="rId1234" display="https://www.fangraphs.com/players/garrett-stubbs/18067/stats" xr:uid="{503DEFC1-B53F-4714-AA3E-2AA8A0F1320F}"/>
    <hyperlink ref="C629" r:id="rId1235" display="https://www.fangraphs.com/teams/phillies" xr:uid="{40AF4C54-F036-47E8-92BB-DD31065C34B1}"/>
    <hyperlink ref="B630" r:id="rId1236" display="https://www.fangraphs.com/players/jordan-wicks/30094/stats" xr:uid="{39E69173-14C5-4EEF-B2AA-2DE429B53178}"/>
    <hyperlink ref="C630" r:id="rId1237" display="https://www.fangraphs.com/teams/cubs" xr:uid="{FC8435AE-7E87-449C-9522-B7B543F32307}"/>
    <hyperlink ref="B631" r:id="rId1238" display="https://www.fangraphs.com/players/matt-thaiss/19318/stats" xr:uid="{32335B41-8FDC-4A5D-8876-97861055ABAF}"/>
    <hyperlink ref="C631" r:id="rId1239" display="https://www.fangraphs.com/teams/white-sox" xr:uid="{51B96EB8-E62E-4158-849E-89228D2C6F5F}"/>
    <hyperlink ref="B632" r:id="rId1240" display="https://www.fangraphs.com/players/brent-honeywell/16466/stats" xr:uid="{ACE2D3FA-5387-41E9-A061-479F5E3B5E18}"/>
    <hyperlink ref="B633" r:id="rId1241" display="https://www.fangraphs.com/players/cade-povich/30055/stats" xr:uid="{0942014E-5375-4BC4-9B49-85FF19427D5D}"/>
    <hyperlink ref="C633" r:id="rId1242" display="https://www.fangraphs.com/teams/orioles" xr:uid="{16121A36-FCEC-47D1-ACA6-C79DCC2C8599}"/>
    <hyperlink ref="B634" r:id="rId1243" display="https://www.fangraphs.com/players/jhonkensy-noel/24257/stats" xr:uid="{EBD4BB63-6CB6-4A47-B780-14DCD4B73E37}"/>
    <hyperlink ref="C634" r:id="rId1244" display="https://www.fangraphs.com/teams/guardians" xr:uid="{A68A96CC-C619-4C9A-84B4-57BB2A857402}"/>
    <hyperlink ref="B635" r:id="rId1245" display="https://www.fangraphs.com/players/seth-martinez/21045/stats" xr:uid="{A2E5DAF2-DF53-4575-BB1D-E0722F8F09A8}"/>
    <hyperlink ref="C635" r:id="rId1246" display="https://www.fangraphs.com/teams/mariners" xr:uid="{6A371D37-B2CC-471B-90A3-8C216189911D}"/>
    <hyperlink ref="B636" r:id="rId1247" display="https://www.fangraphs.com/players/victor-vodnik/24614/stats" xr:uid="{EEA9292D-D96A-45C0-B0A1-BE202A17E286}"/>
    <hyperlink ref="C636" r:id="rId1248" display="https://www.fangraphs.com/teams/rockies" xr:uid="{D2E7DE09-B5ED-45F6-AFC7-2600A40115E0}"/>
    <hyperlink ref="B637" r:id="rId1249" display="https://www.fangraphs.com/players/tayler-saucedo/17888/stats" xr:uid="{49671F25-C714-45B3-B425-7A0C0596C6F6}"/>
    <hyperlink ref="C637" r:id="rId1250" display="https://www.fangraphs.com/teams/mariners" xr:uid="{3B3A044D-43A6-40E7-A80D-3D1FE14E93C0}"/>
    <hyperlink ref="B638" r:id="rId1251" display="https://www.fangraphs.com/players/scott-barlow/14993/stats" xr:uid="{797F0151-EA29-4874-831F-0DB850129E36}"/>
    <hyperlink ref="C638" r:id="rId1252" display="https://www.fangraphs.com/teams/reds" xr:uid="{F2693A23-CE98-4D3A-8803-4BCF8B1001AE}"/>
    <hyperlink ref="B639" r:id="rId1253" display="https://www.fangraphs.com/players/cam-booser/16061/stats" xr:uid="{2F537904-B013-459D-A73E-A4D087B4CC09}"/>
    <hyperlink ref="C639" r:id="rId1254" display="https://www.fangraphs.com/teams/white-sox" xr:uid="{236233DB-497F-4A93-B1C0-372E11209C94}"/>
    <hyperlink ref="B640" r:id="rId1255" display="https://www.fangraphs.com/players/connor-norby/29592/stats" xr:uid="{4DBA6293-0F20-460D-ABE0-70F2182771EE}"/>
    <hyperlink ref="C640" r:id="rId1256" display="https://www.fangraphs.com/teams/marlins" xr:uid="{F6A7D90A-4D89-4EF8-AF6C-634E557EE172}"/>
    <hyperlink ref="B641" r:id="rId1257" display="https://www.fangraphs.com/players/rafael-marchan/21646/stats" xr:uid="{4AA9BF2C-73C3-40ED-8D35-F91FB15CAFD6}"/>
    <hyperlink ref="C641" r:id="rId1258" display="https://www.fangraphs.com/teams/phillies" xr:uid="{E42DAB41-F0AF-42CD-A6E1-DDE8AA13F9C8}"/>
    <hyperlink ref="B642" r:id="rId1259" display="https://www.fangraphs.com/players/austin-martin/27462/stats" xr:uid="{4CDF05A4-62C0-4C1F-B9E5-31E942C145E9}"/>
    <hyperlink ref="C642" r:id="rId1260" display="https://www.fangraphs.com/teams/twins" xr:uid="{CB7899A7-615D-42B6-81B9-E719D6E92816}"/>
    <hyperlink ref="B643" r:id="rId1261" display="https://www.fangraphs.com/players/abraham-toro/19844/stats" xr:uid="{8F06572D-84B2-4AE5-923C-CAAE8854F963}"/>
    <hyperlink ref="C643" r:id="rId1262" display="https://www.fangraphs.com/teams/red-sox" xr:uid="{5728E0F0-A730-489D-B1B2-6816FD6B1245}"/>
    <hyperlink ref="B644" r:id="rId1263" display="https://www.fangraphs.com/players/brennan-bernardino/16835/stats" xr:uid="{5A815770-D48F-4DB5-B992-10F5790B9FCB}"/>
    <hyperlink ref="C644" r:id="rId1264" display="https://www.fangraphs.com/teams/red-sox" xr:uid="{08895C43-5257-4EE6-8576-1D9F7D7C658E}"/>
    <hyperlink ref="B645" r:id="rId1265" display="https://www.fangraphs.com/players/austin-gomber/16561/stats" xr:uid="{1CD1F307-178F-49B5-8B0C-C8E3FC6509B5}"/>
    <hyperlink ref="C645" r:id="rId1266" display="https://www.fangraphs.com/teams/rockies" xr:uid="{E63F758B-6985-4C9E-94C4-BB7CD1F515B7}"/>
    <hyperlink ref="B646" r:id="rId1267" display="https://www.fangraphs.com/players/tanner-banks/16990/stats" xr:uid="{FFC7716F-FE17-4F40-938A-2B3A864DBA7F}"/>
    <hyperlink ref="C646" r:id="rId1268" display="https://www.fangraphs.com/teams/phillies" xr:uid="{EB84DA2E-9151-477E-8246-DC17721DFA29}"/>
    <hyperlink ref="B647" r:id="rId1269" display="https://www.fangraphs.com/players/randy-rodriguez/23974/stats" xr:uid="{36E73AF4-319C-4122-83DF-AA0331157FE1}"/>
    <hyperlink ref="C647" r:id="rId1270" display="https://www.fangraphs.com/teams/giants" xr:uid="{8BE6C13B-FD2B-4DF4-8ACA-D7A895BAF3A3}"/>
    <hyperlink ref="B648" r:id="rId1271" display="https://www.fangraphs.com/players/colin-poche/19403/stats" xr:uid="{E2157423-DEF9-4443-9CA8-78C26AF9F5A8}"/>
    <hyperlink ref="C648" r:id="rId1272" display="https://www.fangraphs.com/teams/nationals" xr:uid="{5C520DDE-99DF-4CF3-9FEC-5AD8178ECF26}"/>
    <hyperlink ref="B649" r:id="rId1273" display="https://www.fangraphs.com/players/kyle-leahy/24763/stats" xr:uid="{9615FD00-8A52-49A9-8055-BF47CC0E0A2C}"/>
    <hyperlink ref="C649" r:id="rId1274" display="https://www.fangraphs.com/teams/cardinals" xr:uid="{28D4E85A-E8BB-43FA-871A-F57FA7BBCAFE}"/>
    <hyperlink ref="B650" r:id="rId1275" display="https://www.fangraphs.com/players/tomas-nido/13755/stats" xr:uid="{5D9DA564-1487-48E0-A4C3-D9C809A773BE}"/>
    <hyperlink ref="C650" r:id="rId1276" display="https://www.fangraphs.com/teams/tigers" xr:uid="{0AAFBB4D-425B-47E6-A6F8-D2F1F70302ED}"/>
    <hyperlink ref="B651" r:id="rId1277" display="https://www.fangraphs.com/players/jose-herrera/17040/stats" xr:uid="{A3A9E7F5-47BE-4953-BCF6-98591E769FAF}"/>
    <hyperlink ref="C651" r:id="rId1278" display="https://www.fangraphs.com/teams/diamondbacks" xr:uid="{26D5C616-0EA3-4DA1-B8E4-E7168EF29AC0}"/>
    <hyperlink ref="B652" r:id="rId1279" display="https://www.fangraphs.com/players/drew-smyly/11760/stats" xr:uid="{CA54E987-424D-4B41-BF09-8C62982E9584}"/>
    <hyperlink ref="B653" r:id="rId1280" display="https://www.fangraphs.com/players/wandy-peralta/14295/stats" xr:uid="{9593B337-0786-435B-88D6-E7A681081B5D}"/>
    <hyperlink ref="C653" r:id="rId1281" display="https://www.fangraphs.com/teams/padres" xr:uid="{F1E211D2-8303-4978-879A-A50CBCC4808F}"/>
    <hyperlink ref="B654" r:id="rId1282" display="https://www.fangraphs.com/players/adam-ottavino/1247/stats" xr:uid="{8A33F5EA-2E0F-43E6-9708-4641E2EE9544}"/>
    <hyperlink ref="C654" r:id="rId1283" display="https://www.fangraphs.com/teams/red-sox" xr:uid="{7FD713FF-8C2B-4581-BD1D-4793A6BCDC98}"/>
    <hyperlink ref="B655" r:id="rId1284" display="https://www.fangraphs.com/players/fernando-cruz/7048/stats" xr:uid="{A48244EE-E6DC-4639-8E59-FE4E21D67FE8}"/>
    <hyperlink ref="C655" r:id="rId1285" display="https://www.fangraphs.com/teams/yankees" xr:uid="{115C9F4C-17AA-4C44-B5BC-1B5BAC4F2E12}"/>
    <hyperlink ref="B656" r:id="rId1286" display="https://www.fangraphs.com/players/triston-mckenzie/18000/stats" xr:uid="{F11274DA-5A14-4171-B7EB-294D24799797}"/>
    <hyperlink ref="C656" r:id="rId1287" display="https://www.fangraphs.com/teams/guardians" xr:uid="{746EB4E5-5225-4684-9776-7C8C8BAE708D}"/>
    <hyperlink ref="B657" r:id="rId1288" display="https://www.fangraphs.com/players/michael-grove/23221/stats" xr:uid="{FD5B33D9-D673-4D7D-A248-B0C5C885F63E}"/>
    <hyperlink ref="C657" r:id="rId1289" display="https://www.fangraphs.com/teams/dodgers" xr:uid="{EF6C8073-26D3-4C82-AE70-7446BEF5D000}"/>
    <hyperlink ref="B658" r:id="rId1290" display="https://www.fangraphs.com/players/eddie-rosario/12155/stats" xr:uid="{57D32108-2B2A-4954-8E51-29BAB1465389}"/>
    <hyperlink ref="C658" r:id="rId1291" display="https://www.fangraphs.com/teams/dodgers" xr:uid="{ED464B13-CF1F-40CF-855B-30896036068A}"/>
    <hyperlink ref="B659" r:id="rId1292" display="https://www.fangraphs.com/players/ryan-fernandez/24862/stats" xr:uid="{A27E8DDA-FF7D-44CF-8979-C79A9B01ED84}"/>
    <hyperlink ref="C659" r:id="rId1293" display="https://www.fangraphs.com/teams/cardinals" xr:uid="{F3A2D624-2221-4A54-8565-CF50DF4CAE76}"/>
    <hyperlink ref="B660" r:id="rId1294" display="https://www.fangraphs.com/players/anthony-rizzo/3473/stats" xr:uid="{FD4B1850-0706-4491-9A25-3C3638F65370}"/>
    <hyperlink ref="B661" r:id="rId1295" display="https://www.fangraphs.com/players/jorge-mateo/17273/stats" xr:uid="{5E8E8F08-E1A7-455E-8FED-DC25949356A3}"/>
    <hyperlink ref="C661" r:id="rId1296" display="https://www.fangraphs.com/teams/orioles" xr:uid="{223E1756-52F5-431E-8615-CB1A250CC18B}"/>
    <hyperlink ref="B662" r:id="rId1297" display="https://www.fangraphs.com/players/andrew-nardi/25942/stats" xr:uid="{54A27055-91DB-408A-ADEE-5B2CF4308094}"/>
    <hyperlink ref="C662" r:id="rId1298" display="https://www.fangraphs.com/teams/marlins" xr:uid="{79E2B0C2-CDD2-4723-BBD6-4BF8272FDE52}"/>
    <hyperlink ref="B663" r:id="rId1299" display="https://www.fangraphs.com/players/cole-irvin/19244/stats" xr:uid="{D83AAD6C-47D4-45D6-8A7C-A3FBA98D8C64}"/>
    <hyperlink ref="B664" r:id="rId1300" display="https://www.fangraphs.com/players/patrick-sandoval/19447/stats" xr:uid="{BE9B7ED1-E481-4628-A4B2-AAE38913D9E0}"/>
    <hyperlink ref="C664" r:id="rId1301" display="https://www.fangraphs.com/teams/red-sox" xr:uid="{F8829763-2164-4BAB-A295-A9A04C24E6A4}"/>
    <hyperlink ref="B665" r:id="rId1302" display="https://www.fangraphs.com/players/alex-wood/13781/stats" xr:uid="{5CC9F34F-279B-463A-82E7-19880D60386E}"/>
    <hyperlink ref="B666" r:id="rId1303" display="https://www.fangraphs.com/players/chas-mccormick/19599/stats" xr:uid="{227CC5D4-A5B7-4DCB-AF7E-53CB721FB1E2}"/>
    <hyperlink ref="C666" r:id="rId1304" display="https://www.fangraphs.com/teams/astros" xr:uid="{CF9BF5E5-2638-477D-B380-F8F8FA849A62}"/>
    <hyperlink ref="B667" r:id="rId1305" display="https://www.fangraphs.com/players/andy-ibanez/18819/stats" xr:uid="{019E1726-C6A7-4ECB-8EDC-41C632D80400}"/>
    <hyperlink ref="C667" r:id="rId1306" display="https://www.fangraphs.com/teams/tigers" xr:uid="{E99CA706-CE2A-4986-B24F-CC9E0261C3D3}"/>
    <hyperlink ref="B668" r:id="rId1307" display="https://www.fangraphs.com/players/derek-hill/16947/stats" xr:uid="{9FA05695-36F7-41F8-8355-EC8F5473A44F}"/>
    <hyperlink ref="C668" r:id="rId1308" display="https://www.fangraphs.com/teams/marlins" xr:uid="{6BDDEED6-ACDA-4689-B99C-AC015BC591A2}"/>
    <hyperlink ref="B669" r:id="rId1309" display="https://www.fangraphs.com/players/zebby-matthews/31827/stats" xr:uid="{F4568BFC-0C6C-47C2-95A4-5E01EC061CC6}"/>
    <hyperlink ref="C669" r:id="rId1310" display="https://www.fangraphs.com/teams/twins" xr:uid="{D5BA0911-CEC6-4661-A080-8E2165E2AD4A}"/>
    <hyperlink ref="B670" r:id="rId1311" display="https://www.fangraphs.com/players/huascar-brazoban/6107/stats" xr:uid="{557B7A84-16BD-4173-8257-2B542F9ED7E5}"/>
    <hyperlink ref="C670" r:id="rId1312" display="https://www.fangraphs.com/teams/mets" xr:uid="{C4925555-7056-4AC1-BCA2-5B967B7FA5E2}"/>
    <hyperlink ref="B671" r:id="rId1313" display="https://www.fangraphs.com/players/zach-mckinstry/19392/stats" xr:uid="{A6222BCC-761A-48D7-8468-EFD8AAACD42B}"/>
    <hyperlink ref="C671" r:id="rId1314" display="https://www.fangraphs.com/teams/tigers" xr:uid="{421B8AA2-2FFB-47BE-BF68-19D10C21B512}"/>
    <hyperlink ref="B672" r:id="rId1315" display="https://www.fangraphs.com/players/riley-adams/19864/stats" xr:uid="{2B678A2D-B9B4-472C-B63C-ED349E57C211}"/>
    <hyperlink ref="C672" r:id="rId1316" display="https://www.fangraphs.com/teams/nationals" xr:uid="{6FCFADC9-FCB7-493B-B158-6E027BB6B42C}"/>
    <hyperlink ref="B673" r:id="rId1317" display="https://www.fangraphs.com/players/casey-mize/20492/stats" xr:uid="{C96E694E-97D9-4915-BC0C-FDA7EFF2C401}"/>
    <hyperlink ref="C673" r:id="rId1318" display="https://www.fangraphs.com/teams/tigers" xr:uid="{0EB4535F-FD3B-4C84-A69B-7EBEE1917AE0}"/>
    <hyperlink ref="B674" r:id="rId1319" display="https://www.fangraphs.com/players/joe-boyle/29608/stats" xr:uid="{2ED1311C-A310-40BD-8843-D7DFDE809400}"/>
    <hyperlink ref="C674" r:id="rId1320" display="https://www.fangraphs.com/teams/rays" xr:uid="{8AF25FC0-4584-4D14-AC60-6252AEE01C5F}"/>
    <hyperlink ref="B675" r:id="rId1321" display="https://www.fangraphs.com/players/matt-moore/1890/stats" xr:uid="{A19B417F-40FF-40D8-A123-AA0752A9881D}"/>
    <hyperlink ref="C675" r:id="rId1322" display="https://www.fangraphs.com/teams/red-sox" xr:uid="{EBE6464A-0728-45DC-8C03-5231D425EB5B}"/>
    <hyperlink ref="B676" r:id="rId1323" display="https://www.fangraphs.com/players/nick-anderson/18337/stats" xr:uid="{4135615A-5EDA-4076-A7CA-7050D295CDA0}"/>
    <hyperlink ref="C676" r:id="rId1324" display="https://www.fangraphs.com/teams/cardinals" xr:uid="{BDB03B14-5139-4E88-94A0-E91325621FFD}"/>
    <hyperlink ref="B677" r:id="rId1325" display="https://www.fangraphs.com/players/martin-perez/6902/stats" xr:uid="{101C521C-EE51-4FFB-A369-A0AEA82E7243}"/>
    <hyperlink ref="C677" r:id="rId1326" display="https://www.fangraphs.com/teams/white-sox" xr:uid="{7248937A-8719-44E1-BA4B-2310EF796B8B}"/>
    <hyperlink ref="B678" r:id="rId1327" display="https://www.fangraphs.com/players/mason-black/30171/stats" xr:uid="{5D71D441-BBE5-4C62-BEE0-74BF83206B52}"/>
    <hyperlink ref="C678" r:id="rId1328" display="https://www.fangraphs.com/teams/giants" xr:uid="{8BCD0455-ED23-4D14-95B5-054EC7A08A01}"/>
    <hyperlink ref="B679" r:id="rId1329" display="https://www.fangraphs.com/players/tj-mcfarland/3237/stats" xr:uid="{F6CFCC84-6544-4044-A48B-60E95840B73D}"/>
    <hyperlink ref="C679" r:id="rId1330" display="https://www.fangraphs.com/teams/athletics" xr:uid="{06C1BDE6-D58A-4082-9E08-12027F2D0674}"/>
    <hyperlink ref="B680" r:id="rId1331" display="https://www.fangraphs.com/players/harold-ramirez/14387/stats" xr:uid="{230490A0-EAAA-44D2-B0E4-F383E3C24DFA}"/>
    <hyperlink ref="B681" r:id="rId1332" display="https://www.fangraphs.com/players/keaton-winn/23499/stats" xr:uid="{045A3589-BD6D-4780-B0C5-E5BF85ECF081}"/>
    <hyperlink ref="C681" r:id="rId1333" display="https://www.fangraphs.com/teams/giants" xr:uid="{7E99ACFB-AC7B-4F5A-A9CB-FAF1E8FED166}"/>
    <hyperlink ref="B682" r:id="rId1334" display="https://www.fangraphs.com/players/tyler-kinley/18297/stats" xr:uid="{05316EB0-95D1-4B02-A5EF-CFD4EC2515BC}"/>
    <hyperlink ref="C682" r:id="rId1335" display="https://www.fangraphs.com/teams/rockies" xr:uid="{07ED0EA6-6345-406D-AF08-FF9126A62E36}"/>
    <hyperlink ref="B683" r:id="rId1336" display="https://www.fangraphs.com/players/dominic-smith/15653/stats" xr:uid="{F5727F01-5CA7-452A-A233-DE83E9C354B4}"/>
    <hyperlink ref="C683" r:id="rId1337" display="https://www.fangraphs.com/teams/yankees" xr:uid="{B19DDF33-9898-4568-9E48-DE501DE9F5F4}"/>
    <hyperlink ref="B684" r:id="rId1338" display="https://www.fangraphs.com/players/trevor-richards/19309/stats" xr:uid="{85E34091-D50C-4E72-9BCA-93B9A8B74D01}"/>
    <hyperlink ref="C684" r:id="rId1339" display="https://www.fangraphs.com/teams/cubs" xr:uid="{7420B881-458E-4DC0-A80B-3899AF37F374}"/>
    <hyperlink ref="B685" r:id="rId1340" display="https://www.fangraphs.com/players/drew-millas/25643/stats" xr:uid="{65D31046-7C62-45CD-9E86-F1AAD5E81B59}"/>
    <hyperlink ref="C685" r:id="rId1341" display="https://www.fangraphs.com/teams/nationals" xr:uid="{ABE3A072-BB26-4206-9143-3F3783719FCA}"/>
    <hyperlink ref="B686" r:id="rId1342" display="https://www.fangraphs.com/players/cesar-salazar/21587/stats" xr:uid="{143D2E43-AE7D-4430-AAF0-85DB4D46940F}"/>
    <hyperlink ref="C686" r:id="rId1343" display="https://www.fangraphs.com/teams/astros" xr:uid="{EB038055-6022-4A29-9F6C-27DD082C0365}"/>
    <hyperlink ref="B687" r:id="rId1344" display="https://www.fangraphs.com/players/nelson-velazquez/23359/stats" xr:uid="{FF484C93-2C64-4058-9F9A-15FE85F69CCD}"/>
    <hyperlink ref="C687" r:id="rId1345" display="https://www.fangraphs.com/teams/royals" xr:uid="{52535732-4A37-4593-876C-676F565F0FCF}"/>
    <hyperlink ref="B688" r:id="rId1346" display="https://www.fangraphs.com/players/kyle-freeland/16256/stats" xr:uid="{2BFA5570-BF6B-40D0-9C36-D92323860434}"/>
    <hyperlink ref="C688" r:id="rId1347" display="https://www.fangraphs.com/teams/rockies" xr:uid="{2633A637-1937-4264-91C4-1DFDC535E97F}"/>
    <hyperlink ref="B689" r:id="rId1348" display="https://www.fangraphs.com/players/jack-suwinski/22244/stats" xr:uid="{35012459-6D18-4533-8DBF-057A5543D64E}"/>
    <hyperlink ref="C689" r:id="rId1349" display="https://www.fangraphs.com/teams/pirates" xr:uid="{5C29B45B-16F5-432D-842A-991B330B4C67}"/>
    <hyperlink ref="B690" r:id="rId1350" display="https://www.fangraphs.com/players/genesis-cabrera/17490/stats" xr:uid="{3944EE00-2293-4CC2-B1B6-23627542A69B}"/>
    <hyperlink ref="C690" r:id="rId1351" display="https://www.fangraphs.com/teams/mets" xr:uid="{71B6CC54-3811-4101-9C58-2DCA4A48B593}"/>
    <hyperlink ref="B691" r:id="rId1352" display="https://www.fangraphs.com/players/carson-spiers/27685/stats" xr:uid="{DDFA268C-AEDE-4E8B-BC27-521E464F56C0}"/>
    <hyperlink ref="C691" r:id="rId1353" display="https://www.fangraphs.com/teams/reds" xr:uid="{912B4B51-1245-40FD-B995-6B222B17E5E2}"/>
    <hyperlink ref="B692" r:id="rId1354" display="https://www.fangraphs.com/players/michael-a-taylor/11489/stats" xr:uid="{18DD2E6F-BC33-4DF8-82C5-9E2D0FEFD281}"/>
    <hyperlink ref="C692" r:id="rId1355" display="https://www.fangraphs.com/teams/white-sox" xr:uid="{6BAF344A-0FF6-44C7-9F08-99D23FB23DEE}"/>
    <hyperlink ref="B693" r:id="rId1356" display="https://www.fangraphs.com/players/tim-hill/16814/stats" xr:uid="{A33064B9-9BD3-4D5F-9679-26FD449DF3A8}"/>
    <hyperlink ref="C693" r:id="rId1357" display="https://www.fangraphs.com/teams/yankees" xr:uid="{5B51C8BB-E366-4B06-BAD2-E2AB259C3EC9}"/>
    <hyperlink ref="B694" r:id="rId1358" display="https://www.fangraphs.com/players/sixto-sanchez/19680/stats" xr:uid="{4BBB80FA-DEE6-4DD2-851E-512BB627BC3B}"/>
    <hyperlink ref="C694" r:id="rId1359" display="https://www.fangraphs.com/teams/marlins" xr:uid="{F796D7DB-7144-488B-8064-8019A8EC7266}"/>
    <hyperlink ref="B695" r:id="rId1360" display="https://www.fangraphs.com/players/hunter-harvey/15507/stats" xr:uid="{7A2E432C-A864-4156-A9CC-28213DD519E6}"/>
    <hyperlink ref="C695" r:id="rId1361" display="https://www.fangraphs.com/teams/royals" xr:uid="{9E8AF217-6C53-46BC-9565-AD9913C728A7}"/>
    <hyperlink ref="B696" r:id="rId1362" display="https://www.fangraphs.com/players/nate-pearson/20160/stats" xr:uid="{26EDF5D8-7478-4D08-9D07-BC69A2B429C2}"/>
    <hyperlink ref="C696" r:id="rId1363" display="https://www.fangraphs.com/teams/cubs" xr:uid="{0CA1471F-6197-4DC2-8F2B-E22B4651DFB6}"/>
    <hyperlink ref="B697" r:id="rId1364" display="https://www.fangraphs.com/players/austin-hays/19363/stats" xr:uid="{E8BF4381-4F06-4568-A9D0-96C1FA50D551}"/>
    <hyperlink ref="C697" r:id="rId1365" display="https://www.fangraphs.com/teams/reds" xr:uid="{21E68326-3197-4085-BB87-B8D55D97576C}"/>
    <hyperlink ref="B698" r:id="rId1366" display="https://www.fangraphs.com/players/austin-hedges/12976/stats" xr:uid="{AD97E089-DBD5-4FB7-A5DF-EDA5ECB620F8}"/>
    <hyperlink ref="C698" r:id="rId1367" display="https://www.fangraphs.com/teams/guardians" xr:uid="{514F94AE-1CF8-48DB-83D0-CB916770CA8E}"/>
    <hyperlink ref="B699" r:id="rId1368" display="https://www.fangraphs.com/players/rene-pinto/19859/stats" xr:uid="{DA4A0FDA-A51D-4726-90A9-99165FE10A2D}"/>
    <hyperlink ref="C699" r:id="rId1369" display="https://www.fangraphs.com/teams/diamondbacks" xr:uid="{19E2BCFA-D469-4E61-98BB-449422E2311A}"/>
    <hyperlink ref="B700" r:id="rId1370" display="https://www.fangraphs.com/players/tommy-edman/19470/stats" xr:uid="{4C66BCBC-9766-4EBE-840A-6E95317E1437}"/>
    <hyperlink ref="C700" r:id="rId1371" display="https://www.fangraphs.com/teams/dodgers" xr:uid="{6F424058-43CE-4465-93EA-7950D3370787}"/>
    <hyperlink ref="B701" r:id="rId1372" display="https://www.fangraphs.com/players/nolan-jones/20529/stats" xr:uid="{914E80A2-C556-4E9A-87C3-3309E7AA2303}"/>
    <hyperlink ref="C701" r:id="rId1373" display="https://www.fangraphs.com/teams/rockies" xr:uid="{AA41F5EB-FB93-4130-9021-60F161B8C8D5}"/>
    <hyperlink ref="B702" r:id="rId1374" display="https://www.fangraphs.com/players/brendon-little/21574/stats" xr:uid="{C3D95596-27AC-4159-B5C0-154581D60292}"/>
    <hyperlink ref="C702" r:id="rId1375" display="https://www.fangraphs.com/teams/blue-jays" xr:uid="{DE77C67E-8C72-4D09-9F8A-01378CA1364B}"/>
    <hyperlink ref="B703" r:id="rId1376" display="https://www.fangraphs.com/players/curt-casali/12510/stats" xr:uid="{40B0A99E-FED7-41EA-9B14-3654C3FBD517}"/>
    <hyperlink ref="C703" r:id="rId1377" display="https://www.fangraphs.com/teams/braves" xr:uid="{712F7A82-C588-41F3-874D-2AFDDDA91BC2}"/>
    <hyperlink ref="B704" r:id="rId1378" display="https://www.fangraphs.com/players/landen-roupp/30076/stats" xr:uid="{A63DDCDB-F96F-467A-AE95-69CA87859228}"/>
    <hyperlink ref="C704" r:id="rId1379" display="https://www.fangraphs.com/teams/giants" xr:uid="{B7A5744F-8086-4B4B-A2E1-5AE04DF80BBE}"/>
    <hyperlink ref="B705" r:id="rId1380" display="https://www.fangraphs.com/players/darren-mccaughan/20038/stats" xr:uid="{4ACDB17D-05B7-4398-A56C-D27E3924C0A2}"/>
    <hyperlink ref="C705" r:id="rId1381" display="https://www.fangraphs.com/teams/twins" xr:uid="{0D4C52C4-0071-4889-B010-5FE74A795123}"/>
    <hyperlink ref="B706" r:id="rId1382" display="https://www.fangraphs.com/players/randy-vasquez/24719/stats" xr:uid="{17AF2D07-50D6-445E-8B39-3F0E172995CD}"/>
    <hyperlink ref="C706" r:id="rId1383" display="https://www.fangraphs.com/teams/padres" xr:uid="{DD2E11CB-0B46-4A03-9073-CEB105949CD5}"/>
    <hyperlink ref="B707" r:id="rId1384" display="https://www.fangraphs.com/players/emmanuel-rivera/19890/stats" xr:uid="{CCA54752-4DA5-481C-A4BE-D26C6549CAB8}"/>
    <hyperlink ref="C707" r:id="rId1385" display="https://www.fangraphs.com/teams/orioles" xr:uid="{53D9DB6D-BE28-4B4A-A7E9-9A85F86F8039}"/>
    <hyperlink ref="B708" r:id="rId1386" display="https://www.fangraphs.com/players/josh-jung/26299/stats" xr:uid="{B7759479-A5C3-4063-96BD-E6A1D19DF6C7}"/>
    <hyperlink ref="C708" r:id="rId1387" display="https://www.fangraphs.com/teams/rangers" xr:uid="{AD8CF940-9BE6-4F39-B9D4-BF9C6451266C}"/>
    <hyperlink ref="B709" r:id="rId1388" display="https://www.fangraphs.com/players/ildemaro-vargas/13324/stats" xr:uid="{F84269C0-BFA6-45F1-A60D-4CC1FBA3AB4E}"/>
    <hyperlink ref="C709" r:id="rId1389" display="https://www.fangraphs.com/teams/diamondbacks" xr:uid="{A46B80A7-EE0C-4D28-96E2-0A2633CF9A40}"/>
    <hyperlink ref="B710" r:id="rId1390" display="https://www.fangraphs.com/players/alex-call/19296/stats" xr:uid="{370151A8-51A3-4C4D-A2C7-FBE92BF86A1A}"/>
    <hyperlink ref="C710" r:id="rId1391" display="https://www.fangraphs.com/teams/nationals" xr:uid="{56606330-972D-4061-9FE8-0114DB2A0671}"/>
    <hyperlink ref="B711" r:id="rId1392" display="https://www.fangraphs.com/players/mike-trout/10155/stats" xr:uid="{D88B371F-CE4C-4840-B0BC-F7CBF4BD2432}"/>
    <hyperlink ref="C711" r:id="rId1393" display="https://www.fangraphs.com/teams/angels" xr:uid="{8E968B17-E9BF-4B07-AC8A-F1EDE6800C93}"/>
    <hyperlink ref="B712" r:id="rId1394" display="https://www.fangraphs.com/players/logan-allen/27589/stats" xr:uid="{1296E8C6-6749-40FC-8FBD-AE67E199FB0E}"/>
    <hyperlink ref="C712" r:id="rId1395" display="https://www.fangraphs.com/teams/guardians" xr:uid="{7E85C538-9E34-4410-AA90-840DEFF7007F}"/>
    <hyperlink ref="B713" r:id="rId1396" display="https://www.fangraphs.com/players/tucker-barnhart/10200/stats" xr:uid="{4010E07B-F3EA-447C-94F4-FBF4F4756E98}"/>
    <hyperlink ref="C713" r:id="rId1397" display="https://www.fangraphs.com/teams/rangers" xr:uid="{E7133E90-2D1A-421E-A6C2-D252E64D1FC6}"/>
    <hyperlink ref="B714" r:id="rId1398" display="https://www.fangraphs.com/players/tommy-henry/26285/stats" xr:uid="{71DF50D0-211B-4E9A-B4F3-6D3DD5B1D879}"/>
    <hyperlink ref="C714" r:id="rId1399" display="https://www.fangraphs.com/teams/diamondbacks" xr:uid="{50546853-BE67-4DEF-8945-9005265580B7}"/>
    <hyperlink ref="B715" r:id="rId1400" display="https://www.fangraphs.com/players/bryce-elder/27779/stats" xr:uid="{CE3C8CAF-F838-473C-9F81-514AA2E57078}"/>
    <hyperlink ref="C715" r:id="rId1401" display="https://www.fangraphs.com/teams/braves" xr:uid="{2A0793F9-305E-41DA-9389-1E22EB97E0D0}"/>
    <hyperlink ref="B716" r:id="rId1402" display="https://www.fangraphs.com/players/nicky-lopez/19339/stats" xr:uid="{9B703145-3481-4AB1-A7C4-30056908079A}"/>
    <hyperlink ref="C716" r:id="rId1403" display="https://www.fangraphs.com/teams/cubs" xr:uid="{50AD77E7-99BD-4903-9AD2-772D990BDE0C}"/>
    <hyperlink ref="B717" r:id="rId1404" display="https://www.fangraphs.com/players/edouard-julien/27534/stats" xr:uid="{D7F5C4CE-0122-43B7-9DA3-C66D02A96231}"/>
    <hyperlink ref="C717" r:id="rId1405" display="https://www.fangraphs.com/teams/twins" xr:uid="{FFC43215-5862-4B69-8141-A7891E8A4DCB}"/>
    <hyperlink ref="B718" r:id="rId1406" display="https://www.fangraphs.com/players/bo-bichette/19612/stats" xr:uid="{3C9502AB-19CD-462F-8813-20ED7490262A}"/>
    <hyperlink ref="C718" r:id="rId1407" display="https://www.fangraphs.com/teams/blue-jays" xr:uid="{4E731612-C34B-4084-A32F-BF1F5C2E7BA1}"/>
    <hyperlink ref="B719" r:id="rId1408" display="https://www.fangraphs.com/players/ian-hamilton/19261/stats" xr:uid="{20D916C8-D233-4CD7-9C36-83CAE2503C90}"/>
    <hyperlink ref="C719" r:id="rId1409" display="https://www.fangraphs.com/teams/yankees" xr:uid="{607169D5-C2EF-4CA1-8082-008FA1F74495}"/>
    <hyperlink ref="B720" r:id="rId1410" display="https://www.fangraphs.com/players/gregory-soto/19677/stats" xr:uid="{1A33929E-0348-4F1F-9CEF-7CDAAEE56E48}"/>
    <hyperlink ref="C720" r:id="rId1411" display="https://www.fangraphs.com/teams/orioles" xr:uid="{9BFBDBC2-14D3-4D37-A9B8-192D9E2C898B}"/>
    <hyperlink ref="B721" r:id="rId1412" display="https://www.fangraphs.com/players/austin-adams/13801/stats" xr:uid="{022FB562-8445-42E1-8CE4-C3C0D08A67BB}"/>
    <hyperlink ref="C721" r:id="rId1413" display="https://www.fangraphs.com/teams/red-sox" xr:uid="{A6B2B999-49DC-4763-B51F-8FF976F7CDA3}"/>
    <hyperlink ref="B722" r:id="rId1414" display="https://www.fangraphs.com/players/trent-grisham/18564/stats" xr:uid="{7DCB94B8-4F5C-44E5-9737-EE37EFB705C3}"/>
    <hyperlink ref="C722" r:id="rId1415" display="https://www.fangraphs.com/teams/yankees" xr:uid="{0AC7BA50-8817-4D8A-AF53-C91DCE953952}"/>
    <hyperlink ref="B723" r:id="rId1416" display="https://www.fangraphs.com/players/kyle-muller/20167/stats" xr:uid="{25F05648-0B3A-4E04-9214-B99024C5EF37}"/>
    <hyperlink ref="B724" r:id="rId1417" display="https://www.fangraphs.com/players/brett-wisely/27735/stats" xr:uid="{03B47592-DD82-4AEB-BCD9-A155FC3C8BED}"/>
    <hyperlink ref="C724" r:id="rId1418" display="https://www.fangraphs.com/teams/giants" xr:uid="{4276F5CE-FB03-4618-BA07-2E24F868DE24}"/>
    <hyperlink ref="B725" r:id="rId1419" display="https://www.fangraphs.com/players/alex-jackson/17276/stats" xr:uid="{3527F225-9EC2-44EC-9F68-58DB7AC65565}"/>
    <hyperlink ref="C725" r:id="rId1420" display="https://www.fangraphs.com/teams/yankees" xr:uid="{DCA4BA22-CFFD-4E7D-A10E-527EAF2A6ADB}"/>
    <hyperlink ref="B726" r:id="rId1421" display="https://www.fangraphs.com/players/chadwick-tromp/16953/stats" xr:uid="{F506DDD7-449D-4937-93E2-AF850120687F}"/>
    <hyperlink ref="C726" r:id="rId1422" display="https://www.fangraphs.com/teams/braves" xr:uid="{40C26841-1B36-4533-AD51-74244C57EF46}"/>
    <hyperlink ref="B727" r:id="rId1423" display="https://www.fangraphs.com/players/austin-wynns/15271/stats" xr:uid="{C2D9A057-92DC-45C0-9B8C-453002427066}"/>
    <hyperlink ref="C727" r:id="rId1424" display="https://www.fangraphs.com/teams/reds" xr:uid="{3C705F93-ACC5-42E2-8ED0-D1C8E9B1F3AC}"/>
    <hyperlink ref="B728" r:id="rId1425" display="https://www.fangraphs.com/players/erik-swanson/16587/stats" xr:uid="{30AA77BB-C3B7-4A43-BF46-F9B8597826B6}"/>
    <hyperlink ref="C728" r:id="rId1426" display="https://www.fangraphs.com/teams/blue-jays" xr:uid="{596F878C-3783-4A21-8D75-D36EAFFAFD2C}"/>
    <hyperlink ref="B729" r:id="rId1427" display="https://www.fangraphs.com/players/jacob-latz/21306/stats" xr:uid="{26B324D0-FB09-4697-8F81-E7EF2F1D51DB}"/>
    <hyperlink ref="C729" r:id="rId1428" display="https://www.fangraphs.com/teams/rangers" xr:uid="{59F3DD13-4009-451F-8AF0-38A583AF99ED}"/>
    <hyperlink ref="B730" r:id="rId1429" display="https://www.fangraphs.com/players/kevin-kiermaier/11038/stats" xr:uid="{2E19BC2C-FFEA-40DC-A181-31643FF60591}"/>
    <hyperlink ref="B731" r:id="rId1430" display="https://www.fangraphs.com/players/burch-smith/12784/stats" xr:uid="{6570AEA2-5992-4213-BE88-B5CC7DAB53C3}"/>
    <hyperlink ref="C731" r:id="rId1431" display="https://www.fangraphs.com/teams/pirates" xr:uid="{374E94BF-F3B2-4F95-B08E-0978FF1D8AE9}"/>
    <hyperlink ref="B732" r:id="rId1432" display="https://www.fangraphs.com/players/luke-maile/13355/stats" xr:uid="{18017126-31EA-4710-98BE-8D44CD0F80E5}"/>
    <hyperlink ref="C732" r:id="rId1433" display="https://www.fangraphs.com/teams/royals" xr:uid="{3BB713D5-C8A8-4620-9D12-89726FEF5EB3}"/>
    <hyperlink ref="B733" r:id="rId1434" display="https://www.fangraphs.com/players/angel-zerpa/22717/stats" xr:uid="{8622E851-C8F7-4CB2-9847-253508E4238C}"/>
    <hyperlink ref="C733" r:id="rId1435" display="https://www.fangraphs.com/teams/royals" xr:uid="{DB72BF1D-2DD2-40F3-A708-DF3954974362}"/>
    <hyperlink ref="B734" r:id="rId1436" display="https://www.fangraphs.com/players/blake-sabol/25805/stats" xr:uid="{87648931-F19B-43BD-AD67-B49E2499D750}"/>
    <hyperlink ref="C734" r:id="rId1437" display="https://www.fangraphs.com/teams/red-sox" xr:uid="{7850F860-149C-4609-AB92-41A4F86E1603}"/>
    <hyperlink ref="B735" r:id="rId1438" display="https://www.fangraphs.com/players/steven-okert/13580/stats" xr:uid="{AE58DF3D-D929-4692-8D1B-0C147EBFC6A3}"/>
    <hyperlink ref="C735" r:id="rId1439" display="https://www.fangraphs.com/teams/astros" xr:uid="{0E60A142-66C1-4C94-8FC9-482AC163F390}"/>
    <hyperlink ref="B736" r:id="rId1440" display="https://www.fangraphs.com/players/declan-cronin/25645/stats" xr:uid="{A6CCA6B5-7418-473D-B76C-A29FAFD2A871}"/>
    <hyperlink ref="C736" r:id="rId1441" display="https://www.fangraphs.com/teams/marlins" xr:uid="{6DFC99C9-AA9B-42A4-AFDA-A28CBB22E34D}"/>
    <hyperlink ref="B737" r:id="rId1442" display="https://www.fangraphs.com/players/bryce-jarvis/27477/stats" xr:uid="{E26A6EE9-CB65-407D-A7C7-2BA79352462E}"/>
    <hyperlink ref="C737" r:id="rId1443" display="https://www.fangraphs.com/teams/diamondbacks" xr:uid="{71C46D6F-3575-40CB-AA94-8A2707A80376}"/>
    <hyperlink ref="B738" r:id="rId1444" display="https://www.fangraphs.com/players/jason-delay/19806/stats" xr:uid="{F9CCA4E5-3265-42F9-A9F6-38C3A5F00C9F}"/>
    <hyperlink ref="C738" r:id="rId1445" display="https://www.fangraphs.com/teams/pirates" xr:uid="{F9CAFCD0-BDD5-44DF-A6A9-AAA9DD536F23}"/>
    <hyperlink ref="B739" r:id="rId1446" display="https://www.fangraphs.com/players/luke-jackson/11752/stats" xr:uid="{180024D4-5202-4EE5-9506-0D4CE8A30D0B}"/>
    <hyperlink ref="C739" r:id="rId1447" display="https://www.fangraphs.com/teams/rangers" xr:uid="{FC2D22B6-7A9B-42C8-A8D2-29AF987BA15A}"/>
    <hyperlink ref="B740" r:id="rId1448" display="https://www.fangraphs.com/players/javier-baez/12979/stats" xr:uid="{DF463241-F1EB-4C6C-8B6E-9FEB715B896B}"/>
    <hyperlink ref="C740" r:id="rId1449" display="https://www.fangraphs.com/teams/tigers" xr:uid="{400F05F2-C698-459E-82E1-6F6E73B8AC6F}"/>
    <hyperlink ref="B741" r:id="rId1450" display="https://www.fangraphs.com/players/carlos-carrasco/6632/stats" xr:uid="{FEE89A2A-BD8C-4AA1-AF35-95A5E1912026}"/>
    <hyperlink ref="C741" r:id="rId1451" display="https://www.fangraphs.com/teams/yankees" xr:uid="{01FC3099-0AFF-4912-8466-D2771A45D50E}"/>
    <hyperlink ref="B742" r:id="rId1452" display="https://www.fangraphs.com/players/logan-driscoll/25475/stats" xr:uid="{359E7153-32F2-49D5-BA58-A2FF7E7A1A4C}"/>
    <hyperlink ref="C742" r:id="rId1453" display="https://www.fangraphs.com/teams/rays" xr:uid="{0BDFE2EC-3411-46E2-B8B3-C190F141F798}"/>
    <hyperlink ref="B743" r:id="rId1454" display="https://www.fangraphs.com/players/hunter-feduccia/23372/stats" xr:uid="{EAA8F674-D279-4EFE-B5A1-26ED35261C7F}"/>
    <hyperlink ref="C743" r:id="rId1455" display="https://www.fangraphs.com/teams/dodgers" xr:uid="{B568429E-9B0E-4FDD-A51B-A8A36BDC3683}"/>
    <hyperlink ref="B744" r:id="rId1456" display="https://www.fangraphs.com/players/jhonny-pereda/19802/stats" xr:uid="{C3F9A70D-686F-4574-B884-6CF7505C5879}"/>
    <hyperlink ref="C744" r:id="rId1457" display="https://www.fangraphs.com/teams/athletics" xr:uid="{500A3EE7-DD75-49B1-AAFC-B4FD5292656C}"/>
    <hyperlink ref="B745" r:id="rId1458" display="https://www.fangraphs.com/players/kyle-nicolas/27775/stats" xr:uid="{BEB086AF-55D2-4BCC-B91B-74A22633EFE3}"/>
    <hyperlink ref="C745" r:id="rId1459" display="https://www.fangraphs.com/teams/pirates" xr:uid="{35ADDBEB-3AB9-4075-AB83-5077577DF6F9}"/>
    <hyperlink ref="B746" r:id="rId1460" display="https://www.fangraphs.com/players/cionel-perez/19614/stats" xr:uid="{3F1108F2-8CA2-4423-8526-0FD384C5E496}"/>
    <hyperlink ref="C746" r:id="rId1461" display="https://www.fangraphs.com/teams/orioles" xr:uid="{5CAD823E-4DA0-4F26-9F19-433F8492AB54}"/>
    <hyperlink ref="B747" r:id="rId1462" display="https://www.fangraphs.com/players/dane-myers/22054/stats" xr:uid="{C9178E21-F87F-457A-B25A-D151712B1041}"/>
    <hyperlink ref="C747" r:id="rId1463" display="https://www.fangraphs.com/teams/marlins" xr:uid="{D344E8B1-524C-4056-BA62-559443BEDBE0}"/>
    <hyperlink ref="B748" r:id="rId1464" display="https://www.fangraphs.com/players/yan-gomes/9627/stats" xr:uid="{0A107BB3-8E56-46E1-AB2D-A881FAFFD601}"/>
    <hyperlink ref="B749" r:id="rId1465" display="https://www.fangraphs.com/players/drew-romo/27763/stats" xr:uid="{D116FCEA-4D9B-4985-BAB8-F3CE787DEA03}"/>
    <hyperlink ref="C749" r:id="rId1466" display="https://www.fangraphs.com/teams/rockies" xr:uid="{80D4777D-F417-4AFC-B92E-0C99705EDE90}"/>
    <hyperlink ref="B750" r:id="rId1467" display="https://www.fangraphs.com/players/joey-meneses/14366/stats" xr:uid="{41E18377-F33A-43FB-BC22-F09C6928230F}"/>
    <hyperlink ref="C750" r:id="rId1468" display="https://www.fangraphs.com/teams/mets" xr:uid="{0FDF370B-7583-47CF-86EE-7D3456A45BE5}"/>
    <hyperlink ref="B751" r:id="rId1469" display="https://www.fangraphs.com/players/andrew-knizner/19514/stats" xr:uid="{AA749686-FDC8-4962-9027-114AC5256114}"/>
    <hyperlink ref="C751" r:id="rId1470" display="https://www.fangraphs.com/teams/nationals" xr:uid="{247407C8-690A-4DF1-8F11-E992DF735A6E}"/>
    <hyperlink ref="B752" r:id="rId1471" display="https://www.fangraphs.com/players/brett-sullivan/18217/stats" xr:uid="{8198A1AA-A855-437E-9EDD-FFCA473D6EDD}"/>
    <hyperlink ref="C752" r:id="rId1472" display="https://www.fangraphs.com/teams/padres" xr:uid="{B7C41E74-7B87-4BA4-ADD5-BD55DF87B13C}"/>
    <hyperlink ref="B753" r:id="rId1473" display="https://www.fangraphs.com/players/roansy-contreras/22810/stats" xr:uid="{5FAA3404-1BEE-4387-8EEB-4BA83B5A80A5}"/>
    <hyperlink ref="C753" r:id="rId1474" display="https://www.fangraphs.com/teams/orioles" xr:uid="{C40EEF87-594A-470E-A933-AC8F8F9B6AF1}"/>
    <hyperlink ref="B754" r:id="rId1475" display="https://www.fangraphs.com/players/dillon-dingler/27464/stats" xr:uid="{E3A9DFC0-53A1-476F-B7C9-1558AEB185EF}"/>
    <hyperlink ref="C754" r:id="rId1476" display="https://www.fangraphs.com/teams/tigers" xr:uid="{852B0CEF-A4D8-4FB5-9E41-F285F826B16D}"/>
    <hyperlink ref="B755" r:id="rId1477" display="https://www.fangraphs.com/players/walker-buehler/19374/stats" xr:uid="{422B9ECD-97E7-487D-89BD-4101B857D0CA}"/>
    <hyperlink ref="C755" r:id="rId1478" display="https://www.fangraphs.com/teams/red-sox" xr:uid="{9B6825CC-BC67-49AD-92A8-9C33B75065AE}"/>
    <hyperlink ref="B756" r:id="rId1479" display="https://www.fangraphs.com/players/edward-olivares/19698/stats" xr:uid="{71A8D848-4829-41F5-AB5E-1F45D0FE8FA3}"/>
    <hyperlink ref="B757" r:id="rId1480" display="https://www.fangraphs.com/players/ezequiel-duran/23733/stats" xr:uid="{8B7837D5-7FE7-477A-8A3F-8418668D9BDD}"/>
    <hyperlink ref="C757" r:id="rId1481" display="https://www.fangraphs.com/teams/rangers" xr:uid="{04D11379-1667-4186-B538-7615E7F9BF2D}"/>
    <hyperlink ref="B758" r:id="rId1482" display="https://www.fangraphs.com/players/jhony-brito/25386/stats" xr:uid="{8E1E1419-82D7-4D82-9AAC-F7AE03ED67B0}"/>
    <hyperlink ref="C758" r:id="rId1483" display="https://www.fangraphs.com/teams/padres" xr:uid="{FBDDCB65-A8C9-4940-9E3D-AEA69A42212B}"/>
    <hyperlink ref="B759" r:id="rId1484" display="https://www.fangraphs.com/players/seby-zavala/18887/stats" xr:uid="{F1BC3D58-95CF-4FF8-A3C7-89F20FEA8C7A}"/>
    <hyperlink ref="C759" r:id="rId1485" display="https://www.fangraphs.com/teams/red-sox" xr:uid="{8E7D5EEF-67CF-4F45-B650-5FE12A3F04D0}"/>
    <hyperlink ref="B760" r:id="rId1486" display="https://www.fangraphs.com/players/dillon-tate/17796/stats" xr:uid="{05187B60-14FA-449F-A826-4625C87C428E}"/>
    <hyperlink ref="B761" r:id="rId1487" display="https://www.fangraphs.com/players/joey-loperfido/29630/stats" xr:uid="{DB2D3EB7-2ECB-43D2-B8C7-3B07A37236A6}"/>
    <hyperlink ref="C761" r:id="rId1488" display="https://www.fangraphs.com/teams/blue-jays" xr:uid="{A96166ED-B561-4C88-AFC3-EC9FDB1E10CF}"/>
    <hyperlink ref="B762" r:id="rId1489" display="https://www.fangraphs.com/players/adam-duvall/10950/stats" xr:uid="{AC0745E8-09B3-4142-9D14-3B3CF9437AD3}"/>
    <hyperlink ref="B763" r:id="rId1490" display="https://www.fangraphs.com/players/jakson-reetz/17837/stats" xr:uid="{6638CD0E-A67A-400F-B14B-A570831DE31C}"/>
    <hyperlink ref="C763" r:id="rId1491" display="https://www.fangraphs.com/teams/mets" xr:uid="{9BD27556-E8F6-462A-91AC-021916C1EF16}"/>
    <hyperlink ref="B764" r:id="rId1492" display="https://www.fangraphs.com/players/tyler-soderstrom/27467/stats" xr:uid="{7893A71E-A93C-4271-8829-6BFF311D365C}"/>
    <hyperlink ref="C764" r:id="rId1493" display="https://www.fangraphs.com/teams/athletics" xr:uid="{7B920233-53A7-4DBD-A8EF-D9E776C950AE}"/>
    <hyperlink ref="B765" r:id="rId1494" display="https://www.fangraphs.com/players/kyle-farmer/14813/stats" xr:uid="{3DE7A5C1-0329-4B21-8151-47691AAC2F22}"/>
    <hyperlink ref="C765" r:id="rId1495" display="https://www.fangraphs.com/teams/rockies" xr:uid="{4069C89A-6200-4701-B7AE-BCEB543CAACF}"/>
    <hyperlink ref="B766" r:id="rId1496" display="https://www.fangraphs.com/players/shawn-dubin/24977/stats" xr:uid="{D1D96DA5-9067-489A-9270-510120BBDEC1}"/>
    <hyperlink ref="C766" r:id="rId1497" display="https://www.fangraphs.com/teams/astros" xr:uid="{3A5C6D71-C9F4-47B8-A187-A1FC219D6783}"/>
    <hyperlink ref="B767" r:id="rId1498" display="https://www.fangraphs.com/players/lucas-sims/13470/stats" xr:uid="{93461837-8D45-432D-A6DA-54977FD78FB6}"/>
    <hyperlink ref="C767" r:id="rId1499" display="https://www.fangraphs.com/teams/nationals" xr:uid="{DAB209FD-6FC3-4B54-B6BA-CDD3CCF6F1F3}"/>
    <hyperlink ref="B768" r:id="rId1500" display="https://www.fangraphs.com/players/noelvi-marte/26517/stats" xr:uid="{85A752A8-014F-46DF-8640-0B683FE64D73}"/>
    <hyperlink ref="C768" r:id="rId1501" display="https://www.fangraphs.com/teams/reds" xr:uid="{70A610FC-E959-4FE6-892F-54204D7034E3}"/>
    <hyperlink ref="B769" r:id="rId1502" display="https://www.fangraphs.com/players/enmanuel-valdez/21716/stats" xr:uid="{996F26F1-9275-446C-8F24-1772BB298E4D}"/>
    <hyperlink ref="C769" r:id="rId1503" display="https://www.fangraphs.com/teams/pirates" xr:uid="{B7036E9C-BD35-445C-98C8-61B840B43F69}"/>
    <hyperlink ref="B770" r:id="rId1504" display="https://www.fangraphs.com/players/cal-quantrill/19312/stats" xr:uid="{44368DA1-5695-4814-8710-6E8F28A54618}"/>
    <hyperlink ref="C770" r:id="rId1505" display="https://www.fangraphs.com/teams/marlins" xr:uid="{ED6D0DD3-99BA-482C-B252-4E5A1F395BAF}"/>
    <hyperlink ref="B771" r:id="rId1506" display="https://www.fangraphs.com/players/eloy-jimenez/17484/stats" xr:uid="{2F1394C7-D0F2-4E68-88A5-42B1546BD748}"/>
    <hyperlink ref="C771" r:id="rId1507" display="https://www.fangraphs.com/teams/rays" xr:uid="{FF0AD99C-7E4A-46C6-BB2F-9CFDF44D9492}"/>
    <hyperlink ref="B772" r:id="rId1508" display="https://www.fangraphs.com/players/ali-sanchez/18551/stats" xr:uid="{34E95304-3CCA-4A27-B96E-DEAA6A08B6B4}"/>
    <hyperlink ref="C772" r:id="rId1509" display="https://www.fangraphs.com/teams/blue-jays" xr:uid="{5047D2AC-FCC0-4577-BEE7-26D70B5D0BB9}"/>
    <hyperlink ref="B773" r:id="rId1510" display="https://www.fangraphs.com/players/jose-tena/23691/stats" xr:uid="{5A533888-9056-470F-820F-AA4D1011A7CC}"/>
    <hyperlink ref="C773" r:id="rId1511" display="https://www.fangraphs.com/teams/nationals" xr:uid="{9714DEA8-2795-4CF2-95E7-A200BBCA02AE}"/>
    <hyperlink ref="B774" r:id="rId1512" display="https://www.fangraphs.com/players/tom-murphy/13499/stats" xr:uid="{A58467AC-70CA-49A5-BD3A-868FB797A227}"/>
    <hyperlink ref="C774" r:id="rId1513" display="https://www.fangraphs.com/teams/giants" xr:uid="{D7D786DA-B65A-4E8F-BD4B-642D55924C48}"/>
    <hyperlink ref="B775" r:id="rId1514" display="https://www.fangraphs.com/players/martin-maldonado/6887/stats" xr:uid="{CF5940DA-4EF7-4AEE-A81F-2945CF9CC7C7}"/>
    <hyperlink ref="C775" r:id="rId1515" display="https://www.fangraphs.com/teams/padres" xr:uid="{76FDB380-0A03-4386-A589-FD78AADEBA15}"/>
    <hyperlink ref="B776" r:id="rId1516" display="https://www.fangraphs.com/players/addison-barger/24598/stats" xr:uid="{7B9527B0-FF9C-482D-A2BC-08D9D7C69E40}"/>
    <hyperlink ref="C776" r:id="rId1517" display="https://www.fangraphs.com/teams/blue-jays" xr:uid="{1AF0357E-5E1F-4FF8-8F6B-FB16698929B7}"/>
    <hyperlink ref="B777" r:id="rId1518" display="https://www.fangraphs.com/players/junior-caminero/28163/stats" xr:uid="{3DBA537E-7ED8-4424-99AA-0C250CE32D6F}"/>
    <hyperlink ref="C777" r:id="rId1519" display="https://www.fangraphs.com/teams/rays" xr:uid="{828567CE-BCF5-41CF-98B9-438D92046E07}"/>
    <hyperlink ref="B778" r:id="rId1520" display="https://www.fangraphs.com/players/carlos-narvaez/19722/stats" xr:uid="{69696880-867B-46CC-A07A-B62D6605E56F}"/>
    <hyperlink ref="C778" r:id="rId1521" display="https://www.fangraphs.com/teams/red-sox" xr:uid="{693E4FD1-1A60-4F15-82B3-12CF799A2A16}"/>
    <hyperlink ref="B779" r:id="rId1522" display="https://www.fangraphs.com/players/brian-serven/19422/stats" xr:uid="{D73094CB-3605-4642-A59A-3CFE9D02088E}"/>
    <hyperlink ref="C779" r:id="rId1523" display="https://www.fangraphs.com/teams/tigers" xr:uid="{203D7AA1-3BD4-4EDF-851D-69DBCE1966E5}"/>
    <hyperlink ref="B780" r:id="rId1524" display="https://www.fangraphs.com/players/andrew-knapp/14942/stats" xr:uid="{36C817F3-227F-4716-8BF0-9F32CFAD5B27}"/>
    <hyperlink ref="B781" r:id="rId1525" display="https://www.fangraphs.com/players/tyler-heineman/13897/stats" xr:uid="{54B72F93-0A75-47A8-A6DA-865ABBB54908}"/>
    <hyperlink ref="C781" r:id="rId1526" display="https://www.fangraphs.com/teams/blue-jays" xr:uid="{B4A91D2D-FB18-4A78-9757-DECFA112AC4E}"/>
    <hyperlink ref="B782" r:id="rId1527" display="https://www.fangraphs.com/players/sam-huff/22209/stats" xr:uid="{B2FE47B4-BCE2-4133-959A-6FC1BF7648E1}"/>
    <hyperlink ref="C782" r:id="rId1528" display="https://www.fangraphs.com/teams/giants" xr:uid="{1D9E068D-DD7B-4D32-8CD3-2CB269EB3B91}"/>
    <hyperlink ref="B783" r:id="rId1529" display="https://www.fangraphs.com/players/jair-camargo/21730/stats" xr:uid="{6FA2C303-6478-426A-91FF-4A52C7E1E5F9}"/>
    <hyperlink ref="C783" r:id="rId1530" display="https://www.fangraphs.com/teams/twins" xr:uid="{7775311A-EA69-44DA-801E-5E8F7E80C193}"/>
    <hyperlink ref="B784" r:id="rId1531" display="https://www.fangraphs.com/players/omar-narvaez/13338/stats" xr:uid="{1BCB1AA3-5A89-4263-9958-1AACCDBA00F9}"/>
    <hyperlink ref="C784" r:id="rId1532" display="https://www.fangraphs.com/teams/white-sox" xr:uid="{2B998537-13CB-4E76-96CC-24F8026F7B72}"/>
    <hyperlink ref="B785" r:id="rId1533" display="https://www.fangraphs.com/players/grant-koch/22045/stats" xr:uid="{6E6AC509-2EB4-4F91-A61B-F15D81409CA1}"/>
    <hyperlink ref="B786" r:id="rId1534" display="https://www.fangraphs.com/players/chris-taylor/13757/stats" xr:uid="{C53F8EFC-7407-4AC3-A6DD-0406BE2E8AA9}"/>
    <hyperlink ref="C786" r:id="rId1535" display="https://www.fangraphs.com/teams/dodgers" xr:uid="{D11EDE8E-1602-4940-840A-842604D3AD9E}"/>
    <hyperlink ref="B787" r:id="rId1536" display="https://www.fangraphs.com/players/henry-davis/29617/stats" xr:uid="{57BA25A4-CBDB-4DF2-BF34-98368A1F0491}"/>
    <hyperlink ref="C787" r:id="rId1537" display="https://www.fangraphs.com/teams/pirates" xr:uid="{3BCEB0C2-1EE1-4C93-874E-882BF49ACB3D}"/>
    <hyperlink ref="B788" r:id="rId1538" display="https://www.fangraphs.com/players/rob-brantly/10655/stats" xr:uid="{C2FCA1C3-0D90-41FD-9219-22B82C4A939C}"/>
    <hyperlink ref="C788" r:id="rId1539" display="https://www.fangraphs.com/teams/marlins" xr:uid="{BD1A5CB4-298D-4ADB-B1BD-7E097B739BC0}"/>
    <hyperlink ref="B789" r:id="rId1540" display="https://www.fangraphs.com/players/adrian-houser/12718/stats" xr:uid="{46DA3458-741E-47C5-A76B-9B960A3592FA}"/>
    <hyperlink ref="C789" r:id="rId1541" display="https://www.fangraphs.com/teams/rangers" xr:uid="{D5539BB7-309D-4EE2-89D1-6F122223DE19}"/>
    <hyperlink ref="B790" r:id="rId1542" display="https://www.fangraphs.com/players/caleb-ferguson/19349/stats" xr:uid="{CDB8E97F-AFA8-4176-B4D9-82E630683F10}"/>
    <hyperlink ref="C790" r:id="rId1543" display="https://www.fangraphs.com/teams/pirates" xr:uid="{33B6E55A-2848-4FC2-9C07-BEEBF8AD2EF1}"/>
    <hyperlink ref="B791" r:id="rId1544" display="https://www.fangraphs.com/players/jackson-holliday/31781/stats" xr:uid="{FBA6CAF4-D3CB-4C1D-B14C-1696D36C493B}"/>
    <hyperlink ref="C791" r:id="rId1545" display="https://www.fangraphs.com/teams/orioles" xr:uid="{15E4A9CF-89A7-458C-B79F-792F158C07B4}"/>
    <hyperlink ref="B792" r:id="rId1546" display="https://www.fangraphs.com/players/aramis-garcia/16925/stats" xr:uid="{83D88B0E-0A5C-4218-9671-76B83B59ECB4}"/>
    <hyperlink ref="C792" r:id="rId1547" display="https://www.fangraphs.com/teams/diamondbacks" xr:uid="{18F20B0F-3F33-44B7-9AF7-DEBBBA1A8FD8}"/>
    <hyperlink ref="B793" r:id="rId1548" display="https://www.fangraphs.com/players/justin-anderson/16201/stats" xr:uid="{D322D94A-DB87-408F-B0FE-5FEACA7E999E}"/>
    <hyperlink ref="C793" r:id="rId1549" display="https://www.fangraphs.com/teams/white-sox" xr:uid="{4D4BA9DA-E6FA-4545-9309-B316C11A3307}"/>
    <hyperlink ref="B794" r:id="rId1550" display="https://www.fangraphs.com/players/adam-frazier/15223/stats" xr:uid="{A7450FBB-FF21-4232-AB14-AA9F48577F99}"/>
    <hyperlink ref="C794" r:id="rId1551" display="https://www.fangraphs.com/teams/pirates" xr:uid="{F96E31F4-EEFA-4CE8-AC88-7E5B7448D249}"/>
    <hyperlink ref="B795" r:id="rId1552" display="https://www.fangraphs.com/players/willie-calhoun/17838/stats" xr:uid="{ACACE3D5-ED26-437C-BDBD-12F0215E7893}"/>
    <hyperlink ref="B796" r:id="rId1553" display="https://www.fangraphs.com/players/jerar-encarnacion/21871/stats" xr:uid="{E267375B-7B7A-4629-8DEE-EAF9CC36CE30}"/>
    <hyperlink ref="C796" r:id="rId1554" display="https://www.fangraphs.com/teams/giants" xr:uid="{8F8AB803-4BA1-43C6-A984-3B0F0205B4F7}"/>
    <hyperlink ref="B797" r:id="rId1555" display="https://www.fangraphs.com/players/blaze-alexander/23789/stats" xr:uid="{6FA76348-89F1-40CC-A050-CDE9C5BBC845}"/>
    <hyperlink ref="C797" r:id="rId1556" display="https://www.fangraphs.com/teams/diamondbacks" xr:uid="{718D178F-300C-4B27-9B3A-C28DEDE180C7}"/>
    <hyperlink ref="B798" r:id="rId1557" display="https://www.fangraphs.com/players/slade-cecconi/27500/stats" xr:uid="{3A1190BA-0603-4D7F-8DFE-4616049B4993}"/>
    <hyperlink ref="C798" r:id="rId1558" display="https://www.fangraphs.com/teams/guardians" xr:uid="{5D77042F-A59E-433C-B3EE-24C503C59E5A}"/>
    <hyperlink ref="B799" r:id="rId1559" display="https://www.fangraphs.com/players/justyn-henry-malloy/29606/stats" xr:uid="{9FB5D4AB-7A9A-4E47-8D19-A67E0367EB80}"/>
    <hyperlink ref="C799" r:id="rId1560" display="https://www.fangraphs.com/teams/tigers" xr:uid="{88748994-A84D-4BB4-A46F-183CD7C8F701}"/>
    <hyperlink ref="B800" r:id="rId1561" display="https://www.fangraphs.com/players/daz-cameron/18353/stats" xr:uid="{790EE564-515E-41D0-8EF3-6D1F5489EE21}"/>
    <hyperlink ref="C800" r:id="rId1562" display="https://www.fangraphs.com/teams/orioles" xr:uid="{AE2AE6FB-E6B6-417B-889D-56714BE35F11}"/>
    <hyperlink ref="B801" r:id="rId1563" display="https://www.fangraphs.com/players/vidal-brujan/20536/stats" xr:uid="{3764D742-D4F5-4BAB-864C-43256720D47C}"/>
    <hyperlink ref="C801" r:id="rId1564" display="https://www.fangraphs.com/teams/cubs" xr:uid="{674B6E0B-0FC1-406F-9892-B4E84B9F8A8D}"/>
    <hyperlink ref="B802" r:id="rId1565" display="https://www.fangraphs.com/players/nick-nastrini/29833/stats" xr:uid="{92F3366D-D508-4732-881D-60A3A759054F}"/>
    <hyperlink ref="C802" r:id="rId1566" display="https://www.fangraphs.com/teams/white-sox" xr:uid="{39E56EC1-8E83-464F-84A9-A0BC931CBF80}"/>
    <hyperlink ref="B803" r:id="rId1567" display="https://www.fangraphs.com/players/rafael-montero/12760/stats" xr:uid="{0D192A7F-0EB6-4FE6-865F-8B06D7056830}"/>
    <hyperlink ref="C803" r:id="rId1568" display="https://www.fangraphs.com/teams/astros" xr:uid="{CD436784-BC29-45FE-B05E-6546E533B80A}"/>
    <hyperlink ref="B804" r:id="rId1569" display="https://www.fangraphs.com/players/chris-stratton/13761/stats" xr:uid="{F7BE7CDD-041F-4645-8611-A5F4C8135C22}"/>
    <hyperlink ref="C804" r:id="rId1570" display="https://www.fangraphs.com/teams/royals" xr:uid="{9CB052F0-953C-402F-96CB-0EE6D8958169}"/>
    <hyperlink ref="B805" r:id="rId1571" display="https://www.fangraphs.com/players/caleb-thielbar/10078/stats" xr:uid="{CFBBC401-D56B-4F9F-956E-334457AEA238}"/>
    <hyperlink ref="C805" r:id="rId1572" display="https://www.fangraphs.com/teams/cubs" xr:uid="{D9A63FF0-4498-4C0A-8E74-1D7B18DC0702}"/>
    <hyperlink ref="B806" r:id="rId1573" display="https://www.fangraphs.com/players/reid-detmers/27468/stats" xr:uid="{538B74B1-C3B6-4CCA-9438-B7252C7E3A44}"/>
    <hyperlink ref="C806" r:id="rId1574" display="https://www.fangraphs.com/teams/angels" xr:uid="{4B185179-6BAE-44C1-A63A-DF520434AC41}"/>
    <hyperlink ref="B807" r:id="rId1575" display="https://www.fangraphs.com/players/dominic-canzone/26438/stats" xr:uid="{0F6E6577-9FB9-4B76-96DE-0B7335CF92E1}"/>
    <hyperlink ref="C807" r:id="rId1576" display="https://www.fangraphs.com/teams/mariners" xr:uid="{33D5399A-243F-4A77-902F-16AD8272882F}"/>
    <hyperlink ref="B808" r:id="rId1577" display="https://www.fangraphs.com/players/nick-martini/12005/stats" xr:uid="{D8C3DF37-C12C-40D4-9838-D01748E53B7E}"/>
    <hyperlink ref="C808" r:id="rId1578" display="https://www.fangraphs.com/teams/rockies" xr:uid="{FF841F16-B9F7-4BE1-B5AD-06006CA44DE9}"/>
    <hyperlink ref="B809" r:id="rId1579" display="https://www.fangraphs.com/players/luis-matos/26467/stats" xr:uid="{16325ABD-AA3F-4135-9CB4-1B1E2717C789}"/>
    <hyperlink ref="C809" r:id="rId1580" display="https://www.fangraphs.com/teams/giants" xr:uid="{459F660A-360B-4539-9DA0-6FDE0F1758A1}"/>
    <hyperlink ref="B810" r:id="rId1581" display="https://www.fangraphs.com/players/tyler-wade/15730/stats" xr:uid="{AB245988-2223-41AC-A868-C6F0437AE4DB}"/>
    <hyperlink ref="C810" r:id="rId1582" display="https://www.fangraphs.com/teams/padres" xr:uid="{D1843CEC-5BF8-49D8-A6F5-BAF4D101216D}"/>
    <hyperlink ref="B811" r:id="rId1583" display="https://www.fangraphs.com/players/stephen-kolek/21487/stats" xr:uid="{CC797C67-EC26-45C4-891E-69B865F86739}"/>
    <hyperlink ref="C811" r:id="rId1584" display="https://www.fangraphs.com/teams/padres" xr:uid="{EF8DC5DF-2E5C-4861-9A2C-A777DCC8B851}"/>
    <hyperlink ref="B812" r:id="rId1585" display="https://www.fangraphs.com/players/zach-pop/20185/stats" xr:uid="{65115F1C-C52C-4A4A-8CFF-B44A8D3FE37B}"/>
    <hyperlink ref="C812" r:id="rId1586" display="https://www.fangraphs.com/teams/blue-jays" xr:uid="{784C2332-83E9-4C75-8B41-E222E889A59A}"/>
    <hyperlink ref="B813" r:id="rId1587" display="https://www.fangraphs.com/players/dylan-crews/33541/stats" xr:uid="{9747D356-7B0D-4EF9-A2B5-141FEAD9E89C}"/>
    <hyperlink ref="C813" r:id="rId1588" display="https://www.fangraphs.com/teams/nationals" xr:uid="{3980AAAA-D79F-4A56-BE6B-469D2D1A165F}"/>
    <hyperlink ref="B814" r:id="rId1589" display="https://www.fangraphs.com/players/jake-bird/21267/stats" xr:uid="{51DE538B-C020-46E8-9867-3DF097D2AEF9}"/>
    <hyperlink ref="C814" r:id="rId1590" display="https://www.fangraphs.com/teams/rockies" xr:uid="{FC78EAA7-A1A6-44DC-875A-EF2B20F5A06F}"/>
    <hyperlink ref="B815" r:id="rId1591" display="https://www.fangraphs.com/players/austin-slater/16153/stats" xr:uid="{9E788283-3B62-4946-86F6-865D0A53B29E}"/>
    <hyperlink ref="C815" r:id="rId1592" display="https://www.fangraphs.com/teams/white-sox" xr:uid="{B613CC1E-3546-4801-B8D2-25C1BA884B4C}"/>
    <hyperlink ref="B816" r:id="rId1593" display="https://www.fangraphs.com/players/taylor-walls/22458/stats" xr:uid="{C634AC44-F35A-4551-9663-811CB7E81AD5}"/>
    <hyperlink ref="C816" r:id="rId1594" display="https://www.fangraphs.com/teams/rays" xr:uid="{677FEA75-32EB-4093-BC3D-93AA49802C05}"/>
    <hyperlink ref="B817" r:id="rId1595" display="https://www.fangraphs.com/players/weston-wilson/19358/stats" xr:uid="{5B079F08-9A56-498F-8439-546CD4941105}"/>
    <hyperlink ref="C817" r:id="rId1596" display="https://www.fangraphs.com/teams/phillies" xr:uid="{422EFF12-B8A1-4708-B3DD-AB517C073B3B}"/>
    <hyperlink ref="B818" r:id="rId1597" display="https://www.fangraphs.com/players/cavan-biggio/19252/stats" xr:uid="{C1456230-0529-48D8-9318-6AC81CFA8B3F}"/>
    <hyperlink ref="C818" r:id="rId1598" display="https://www.fangraphs.com/teams/royals" xr:uid="{4C4571ED-8A09-4898-92D5-3D5C0E58B7EF}"/>
    <hyperlink ref="B819" r:id="rId1599" display="https://www.fangraphs.com/players/tyler-nevin/17893/stats" xr:uid="{F4F4D01E-5D06-4257-AE14-70C463138920}"/>
    <hyperlink ref="B820" r:id="rId1600" display="https://www.fangraphs.com/players/alex-kirilloff/20325/stats" xr:uid="{83CC3832-42CF-4B0A-94F0-FE9D2C97BCCF}"/>
    <hyperlink ref="B821" r:id="rId1601" display="https://www.fangraphs.com/players/griffin-canning/19867/stats" xr:uid="{E1575A34-74B2-4673-B46A-F592BF86FEA3}"/>
    <hyperlink ref="C821" r:id="rId1602" display="https://www.fangraphs.com/teams/mets" xr:uid="{43C845CA-6AB0-4B82-A2A0-F2FF31C1624D}"/>
    <hyperlink ref="B822" r:id="rId1603" display="https://www.fangraphs.com/players/jonathan-hernandez/17464/stats" xr:uid="{BD888145-9617-48B5-A0ED-DFEE8C9F85E5}"/>
    <hyperlink ref="C822" r:id="rId1604" display="https://www.fangraphs.com/teams/rays" xr:uid="{0F69CD68-C709-417B-8EAA-DEF38EE956EC}"/>
    <hyperlink ref="B823" r:id="rId1605" display="https://www.fangraphs.com/players/evan-carter/27790/stats" xr:uid="{17441E06-9C6E-4CD8-8F69-331A59623B9B}"/>
    <hyperlink ref="C823" r:id="rId1606" display="https://www.fangraphs.com/teams/rangers" xr:uid="{B2A978D2-0E3D-49AC-A077-7395E70A5810}"/>
    <hyperlink ref="B824" r:id="rId1607" display="https://www.fangraphs.com/players/daniel-schneemann/25180/stats" xr:uid="{72B1A0B3-4741-40A6-B484-006DC0315028}"/>
    <hyperlink ref="C824" r:id="rId1608" display="https://www.fangraphs.com/teams/guardians" xr:uid="{14EC5902-4C3C-4EF5-BD94-BAE184B29AC0}"/>
    <hyperlink ref="B825" r:id="rId1609" display="https://www.fangraphs.com/players/joey-wentz/19962/stats" xr:uid="{9542193B-607A-47FE-8196-7B4E4BAD7C11}"/>
    <hyperlink ref="C825" r:id="rId1610" display="https://www.fangraphs.com/teams/pirates" xr:uid="{6169D000-474A-42EE-9035-567B2FBB251A}"/>
    <hyperlink ref="B826" r:id="rId1611" display="https://www.fangraphs.com/players/jared-shuster/27472/stats" xr:uid="{94A819F0-5FE2-4479-8C10-11DA9DBD97E2}"/>
    <hyperlink ref="C826" r:id="rId1612" display="https://www.fangraphs.com/teams/white-sox" xr:uid="{7049B166-93D7-442E-87A0-11072F56C40D}"/>
    <hyperlink ref="B827" r:id="rId1613" display="https://www.fangraphs.com/players/kenta-maeda/18498/stats" xr:uid="{53303372-CAD6-4E6B-8BF0-44834AD56F6D}"/>
    <hyperlink ref="C827" r:id="rId1614" display="https://www.fangraphs.com/teams/tigers" xr:uid="{E42F70FA-2621-411D-B48B-95CC5A9ED52E}"/>
    <hyperlink ref="B828" r:id="rId1615" display="https://www.fangraphs.com/players/nick-senzel/19293/stats" xr:uid="{1FB34BB2-370B-450F-86D4-8FD939EAB09C}"/>
    <hyperlink ref="C828" r:id="rId1616" display="https://www.fangraphs.com/teams/white-sox" xr:uid="{1BF4CEDF-3D49-4981-9408-40C1122475C5}"/>
    <hyperlink ref="B829" r:id="rId1617" display="https://www.fangraphs.com/players/justin-wilson/4301/stats" xr:uid="{52457DA5-7F0C-4950-A7CE-F850DC6EBEEA}"/>
    <hyperlink ref="C829" r:id="rId1618" display="https://www.fangraphs.com/teams/red-sox" xr:uid="{8B423169-C407-40DB-9A08-726F9BBF7475}"/>
    <hyperlink ref="B830" r:id="rId1619" display="https://www.fangraphs.com/players/dylan-carlson/20126/stats" xr:uid="{765CC820-3A96-4EC6-8D67-63FDFDBD931D}"/>
    <hyperlink ref="C830" r:id="rId1620" display="https://www.fangraphs.com/teams/orioles" xr:uid="{F4B94545-C2A9-400F-B078-516959019DAE}"/>
    <hyperlink ref="B831" r:id="rId1621" display="https://www.fangraphs.com/players/jack-leiter/30146/stats" xr:uid="{A24F3A30-31AF-48B9-BDA0-52C82E332E51}"/>
    <hyperlink ref="C831" r:id="rId1622" display="https://www.fangraphs.com/teams/rangers" xr:uid="{4D9BE259-C8C8-4D2D-93C8-967178DCC3DB}"/>
    <hyperlink ref="B832" r:id="rId1623" display="https://www.fangraphs.com/players/jonathan-aranda/21837/stats" xr:uid="{ADFA7BEF-D2A7-4541-9CD8-2CA55C76F8F5}"/>
    <hyperlink ref="C832" r:id="rId1624" display="https://www.fangraphs.com/teams/rays" xr:uid="{BAFC2C31-896D-4190-8F68-6AEF8EEE4F89}"/>
    <hyperlink ref="B833" r:id="rId1625" display="https://www.fangraphs.com/players/joey-gallo/14128/stats" xr:uid="{119D64DB-9501-4879-8AA9-F61F51237070}"/>
    <hyperlink ref="C833" r:id="rId1626" display="https://www.fangraphs.com/teams/white-sox" xr:uid="{12160EA4-21EE-4850-942D-BCE769AF18C6}"/>
    <hyperlink ref="B834" r:id="rId1627" display="https://www.fangraphs.com/players/enyel-de-los-santos/18403/stats" xr:uid="{9BBB8763-5081-418A-968A-AEF8DD354FE9}"/>
    <hyperlink ref="C834" r:id="rId1628" display="https://www.fangraphs.com/teams/braves" xr:uid="{0A671419-989F-41D7-B3E2-11A07B922EFC}"/>
    <hyperlink ref="B835" r:id="rId1629" display="https://www.fangraphs.com/players/gabriel-arias/22563/stats" xr:uid="{4DB95B10-90CC-4117-85F2-9C93B95AB2AC}"/>
    <hyperlink ref="C835" r:id="rId1630" display="https://www.fangraphs.com/teams/guardians" xr:uid="{E3E53767-90C1-4E6A-B6E1-C9ECBEAC338B}"/>
    <hyperlink ref="B836" r:id="rId1631" display="https://www.fangraphs.com/players/rece-hinds/27493/stats" xr:uid="{36AF4396-DECA-45C3-A285-A14A4EE4D050}"/>
    <hyperlink ref="C836" r:id="rId1632" display="https://www.fangraphs.com/teams/reds" xr:uid="{4E66AED0-DBF6-4468-94A6-57805A2BB9AB}"/>
    <hyperlink ref="B837" r:id="rId1633" display="https://www.fangraphs.com/players/jordan-walker/27475/stats" xr:uid="{C83F04CB-415F-4873-9890-D3F18B0FF254}"/>
    <hyperlink ref="C837" r:id="rId1634" display="https://www.fangraphs.com/teams/cardinals" xr:uid="{C8F063B5-8D5F-4FFD-9026-F58599C4BBA9}"/>
    <hyperlink ref="B838" r:id="rId1635" display="https://www.fangraphs.com/players/patrick-wisdom/13602/stats" xr:uid="{BFCC5264-C63F-466B-82C7-F40F747E4F21}"/>
    <hyperlink ref="B839" r:id="rId1636" display="https://www.fangraphs.com/players/griffin-conine/21626/stats" xr:uid="{9D183125-5A29-481A-8C87-F7894F195A89}"/>
    <hyperlink ref="C839" r:id="rId1637" display="https://www.fangraphs.com/teams/marlins" xr:uid="{CAB996F7-4B2C-4297-BC49-AD8C464245D1}"/>
    <hyperlink ref="B840" r:id="rId1638" display="https://www.fangraphs.com/players/chuckie-robinson/19824/stats" xr:uid="{DBF0B5A2-61B4-45EF-AECC-8E96C9049FA3}"/>
    <hyperlink ref="C840" r:id="rId1639" display="https://www.fangraphs.com/teams/angels" xr:uid="{815AD13E-4543-4E32-A05D-8C8054F5027B}"/>
    <hyperlink ref="B841" r:id="rId1640" display="https://www.fangraphs.com/players/kody-clemens/20572/stats" xr:uid="{4FCFD16C-7595-4087-B1A3-DBAB3ADE4378}"/>
    <hyperlink ref="C841" r:id="rId1641" display="https://www.fangraphs.com/teams/phillies" xr:uid="{5DA08886-F0CA-4EB4-8D42-40F1F45E4FD2}"/>
    <hyperlink ref="B842" r:id="rId1642" display="https://www.fangraphs.com/players/corey-julks/20311/stats" xr:uid="{7593481A-17FD-4766-B44A-AF408E933D11}"/>
    <hyperlink ref="C842" r:id="rId1643" display="https://www.fangraphs.com/teams/white-sox" xr:uid="{3E24CC38-32A6-4E61-910D-D8E844D900FF}"/>
    <hyperlink ref="B843" r:id="rId1644" display="https://www.fangraphs.com/players/travis-jankowski/13768/stats" xr:uid="{B6EF0B57-B382-4478-B35F-5A5806DA542E}"/>
    <hyperlink ref="C843" r:id="rId1645" display="https://www.fangraphs.com/teams/cubs" xr:uid="{85B82FB0-ED9F-4F23-B2EB-CE4908C44141}"/>
    <hyperlink ref="B844" r:id="rId1646" display="https://www.fangraphs.com/players/robbie-grossman/5254/stats" xr:uid="{6D48E7A3-089C-4528-9581-F4F6D58E7012}"/>
    <hyperlink ref="B845" r:id="rId1647" display="https://www.fangraphs.com/players/casey-schmitt/27577/stats" xr:uid="{FE1AECC0-1CC6-4EE2-A6A0-FC1F953041D9}"/>
    <hyperlink ref="C845" r:id="rId1648" display="https://www.fangraphs.com/teams/giants" xr:uid="{F3DA574A-C596-44E0-94DB-E1A3FB4D1FD2}"/>
    <hyperlink ref="B846" r:id="rId1649" display="https://www.fangraphs.com/players/alek-thomas/23792/stats" xr:uid="{AF151F32-56E1-416C-9AB6-7B7D5AD447F3}"/>
    <hyperlink ref="C846" r:id="rId1650" display="https://www.fangraphs.com/teams/diamondbacks" xr:uid="{DBC6CC66-D202-468C-B1B8-5F96CBAF8102}"/>
    <hyperlink ref="B847" r:id="rId1651" display="https://www.fangraphs.com/players/angel-martinez/26540/stats" xr:uid="{EA4F4697-9E57-41A1-A314-1DDBFC152E51}"/>
    <hyperlink ref="C847" r:id="rId1652" display="https://www.fangraphs.com/teams/guardians" xr:uid="{52373CFE-8190-4CB0-BEB7-DE3ED2E8151E}"/>
    <hyperlink ref="B848" r:id="rId1653" display="https://www.fangraphs.com/players/mike-baumann/20206/stats" xr:uid="{6E788C30-2004-418C-9292-73593319CFC7}"/>
    <hyperlink ref="B849" r:id="rId1654" display="https://www.fangraphs.com/players/elehuris-montero/20543/stats" xr:uid="{83E404C3-02FB-4CCB-A16F-68EF4AC9FD43}"/>
    <hyperlink ref="B850" r:id="rId1655" display="https://www.fangraphs.com/players/nathan-lukes/18123/stats" xr:uid="{BC114239-E768-4895-AA02-A144C4C3AFF2}"/>
    <hyperlink ref="C850" r:id="rId1656" display="https://www.fangraphs.com/teams/blue-jays" xr:uid="{97566EE4-8BFD-42E1-BC14-A10EBD17F407}"/>
    <hyperlink ref="B851" r:id="rId1657" display="https://www.fangraphs.com/players/leo-jimenez/23782/stats" xr:uid="{51A63C54-E0FB-42FB-A3E1-18A072FCD7E3}"/>
    <hyperlink ref="C851" r:id="rId1658" display="https://www.fangraphs.com/teams/blue-jays" xr:uid="{CA25272E-488E-47DB-9C1C-3A7C1EC12895}"/>
    <hyperlink ref="B852" r:id="rId1659" display="https://www.fangraphs.com/players/john-brebbia/12777/stats" xr:uid="{7575C60B-7B25-4CE4-B638-063C8B163055}"/>
    <hyperlink ref="C852" r:id="rId1660" display="https://www.fangraphs.com/teams/tigers" xr:uid="{4E432202-A059-40F1-B7EF-380318E8B113}"/>
    <hyperlink ref="B853" r:id="rId1661" display="https://www.fangraphs.com/players/jung-hoo-lee/33824/stats" xr:uid="{A2441297-861F-4F5E-AF44-C5B357DF18D0}"/>
    <hyperlink ref="C853" r:id="rId1662" display="https://www.fangraphs.com/teams/giants" xr:uid="{C5815D7F-07CD-4583-BF8D-B2B9E743CD6A}"/>
    <hyperlink ref="B854" r:id="rId1663" display="https://www.fangraphs.com/players/brett-baty/26123/stats" xr:uid="{11916E75-CEE2-4D1F-8C41-D5E9F66408F7}"/>
    <hyperlink ref="C854" r:id="rId1664" display="https://www.fangraphs.com/teams/mets" xr:uid="{CB8171B9-187B-475C-8B65-33A954EC05FB}"/>
    <hyperlink ref="B855" r:id="rId1665" display="https://www.fangraphs.com/players/trey-lipscomb/31567/stats" xr:uid="{172E8FA8-7AB5-4953-80C2-482A25FF573B}"/>
    <hyperlink ref="C855" r:id="rId1666" display="https://www.fangraphs.com/teams/nationals" xr:uid="{D548A11B-35CF-420F-B9DD-9127B85B768E}"/>
    <hyperlink ref="B856" r:id="rId1667" display="https://www.fangraphs.com/players/heston-kjerstad/31166/stats" xr:uid="{48E0D6CB-E01A-49B2-9813-EF17F0394108}"/>
    <hyperlink ref="C856" r:id="rId1668" display="https://www.fangraphs.com/teams/orioles" xr:uid="{0312C1C3-0CCB-49DE-A749-32C3BA985288}"/>
    <hyperlink ref="B857" r:id="rId1669" display="https://www.fangraphs.com/players/brooks-lee/31595/stats" xr:uid="{ED63BE75-0415-40A3-BCD5-DE3D29DF4803}"/>
    <hyperlink ref="C857" r:id="rId1670" display="https://www.fangraphs.com/teams/twins" xr:uid="{A57F76F3-4BED-494C-B28B-69FEAF1FFA70}"/>
    <hyperlink ref="B858" r:id="rId1671" display="https://www.fangraphs.com/players/grant-mccray/25690/stats" xr:uid="{A376B376-9A73-4FF8-BD1F-B1AE8081BEFE}"/>
    <hyperlink ref="C858" r:id="rId1672" display="https://www.fangraphs.com/teams/giants" xr:uid="{2EEDBC8E-4982-4DCF-88B0-1023F35F6582}"/>
    <hyperlink ref="B859" r:id="rId1673" display="https://www.fangraphs.com/players/dj-lemahieu/9874/stats" xr:uid="{A0A52200-F1C8-477A-8EAA-3E72D01B7369}"/>
    <hyperlink ref="C859" r:id="rId1674" display="https://www.fangraphs.com/teams/yankees" xr:uid="{21461598-BDF6-457F-9BD2-0741F8C2B5E0}"/>
    <hyperlink ref="B860" r:id="rId1675" display="https://www.fangraphs.com/players/chase-anderson/6895/stats" xr:uid="{41B456CA-4F8D-4039-8B5F-5539DA8426B1}"/>
    <hyperlink ref="B861" r:id="rId1676" display="https://www.fangraphs.com/players/kyle-stowers/26151/stats" xr:uid="{21910621-8BF2-4C3B-81B2-D1A552CF0B06}"/>
    <hyperlink ref="C861" r:id="rId1677" display="https://www.fangraphs.com/teams/marlins" xr:uid="{844A645D-3F5A-4B95-9908-48215A9E8C6D}"/>
    <hyperlink ref="B862" r:id="rId1678" display="https://www.fangraphs.com/players/anthony-rendon/12861/stats" xr:uid="{A3601F0D-1572-4FB3-BB22-06379A6F25FF}"/>
    <hyperlink ref="C862" r:id="rId1679" display="https://www.fangraphs.com/teams/angels" xr:uid="{1BD8BFEA-BA2A-4549-A7F7-7F9E09210947}"/>
    <hyperlink ref="B863" r:id="rId1680" display="https://www.fangraphs.com/players/nick-ahmed/12147/stats" xr:uid="{3B42DD44-76A0-4B15-AA0A-B1EE3E6E89D8}"/>
    <hyperlink ref="C863" r:id="rId1681" display="https://www.fangraphs.com/teams/rangers" xr:uid="{82CB7809-EFD8-47EA-B2C8-262386C92877}"/>
    <hyperlink ref="B864" r:id="rId1682" display="https://www.fangraphs.com/players/louis-varland/27691/stats" xr:uid="{AA676524-9B7A-417C-B056-442A00557086}"/>
    <hyperlink ref="C864" r:id="rId1683" display="https://www.fangraphs.com/teams/twins" xr:uid="{11FDAF15-CCEA-4C6B-8B44-83AE3EB0C122}"/>
    <hyperlink ref="B865" r:id="rId1684" display="https://www.fangraphs.com/players/tanner-rainey/17610/stats" xr:uid="{5BC2CE85-466D-4ED3-8F49-813E1C89B2D4}"/>
    <hyperlink ref="C865" r:id="rId1685" display="https://www.fangraphs.com/teams/pirates" xr:uid="{2AA5FAD3-EC4E-4A2B-80E0-A5060D8C1EBD}"/>
    <hyperlink ref="B866" r:id="rId1686" display="https://www.fangraphs.com/players/ben-gamel/12160/stats" xr:uid="{5AADAD5F-6BC8-4F10-8013-F7AA35812B56}"/>
    <hyperlink ref="C866" r:id="rId1687" display="https://www.fangraphs.com/teams/astros" xr:uid="{570B35B6-60E6-4E19-8595-32153D9DC18B}"/>
    <hyperlink ref="B867" r:id="rId1688" display="https://www.fangraphs.com/players/ben-rice/29576/stats" xr:uid="{3A65CAA4-14F5-471D-BA86-CA0FC23F8B8C}"/>
    <hyperlink ref="C867" r:id="rId1689" display="https://www.fangraphs.com/teams/yankees" xr:uid="{C21A295B-E00D-4891-BB4F-B7DD0D85ACDA}"/>
    <hyperlink ref="B868" r:id="rId1690" display="https://www.fangraphs.com/players/garrett-hampson/19262/stats" xr:uid="{A20595E0-D4BB-4568-9397-FBA93A59A9C9}"/>
    <hyperlink ref="C868" r:id="rId1691" display="https://www.fangraphs.com/teams/diamondbacks" xr:uid="{5FA3A3EC-8259-4A26-A018-A1940F37F7CB}"/>
    <hyperlink ref="B869" r:id="rId1692" display="https://www.fangraphs.com/players/thyago-vieira/14510/stats" xr:uid="{134AACF3-C6A3-45B9-964D-E9B63EA8635C}"/>
    <hyperlink ref="C869" r:id="rId1693" display="https://www.fangraphs.com/teams/diamondbacks" xr:uid="{80F1BCD4-0E0A-44BF-AD44-03315BEEF404}"/>
    <hyperlink ref="B870" r:id="rId1694" display="https://www.fangraphs.com/players/dj-stewart/17766/stats" xr:uid="{ECBD8551-AD5D-4B64-9871-4874A3D0C4E5}"/>
    <hyperlink ref="C870" r:id="rId1695" display="https://www.fangraphs.com/teams/pirates" xr:uid="{A96B576F-C55A-4A13-AD7A-D1DD836CC9B0}"/>
    <hyperlink ref="B871" r:id="rId1696" display="https://www.fangraphs.com/players/trey-sweeney/29575/stats" xr:uid="{5BFFFAC4-2CA7-4DA4-8EEF-26288D33716B}"/>
    <hyperlink ref="C871" r:id="rId1697" display="https://www.fangraphs.com/teams/tigers" xr:uid="{DAF8FCD7-D4A5-4996-9F38-B32E561FA58E}"/>
    <hyperlink ref="B872" r:id="rId1698" display="https://www.fangraphs.com/players/wilmer-flores/5827/stats" xr:uid="{A3D2EB67-616B-4FC7-8EB6-852FBAB5D4AB}"/>
    <hyperlink ref="C872" r:id="rId1699" display="https://www.fangraphs.com/teams/giants" xr:uid="{3B475C65-4834-48E5-BA0C-6994A91D8688}"/>
    <hyperlink ref="B873" r:id="rId1700" display="https://www.fangraphs.com/players/andruw-monasterio/19455/stats" xr:uid="{3AF2F9D2-4C74-427C-AA6C-0CCB79B930D3}"/>
    <hyperlink ref="C873" r:id="rId1701" display="https://www.fangraphs.com/teams/brewers" xr:uid="{D8F045D4-3655-4670-8410-3F18AB5A04F7}"/>
    <hyperlink ref="B874" r:id="rId1702" display="https://www.fangraphs.com/players/chad-kuhl/14975/stats" xr:uid="{FD35C971-15B2-46E2-9DB8-42333F9EE87D}"/>
    <hyperlink ref="C874" r:id="rId1703" display="https://www.fangraphs.com/teams/braves" xr:uid="{FFBB04EE-8CE7-4FE5-9DAA-4AB451643C8F}"/>
    <hyperlink ref="B875" r:id="rId1704" display="https://www.fangraphs.com/players/jordan-beck/31431/stats" xr:uid="{EA79167C-EA02-449C-BFDB-B196E03CE95C}"/>
    <hyperlink ref="C875" r:id="rId1705" display="https://www.fangraphs.com/teams/rockies" xr:uid="{CADAE1EC-FC50-4B2C-881E-DF606E8D96DD}"/>
    <hyperlink ref="B876" r:id="rId1706" display="https://www.fangraphs.com/players/ross-stripling/13273/stats" xr:uid="{21ED9423-C4B7-4F43-8446-7D08DAD086CC}"/>
    <hyperlink ref="C876" r:id="rId1707" display="https://www.fangraphs.com/teams/royals" xr:uid="{47D63164-20D6-4DB0-A4AB-5EA0D3DE8F38}"/>
    <hyperlink ref="B877" r:id="rId1708" display="https://www.fangraphs.com/players/trevor-story/12564/stats" xr:uid="{0283AD94-7BC7-43C7-9E52-97721B28DF98}"/>
    <hyperlink ref="C877" r:id="rId1709" display="https://www.fangraphs.com/teams/red-sox" xr:uid="{6AE5C77A-EB7B-45AA-9190-A8DD00229FC9}"/>
    <hyperlink ref="B878" r:id="rId1710" display="https://www.fangraphs.com/players/esteury-ruiz/21780/stats" xr:uid="{E6260941-9544-489A-AE22-DD106CE4FCE2}"/>
    <hyperlink ref="C878" r:id="rId1711" display="https://www.fangraphs.com/teams/athletics" xr:uid="{A6B2FB34-25A8-4EA5-A7C9-441EB00A6235}"/>
    <hyperlink ref="B879" r:id="rId1712" display="https://www.fangraphs.com/players/brad-keller/15734/stats" xr:uid="{09D53FD0-8322-42DD-9FDA-C17B1B328D17}"/>
    <hyperlink ref="C879" r:id="rId1713" display="https://www.fangraphs.com/teams/cubs" xr:uid="{60483978-B688-48F7-9328-3FEDE78C60E4}"/>
    <hyperlink ref="B880" r:id="rId1714" display="https://www.fangraphs.com/players/luis-urias/16622/stats" xr:uid="{24D204EB-D1A2-4850-A44B-088E57FDF5FA}"/>
    <hyperlink ref="C880" r:id="rId1715" display="https://www.fangraphs.com/teams/athletics" xr:uid="{9FA8D531-30BE-4BFF-9519-791BF8337905}"/>
    <hyperlink ref="B881" r:id="rId1716" display="https://www.fangraphs.com/players/trevor-rogers/22286/stats" xr:uid="{92B34E1B-C7C5-499D-9677-CE4EC4CE9FC0}"/>
    <hyperlink ref="C881" r:id="rId1717" display="https://www.fangraphs.com/teams/orioles" xr:uid="{16A3CF5D-2AFF-49DF-AF98-B436EB633B21}"/>
    <hyperlink ref="B882" r:id="rId1718" display="https://www.fangraphs.com/players/nick-mears/25376/stats" xr:uid="{A303D286-370D-49F6-97C7-AE1022FFE163}"/>
    <hyperlink ref="C882" r:id="rId1719" display="https://www.fangraphs.com/teams/brewers" xr:uid="{2A89D09C-9FA1-49E6-8EAE-B8074DD0B7DA}"/>
    <hyperlink ref="B883" r:id="rId1720" display="https://www.fangraphs.com/players/matt-carpenter/8090/stats" xr:uid="{9D87D6AE-BF28-47F7-99E8-60E956579500}"/>
    <hyperlink ref="B884" r:id="rId1721" display="https://www.fangraphs.com/players/will-wagner/29634/stats" xr:uid="{6332D6E0-46EB-410C-BE39-CAA6EDE8E9B0}"/>
    <hyperlink ref="C884" r:id="rId1722" display="https://www.fangraphs.com/teams/blue-jays" xr:uid="{EA781726-3275-4E66-9172-05A57F76A4E1}"/>
    <hyperlink ref="B885" r:id="rId1723" display="https://www.fangraphs.com/players/danny-mendick/18889/stats" xr:uid="{ACDEB288-C11D-443F-AD2B-1D600597E2D1}"/>
    <hyperlink ref="C885" r:id="rId1724" display="https://www.fangraphs.com/teams/white-sox" xr:uid="{54B038EB-7C58-4455-ADF2-D2B19A46EE06}"/>
    <hyperlink ref="B886" r:id="rId1725" display="https://www.fangraphs.com/players/ryan-bliss/29547/stats" xr:uid="{6468FFA3-9DAA-4469-AAC0-C6C5141CA010}"/>
    <hyperlink ref="C886" r:id="rId1726" display="https://www.fangraphs.com/teams/mariners" xr:uid="{46B3807B-27AE-4A21-A046-D784FFF0EC66}"/>
    <hyperlink ref="B887" r:id="rId1727" display="https://www.fangraphs.com/players/kyle-manzardo/29794/stats" xr:uid="{EB3713D5-C435-46AD-93C2-D94ACC94A77C}"/>
    <hyperlink ref="C887" r:id="rId1728" display="https://www.fangraphs.com/teams/guardians" xr:uid="{0C7EFBC1-28BA-40B3-BD62-498B78ED28B1}"/>
    <hyperlink ref="B888" r:id="rId1729" display="https://www.fangraphs.com/players/jon-berti/12037/stats" xr:uid="{8B0E1574-B389-438E-8CE4-B030145843AD}"/>
    <hyperlink ref="C888" r:id="rId1730" display="https://www.fangraphs.com/teams/cubs" xr:uid="{B7EFAF5A-AF22-464C-AB1A-98ED15EAD5CD}"/>
    <hyperlink ref="B889" r:id="rId1731" display="https://www.fangraphs.com/players/yohan-ramirez/19444/stats" xr:uid="{17B7C281-74DE-4C31-96D9-8244F36E8836}"/>
    <hyperlink ref="C889" r:id="rId1732" display="https://www.fangraphs.com/teams/pirates" xr:uid="{B417FF99-7109-4620-8FF7-1051D781A1F4}"/>
    <hyperlink ref="B890" r:id="rId1733" display="https://www.fangraphs.com/players/nick-sogard/25483/stats" xr:uid="{C01FB4B6-7058-4059-AB8A-33B199EF3B95}"/>
    <hyperlink ref="C890" r:id="rId1734" display="https://www.fangraphs.com/teams/red-sox" xr:uid="{67D7FE0B-247D-42CC-81F6-F0BE9797F94C}"/>
    <hyperlink ref="B891" r:id="rId1735" display="https://www.fangraphs.com/players/joshua-palacios/19818/stats" xr:uid="{936F82E4-6DFB-43AB-8D25-A25354F638AE}"/>
    <hyperlink ref="C891" r:id="rId1736" display="https://www.fangraphs.com/teams/pirates" xr:uid="{E7FB52B4-BED0-4E5D-83D8-5324E7DAA7EF}"/>
    <hyperlink ref="B892" r:id="rId1737" display="https://www.fangraphs.com/players/eli-white/19346/stats" xr:uid="{043117BD-5797-4FF1-B5FE-A6E660B5346C}"/>
    <hyperlink ref="C892" r:id="rId1738" display="https://www.fangraphs.com/teams/braves" xr:uid="{79EC3DDA-25B1-449B-8048-BF2AFAF9F01D}"/>
    <hyperlink ref="B893" r:id="rId1739" display="https://www.fangraphs.com/players/roddery-munoz/25311/stats" xr:uid="{EE9E3F95-D3A7-44FE-B0D0-71B44890ED27}"/>
    <hyperlink ref="C893" r:id="rId1740" display="https://www.fangraphs.com/teams/cardinals" xr:uid="{BB8F23A0-8AC6-4F95-90F2-67787DAC2570}"/>
    <hyperlink ref="B894" r:id="rId1741" display="https://www.fangraphs.com/players/nasim-nunez/25979/stats" xr:uid="{E14E85F7-5A1B-4574-BD8B-377DE0A531D8}"/>
    <hyperlink ref="C894" r:id="rId1742" display="https://www.fangraphs.com/teams/nationals" xr:uid="{A16DB825-2494-40A5-8C39-B2D607CDA481}"/>
    <hyperlink ref="B895" r:id="rId1743" display="https://www.fangraphs.com/players/bryan-ramos/25621/stats" xr:uid="{19CDCFD6-23D6-44CE-8B5C-4C3B100D6007}"/>
    <hyperlink ref="C895" r:id="rId1744" display="https://www.fangraphs.com/teams/white-sox" xr:uid="{0829212D-B5B2-40F0-B133-657453DEF474}"/>
    <hyperlink ref="B896" r:id="rId1745" display="https://www.fangraphs.com/players/sean-bouchard/21270/stats" xr:uid="{719F64C3-4B6F-4D30-824B-FCB954FC2F5C}"/>
    <hyperlink ref="C896" r:id="rId1746" display="https://www.fangraphs.com/teams/rockies" xr:uid="{67F55179-8633-490C-8DC9-B893D06F601E}"/>
    <hyperlink ref="B897" r:id="rId1747" display="https://www.fangraphs.com/players/kris-bryant/15429/stats" xr:uid="{ACEF5C33-B56B-4A2A-A678-ADE05C5EEBDE}"/>
    <hyperlink ref="C897" r:id="rId1748" display="https://www.fangraphs.com/teams/rockies" xr:uid="{FF48CF78-E66F-48EB-A4BE-9594CCEDC32D}"/>
    <hyperlink ref="B898" r:id="rId1749" display="https://www.fangraphs.com/players/andres-chaparro/21797/stats" xr:uid="{0858BF90-62BA-42E3-9FFB-992F8751C528}"/>
    <hyperlink ref="C898" r:id="rId1750" display="https://www.fangraphs.com/teams/nationals" xr:uid="{E36A483C-E963-4D22-8AEF-99A76E7CBEFC}"/>
    <hyperlink ref="B899" r:id="rId1751" display="https://www.fangraphs.com/players/estevan-florial/19151/stats" xr:uid="{38496474-D6CF-42F8-82B0-0E3B2835BEE2}"/>
    <hyperlink ref="B900" r:id="rId1752" display="https://www.fangraphs.com/players/victor-scott-ii/31349/stats" xr:uid="{074AE19C-909C-4A0A-86B2-62C8A133B2A2}"/>
    <hyperlink ref="C900" r:id="rId1753" display="https://www.fangraphs.com/teams/cardinals" xr:uid="{F4899603-DAAD-439F-A2B4-F261F21BC401}"/>
    <hyperlink ref="B901" r:id="rId1754" display="https://www.fangraphs.com/players/ji-hwan-bae/23818/stats" xr:uid="{21F9A44D-AC1A-4D2E-B516-0AD5EA40EB53}"/>
    <hyperlink ref="C901" r:id="rId1755" display="https://www.fangraphs.com/teams/pirates" xr:uid="{7D073777-03A7-417F-B403-72C85D309321}"/>
    <hyperlink ref="B902" r:id="rId1756" display="https://www.fangraphs.com/players/jose-azocar/18821/stats" xr:uid="{F8EA16B1-F27B-4A23-B182-01D04B8998CD}"/>
    <hyperlink ref="C902" r:id="rId1757" display="https://www.fangraphs.com/teams/mets" xr:uid="{8708B823-D8D5-448B-A47F-88941AC388CD}"/>
    <hyperlink ref="B903" r:id="rId1758" display="https://www.fangraphs.com/players/billy-cook/29573/stats" xr:uid="{13F99258-D36B-46FC-8E5D-762CD0B6BA9C}"/>
    <hyperlink ref="C903" r:id="rId1759" display="https://www.fangraphs.com/teams/pirates" xr:uid="{E7B7466A-E821-4C91-9283-2A0E2112062B}"/>
    <hyperlink ref="B904" r:id="rId1760" display="https://www.fangraphs.com/players/miguel-vargas/20178/stats" xr:uid="{FCC387C0-AE40-401E-A83F-10EA8A85937D}"/>
    <hyperlink ref="C904" r:id="rId1761" display="https://www.fangraphs.com/teams/white-sox" xr:uid="{3B71B275-F4C1-4689-B194-D6C59A028177}"/>
    <hyperlink ref="B905" r:id="rId1762" display="https://www.fangraphs.com/players/oliver-dunn/26295/stats" xr:uid="{4F212D32-49D6-441F-A87D-A6D23C5D2CF9}"/>
    <hyperlink ref="C905" r:id="rId1763" display="https://www.fangraphs.com/teams/brewers" xr:uid="{6687CA56-DB27-4B44-8483-43CB4E6D8229}"/>
    <hyperlink ref="B906" r:id="rId1764" display="https://www.fangraphs.com/players/eric-wagaman/23395/stats" xr:uid="{BBAF47D4-D879-41D1-8190-793C9B86128D}"/>
    <hyperlink ref="C906" r:id="rId1765" display="https://www.fangraphs.com/teams/marlins" xr:uid="{041DB273-3C88-4736-809B-1FDDF73C5E19}"/>
    <hyperlink ref="B907" r:id="rId1766" display="https://www.fangraphs.com/players/cristian-pache/19948/stats" xr:uid="{87B4A650-306E-4075-BCEC-E659AAF2DA47}"/>
    <hyperlink ref="C907" r:id="rId1767" display="https://www.fangraphs.com/teams/diamondbacks" xr:uid="{6F61CB6E-0058-464C-9EDF-8DCF581AF56A}"/>
    <hyperlink ref="B908" r:id="rId1768" display="https://www.fangraphs.com/players/jonatan-clase/26599/stats" xr:uid="{71C0C86C-74D6-4762-99F0-D7CB5D63D7DC}"/>
    <hyperlink ref="C908" r:id="rId1769" display="https://www.fangraphs.com/teams/blue-jays" xr:uid="{DB443810-E3D7-4E94-B07A-CD5E00244C6C}"/>
    <hyperlink ref="B909" r:id="rId1770" display="https://www.fangraphs.com/players/gustavo-campero/22707/stats" xr:uid="{9350BC51-7D5A-4AEB-974C-0F1A9A057CD2}"/>
    <hyperlink ref="C909" r:id="rId1771" display="https://www.fangraphs.com/teams/angels" xr:uid="{D587E018-DDC0-4774-8BC8-E7A9E07422A1}"/>
    <hyperlink ref="B910" r:id="rId1772" display="https://www.fangraphs.com/players/jasson-dominguez/28080/stats" xr:uid="{04694485-91BC-4B5C-B2FE-F6EB606DC9CC}"/>
    <hyperlink ref="C910" r:id="rId1773" display="https://www.fangraphs.com/teams/yankees" xr:uid="{D5907C0D-0A52-4922-92F7-189150CA2D47}"/>
    <hyperlink ref="B911" r:id="rId1774" display="https://www.fangraphs.com/players/trey-cabbage/21078/stats" xr:uid="{B088085D-734F-4676-BF08-97517269EBD9}"/>
    <hyperlink ref="B912" r:id="rId1775" display="https://www.fangraphs.com/players/will-smith/8048/stats" xr:uid="{A97DCAC2-4900-4E6C-B45E-8F320329A6A6}"/>
    <hyperlink ref="B913" r:id="rId1776" display="https://www.fangraphs.com/players/aaron-schunk/25524/stats" xr:uid="{B903D800-FD91-45C0-94F9-AE17B2C49C16}"/>
    <hyperlink ref="C913" r:id="rId1777" display="https://www.fangraphs.com/teams/rockies" xr:uid="{AC89212A-2974-4C03-B2EE-9A7078E3F4EF}"/>
    <hyperlink ref="B914" r:id="rId1778" display="https://www.fangraphs.com/players/david-dahl/13744/stats" xr:uid="{424CE919-122F-4AE8-BF31-DAB9697CE1C3}"/>
    <hyperlink ref="B915" r:id="rId1779" display="https://www.fangraphs.com/players/jose-suarez/19911/stats" xr:uid="{57363ABD-4732-421B-8EFF-103E9DFAA8B6}"/>
    <hyperlink ref="C915" r:id="rId1780" display="https://www.fangraphs.com/teams/angels" xr:uid="{DF4EEB80-4110-4F73-AB5F-22D6C19DF7D6}"/>
    <hyperlink ref="B916" r:id="rId1781" display="https://www.fangraphs.com/players/luisangel-acuna/26548/stats" xr:uid="{76E5F47E-4E18-43E0-8E9A-BF50F50BE965}"/>
    <hyperlink ref="C916" r:id="rId1782" display="https://www.fangraphs.com/teams/mets" xr:uid="{D63438F7-B7D8-4A30-AC03-258E958D3C0F}"/>
    <hyperlink ref="B917" r:id="rId1783" display="https://www.fangraphs.com/players/chris-flexen/13896/stats" xr:uid="{08DE706F-183E-4478-9B7E-0E4821A8D036}"/>
    <hyperlink ref="C917" r:id="rId1784" display="https://www.fangraphs.com/teams/cubs" xr:uid="{14911414-C987-4D12-B34D-921D29405D28}"/>
    <hyperlink ref="B918" r:id="rId1785" display="https://www.fangraphs.com/players/dominic-fletcher/26149/stats" xr:uid="{CF949BF9-DB5E-4148-B698-F500F8B0BFC7}"/>
    <hyperlink ref="C918" r:id="rId1786" display="https://www.fangraphs.com/teams/white-sox" xr:uid="{CD848DD6-DCD0-4F6B-B98D-31F067CFE841}"/>
    <hyperlink ref="B919" r:id="rId1787" display="https://www.fangraphs.com/players/eguy-rosario/19964/stats" xr:uid="{C4B322F0-BB39-4D07-BF9B-13BAB9A04977}"/>
    <hyperlink ref="C919" r:id="rId1788" display="https://www.fangraphs.com/teams/padres" xr:uid="{3F314A84-642E-47C8-93BD-466B4248B841}"/>
    <hyperlink ref="B920" r:id="rId1789" display="https://www.fangraphs.com/players/brett-harris/29788/stats" xr:uid="{CBA4E4EB-0878-4883-80C7-DE5CFFC9A47B}"/>
    <hyperlink ref="C920" r:id="rId1790" display="https://www.fangraphs.com/teams/athletics" xr:uid="{E5DC192A-8F80-4FE8-B4C4-AFF3C44818FE}"/>
    <hyperlink ref="B921" r:id="rId1791" display="https://www.fangraphs.com/players/zach-dezenzo/31562/stats" xr:uid="{9B79D0AD-1E08-4727-84EA-65E8462587AB}"/>
    <hyperlink ref="C921" r:id="rId1792" display="https://www.fangraphs.com/teams/astros" xr:uid="{A674DD01-B280-497E-B5EA-1070A978CD9A}"/>
    <hyperlink ref="B922" r:id="rId1793" display="https://www.fangraphs.com/players/leo-rivas/21009/stats" xr:uid="{EA015072-05CB-43BB-9736-E3265DB22D0A}"/>
    <hyperlink ref="C922" r:id="rId1794" display="https://www.fangraphs.com/teams/mariners" xr:uid="{9F90CC70-E33D-4728-9940-1DB5151C5D13}"/>
    <hyperlink ref="B923" r:id="rId1795" display="https://www.fangraphs.com/players/brooks-baldwin/31394/stats" xr:uid="{48E441B9-78BE-4661-A1E6-6872A97A69A5}"/>
    <hyperlink ref="C923" r:id="rId1796" display="https://www.fangraphs.com/teams/white-sox" xr:uid="{086AF76C-5D95-4A3C-B197-FA3EF7824F32}"/>
    <hyperlink ref="B924" r:id="rId1797" display="https://www.fangraphs.com/players/steward-berroa/22766/stats" xr:uid="{F9624F33-13A2-4874-9CC5-AC932232F7FC}"/>
    <hyperlink ref="C924" r:id="rId1798" display="https://www.fangraphs.com/teams/blue-jays" xr:uid="{EC178988-F219-408B-86BA-2098BB597ACA}"/>
    <hyperlink ref="B925" r:id="rId1799" display="https://www.fangraphs.com/players/jace-jung/31437/stats" xr:uid="{87671027-BA08-4B70-ADB5-B6ABB2691B0C}"/>
    <hyperlink ref="C925" r:id="rId1800" display="https://www.fangraphs.com/teams/tigers" xr:uid="{5411A865-A881-4EBB-94F2-F69D14B9AB23}"/>
    <hyperlink ref="B926" r:id="rId1801" display="https://www.fangraphs.com/players/curtis-mead/23986/stats" xr:uid="{AEB98F7C-DBED-4A9F-B57E-041CEAE1DCA0}"/>
    <hyperlink ref="C926" r:id="rId1802" display="https://www.fangraphs.com/teams/rays" xr:uid="{50B11613-7E5D-4EDC-8619-2705A390CE09}"/>
    <hyperlink ref="B927" r:id="rId1803" display="https://www.fangraphs.com/players/ty-blach/14361/stats" xr:uid="{DDB56227-06D1-4829-B60F-9B5EF5E4DA5E}"/>
    <hyperlink ref="B928" r:id="rId1804" display="https://www.fangraphs.com/players/bobby-miller/27483/stats" xr:uid="{AAB54981-D400-4B89-9EC4-7A3BEFEB492B}"/>
    <hyperlink ref="C928" r:id="rId1805" display="https://www.fangraphs.com/teams/dodgers" xr:uid="{29B4CDCB-1AF0-4B0C-9EFB-EEFFCB872F95}"/>
    <hyperlink ref="B929" r:id="rId1806" display="https://www.fangraphs.com/players/jordan-montgomery/16511/stats" xr:uid="{4DE716C5-89A0-46C3-9846-6F871B92B247}"/>
    <hyperlink ref="C929" r:id="rId1807" display="https://www.fangraphs.com/teams/diamondbacks" xr:uid="{F83C57B2-EE72-4E8E-9174-EDED72D7D243}"/>
    <hyperlink ref="B930" r:id="rId1808" display="https://www.fangraphs.com/players/zach-deloach/27471/stats" xr:uid="{56D4ABAD-AD01-4F47-A85B-F0682D4E0B4E}"/>
    <hyperlink ref="C930" r:id="rId1809" display="https://www.fangraphs.com/teams/white-sox" xr:uid="{7BE7EC34-3752-4ED2-BFCF-8E97144F97C5}"/>
    <hyperlink ref="B931" r:id="rId1810" display="https://www.fangraphs.com/players/christian-encarnacion-strand/30011/stats" xr:uid="{1BCDDBB7-D7BF-4175-9268-93BB5123BDDC}"/>
    <hyperlink ref="C931" r:id="rId1811" display="https://www.fangraphs.com/teams/reds" xr:uid="{FC6107A9-F935-4D86-957F-4B871F00F4F3}"/>
    <hyperlink ref="B932" r:id="rId1812" display="https://www.fangraphs.com/players/luis-guillorme/16451/stats" xr:uid="{5F5B7606-066E-4A32-9FED-5E9DFB428AAB}"/>
    <hyperlink ref="C932" r:id="rId1813" display="https://www.fangraphs.com/teams/astros" xr:uid="{234A6A08-48F2-4580-A60C-823768A695C1}"/>
    <hyperlink ref="B933" r:id="rId1814" display="https://www.fangraphs.com/players/james-outman/24770/stats" xr:uid="{0E872F45-5B17-4ADF-8D02-09181F504E9D}"/>
    <hyperlink ref="C933" r:id="rId1815" display="https://www.fangraphs.com/teams/dodgers" xr:uid="{9A9A470F-4AED-488E-B298-320A8AE43776}"/>
    <hyperlink ref="B934" r:id="rId1816" display="https://www.fangraphs.com/players/david-bote/14593/stats" xr:uid="{93C268A8-B7F1-4DD3-B628-0FE4E03C74F9}"/>
    <hyperlink ref="C934" r:id="rId1817" display="https://www.fangraphs.com/teams/dodgers" xr:uid="{AED02F9B-75FC-4ECD-A31E-741711B82F8B}"/>
    <hyperlink ref="B935" r:id="rId1818" display="https://www.fangraphs.com/players/jordyn-adams/23788/stats" xr:uid="{4C495505-2638-4D1E-97F2-7F26521E8F70}"/>
    <hyperlink ref="C935" r:id="rId1819" display="https://www.fangraphs.com/teams/orioles" xr:uid="{2BD6B2D9-7A55-4DB7-A261-8E60F8EF4A43}"/>
    <hyperlink ref="B936" r:id="rId1820" display="https://www.fangraphs.com/players/david-hensley/25111/stats" xr:uid="{6222BD86-5A21-40FD-ACAE-0E99D512F98D}"/>
    <hyperlink ref="C936" r:id="rId1821" display="https://www.fangraphs.com/teams/tigers" xr:uid="{88774209-6AEE-466B-AA8E-D90701A66577}"/>
    <hyperlink ref="B937" r:id="rId1822" display="https://www.fangraphs.com/players/kyle-hendricks/12049/stats" xr:uid="{789D690A-E150-4786-B1A3-BBB23BE77508}"/>
    <hyperlink ref="C937" r:id="rId1823" display="https://www.fangraphs.com/teams/angels" xr:uid="{7F227636-3C76-4C42-BBD2-D3733FF5A5C3}"/>
    <hyperlink ref="B938" r:id="rId1824" display="https://www.fangraphs.com/players/nick-loftin/27630/stats" xr:uid="{CA948FC7-BCDC-4689-905B-524419215557}"/>
    <hyperlink ref="C938" r:id="rId1825" display="https://www.fangraphs.com/teams/royals" xr:uid="{B96DE01C-8167-4F5A-AB53-E39FD36C8717}"/>
    <hyperlink ref="B939" r:id="rId1826" display="https://www.fangraphs.com/players/miguel-sano/12164/stats" xr:uid="{70489373-6AB2-4182-9586-28C96A842A2E}"/>
    <hyperlink ref="B940" r:id="rId1827" display="https://www.fangraphs.com/players/ryan-mckenna/19928/stats" xr:uid="{1C348818-EDFE-4EBC-8CEB-46576D712A71}"/>
    <hyperlink ref="B941" r:id="rId1828" display="https://www.fangraphs.com/players/forrest-wall/16496/stats" xr:uid="{E888DD81-E5E4-4DC0-A581-722F4748FEB5}"/>
    <hyperlink ref="C941" r:id="rId1829" display="https://www.fangraphs.com/teams/padres" xr:uid="{71EDB60B-8CEA-4890-B3D1-708EC7D9C50C}"/>
    <hyperlink ref="B942" r:id="rId1830" display="https://www.fangraphs.com/players/alexander-canario/22842/stats" xr:uid="{763264BD-A518-40B3-9AE3-87C87B845B5B}"/>
    <hyperlink ref="C942" r:id="rId1831" display="https://www.fangraphs.com/teams/mets" xr:uid="{BB4D6729-1814-4192-9C1E-0338D1695151}"/>
    <hyperlink ref="B943" r:id="rId1832" display="https://www.fangraphs.com/players/garrett-cooper/15279/stats" xr:uid="{92E04D07-019F-4574-916A-3170CEF2C2FF}"/>
    <hyperlink ref="C943" r:id="rId1833" display="https://www.fangraphs.com/teams/braves" xr:uid="{7BFAD5FA-83E4-4A65-A5A6-0B024DF4F1CA}"/>
    <hyperlink ref="B944" r:id="rId1834" display="https://www.fangraphs.com/players/blake-dunn/29487/stats" xr:uid="{6A93C89C-3A5F-4911-8C81-E3500D4D490C}"/>
    <hyperlink ref="C944" r:id="rId1835" display="https://www.fangraphs.com/teams/reds" xr:uid="{F11CA640-665D-4470-AFF1-4276CCB4CC97}"/>
    <hyperlink ref="B945" r:id="rId1836" display="https://www.fangraphs.com/players/nick-madrigal/20521/stats" xr:uid="{AB599957-1E6B-4904-89BC-2338522E2096}"/>
    <hyperlink ref="C945" r:id="rId1837" display="https://www.fangraphs.com/teams/mets" xr:uid="{27724910-522D-4F6A-A9BF-2031BC9337AD}"/>
    <hyperlink ref="B946" r:id="rId1838" display="https://www.fangraphs.com/players/darell-hernaiz/26224/stats" xr:uid="{CEEE7864-C323-48F7-AAE3-FBA73CA74DCD}"/>
    <hyperlink ref="C946" r:id="rId1839" display="https://www.fangraphs.com/teams/athletics" xr:uid="{A5932E64-FEEC-4FDE-BB1E-5F20A4D6410A}"/>
    <hyperlink ref="B947" r:id="rId1840" display="https://www.fangraphs.com/players/jd-davis/16219/stats" xr:uid="{E48B371A-791F-4640-BD8B-7B42750A7653}"/>
    <hyperlink ref="C947" r:id="rId1841" display="https://www.fangraphs.com/teams/angels" xr:uid="{43CABC10-ABBB-4C6B-B6AF-D1A3E6316055}"/>
    <hyperlink ref="B948" r:id="rId1842" display="https://www.fangraphs.com/players/bryce-johnson/20002/stats" xr:uid="{C5ACAD65-E770-4297-A13C-9F5161DFB15C}"/>
    <hyperlink ref="C948" r:id="rId1843" display="https://www.fangraphs.com/teams/pirates" xr:uid="{D5629EF2-917A-4F1D-B404-A26B8ACD7691}"/>
    <hyperlink ref="B949" r:id="rId1844" display="https://www.fangraphs.com/players/tim-anderson/15172/stats" xr:uid="{68BB6D32-438F-4525-A243-ED29207AB236}"/>
    <hyperlink ref="C949" r:id="rId1845" display="https://www.fangraphs.com/teams/angels" xr:uid="{255388D7-4934-4E4E-950D-198B254C7843}"/>
    <hyperlink ref="B950" r:id="rId1846" display="https://www.fangraphs.com/players/niko-kavadas/29782/stats" xr:uid="{F8618573-D685-4F94-95A0-172E2E3A549F}"/>
    <hyperlink ref="C950" r:id="rId1847" display="https://www.fangraphs.com/teams/angels" xr:uid="{7CEB9D39-8C77-41FC-BD00-77F9778F48DD}"/>
    <hyperlink ref="B951" r:id="rId1848" display="https://www.fangraphs.com/players/jahmai-jones/18872/stats" xr:uid="{8DFFDBC2-2ADB-44E2-8478-5C137C6E2565}"/>
    <hyperlink ref="C951" r:id="rId1849" display="https://www.fangraphs.com/teams/tigers" xr:uid="{94355FD7-C61A-429E-935F-942FED7AE127}"/>
    <hyperlink ref="B952" r:id="rId1850" display="https://www.fangraphs.com/players/avisail-garcia/5760/stats" xr:uid="{7B9BA2B3-AE0A-49AF-83AF-6F1B1726FA63}"/>
    <hyperlink ref="B953" r:id="rId1851" display="https://www.fangraphs.com/players/bubba-thompson/22261/stats" xr:uid="{0A4E7BA3-390C-418C-B33E-F9661C966E16}"/>
    <hyperlink ref="B954" r:id="rId1852" display="https://www.fangraphs.com/players/charles-leblanc/19813/stats" xr:uid="{8DB2BC99-26C0-48AD-8461-5B7310083428}"/>
    <hyperlink ref="C954" r:id="rId1853" display="https://www.fangraphs.com/teams/braves" xr:uid="{651BEC44-59A3-4726-99A2-2F4A72968C37}"/>
    <hyperlink ref="B955" r:id="rId1854" display="https://www.fangraphs.com/players/nick-yorke/27504/stats" xr:uid="{E2755B06-0DED-4EEF-B8AC-F75217BE76A7}"/>
    <hyperlink ref="C955" r:id="rId1855" display="https://www.fangraphs.com/teams/pirates" xr:uid="{4CFBF31F-7693-4E25-BE27-C0F659E83437}"/>
    <hyperlink ref="B956" r:id="rId1856" display="https://www.fangraphs.com/players/brandon-lockridge/21496/stats" xr:uid="{DF98E648-1AD1-4F5F-9456-83AD77A19889}"/>
    <hyperlink ref="C956" r:id="rId1857" display="https://www.fangraphs.com/teams/padres" xr:uid="{B9A7A2B6-F013-4559-93DC-14149247BD4B}"/>
    <hyperlink ref="B957" r:id="rId1858" display="https://www.fangraphs.com/players/duke-ellis/27543/stats" xr:uid="{36C25A87-B7B5-4730-ADF1-BF65EC2F89E6}"/>
    <hyperlink ref="C957" r:id="rId1859" display="https://www.fangraphs.com/teams/yankees" xr:uid="{59EC7C55-DCC7-47E2-8FFC-72E302DAA520}"/>
    <hyperlink ref="B958" r:id="rId1860" display="https://www.fangraphs.com/players/jacob-hurtubise/27599/stats" xr:uid="{5838F932-025C-46FC-AE9E-FB62389BAF38}"/>
    <hyperlink ref="C958" r:id="rId1861" display="https://www.fangraphs.com/teams/reds" xr:uid="{2492616E-C118-4D95-98D9-F74C2F4330DC}"/>
    <hyperlink ref="B959" r:id="rId1862" display="https://www.fangraphs.com/players/cal-stevenson/22411/stats" xr:uid="{909D5344-AA87-45FD-9252-E2248D0B0333}"/>
    <hyperlink ref="C959" r:id="rId1863" display="https://www.fangraphs.com/teams/phillies" xr:uid="{C8D6E1AC-6823-49B4-8FF9-7CA6C5D81C36}"/>
    <hyperlink ref="B960" r:id="rId1864" display="https://www.fangraphs.com/players/alika-williams/27604/stats" xr:uid="{41838D9A-FDE8-49B6-933B-A0BA15F2E879}"/>
    <hyperlink ref="C960" r:id="rId1865" display="https://www.fangraphs.com/teams/pirates" xr:uid="{0DAEB3A0-A72A-4179-BB62-A76846727B53}"/>
    <hyperlink ref="B961" r:id="rId1866" display="https://www.fangraphs.com/players/jacob-wilson/33266/stats" xr:uid="{15FA21E0-9D57-46BB-9B31-6AA30CAC5667}"/>
    <hyperlink ref="C961" r:id="rId1867" display="https://www.fangraphs.com/teams/athletics" xr:uid="{0A9CAED5-AFA4-48B8-A5F1-F9F0A83D4AB8}"/>
    <hyperlink ref="B962" r:id="rId1868" display="https://www.fangraphs.com/players/bligh-madris/20054/stats" xr:uid="{A387DE9C-C918-43E6-B8E2-DB797CDB7603}"/>
    <hyperlink ref="C962" r:id="rId1869" display="https://www.fangraphs.com/teams/tigers" xr:uid="{49C184B0-3C64-4530-A13E-3944E16B9FF4}"/>
    <hyperlink ref="B963" r:id="rId1870" display="https://www.fangraphs.com/players/ryan-vilade/22165/stats" xr:uid="{D8721159-B02D-4AA7-AFCB-3E0D6EB85D88}"/>
    <hyperlink ref="C963" r:id="rId1871" display="https://www.fangraphs.com/teams/cardinals" xr:uid="{824CF37D-1713-4403-8343-2B701081C247}"/>
    <hyperlink ref="B964" r:id="rId1872" display="https://www.fangraphs.com/players/luke-williams/19931/stats" xr:uid="{5C45CEC5-4512-46A9-9977-4613260A9B84}"/>
    <hyperlink ref="C964" r:id="rId1873" display="https://www.fangraphs.com/teams/braves" xr:uid="{37194C9C-A638-4C25-8F7C-123C106BF2AF}"/>
    <hyperlink ref="B965" r:id="rId1874" display="https://www.fangraphs.com/players/jared-walsh/18607/stats" xr:uid="{0EEF8DD1-9794-4ECE-9027-8AA41E89EFE3}"/>
    <hyperlink ref="B966" r:id="rId1875" display="https://www.fangraphs.com/players/jack-lopez/13663/stats" xr:uid="{7A534645-73CE-446C-B46B-CF376C11A3EB}"/>
    <hyperlink ref="C966" r:id="rId1876" display="https://www.fangraphs.com/teams/mariners" xr:uid="{669E3599-D70D-478E-BCDF-170BD36AC2D3}"/>
    <hyperlink ref="B967" r:id="rId1877" display="https://www.fangraphs.com/players/tim-mayza/15042/stats" xr:uid="{5118D3DE-DE69-4F18-8604-12C95C0B0D26}"/>
    <hyperlink ref="C967" r:id="rId1878" display="https://www.fangraphs.com/teams/pirates" xr:uid="{99FDF186-0067-44C8-846A-ED486C7E7B4A}"/>
    <hyperlink ref="B968" r:id="rId1879" display="https://www.fangraphs.com/players/oscar-colas/30162/stats" xr:uid="{F99C3FCE-0025-4B75-8842-EBD9F0E945CD}"/>
    <hyperlink ref="C968" r:id="rId1880" display="https://www.fangraphs.com/teams/white-sox" xr:uid="{48E4AC58-C165-4AE1-A418-45C02CFF5878}"/>
    <hyperlink ref="B969" r:id="rId1881" display="https://www.fangraphs.com/players/peter-lambert/17969/stats" xr:uid="{00B76D24-C8C8-486D-84F0-582F51009060}"/>
    <hyperlink ref="B970" r:id="rId1882" display="https://www.fangraphs.com/players/graham-pauley/31363/stats" xr:uid="{3850FDC2-A3FF-4B6A-A03E-7DC97411986F}"/>
    <hyperlink ref="C970" r:id="rId1883" display="https://www.fangraphs.com/teams/marlins" xr:uid="{5E61C474-3E78-4939-BB62-588CD393A293}"/>
    <hyperlink ref="B971" r:id="rId1884" display="https://www.fangraphs.com/players/yoan-moncada/17232/stats" xr:uid="{5E75F0B2-B887-4F30-9ED0-7132A36EC17B}"/>
    <hyperlink ref="C971" r:id="rId1885" display="https://www.fangraphs.com/teams/angels" xr:uid="{52848D04-370B-44F0-9BD5-4DDEA7A1DE59}"/>
    <hyperlink ref="B972" r:id="rId1886" display="https://www.fangraphs.com/players/buddy-kennedy/22505/stats" xr:uid="{633EB49C-147F-455F-93F4-F813874F9D06}"/>
    <hyperlink ref="C972" r:id="rId1887" display="https://www.fangraphs.com/teams/phillies" xr:uid="{4726C1A8-9975-4F2F-A7C6-FF6A22E33536}"/>
    <hyperlink ref="B973" r:id="rId1888" display="https://www.fangraphs.com/players/myles-straw/17620/stats" xr:uid="{76D737C1-3A24-4ADC-A27D-948804539A8A}"/>
    <hyperlink ref="C973" r:id="rId1889" display="https://www.fangraphs.com/teams/blue-jays" xr:uid="{068B65CF-C5E6-4DA8-86AB-EFEC243134DD}"/>
    <hyperlink ref="B974" r:id="rId1890" display="https://www.fangraphs.com/players/johnathan-rodriguez/22530/stats" xr:uid="{15EE1E20-1A04-46C1-BBEF-9E53A65B10B9}"/>
    <hyperlink ref="C974" r:id="rId1891" display="https://www.fangraphs.com/teams/guardians" xr:uid="{08EC7B90-4FC2-4B21-B033-0036C2E0FC2B}"/>
    <hyperlink ref="B975" r:id="rId1892" display="https://www.fangraphs.com/players/jordan-weems/13190/stats" xr:uid="{B971F35D-8D7E-49D7-A4F2-3DFBF8618FF4}"/>
    <hyperlink ref="C975" r:id="rId1893" display="https://www.fangraphs.com/teams/braves" xr:uid="{7FD4F21D-3A03-4CC9-A0CB-78806D1FE572}"/>
    <hyperlink ref="B976" r:id="rId1894" display="https://www.fangraphs.com/players/akil-baddoo/22168/stats" xr:uid="{6DF6A0DA-1328-403D-8349-83EFAA217BED}"/>
    <hyperlink ref="C976" r:id="rId1895" display="https://www.fangraphs.com/teams/tigers" xr:uid="{AEDA0F1F-9D2B-4223-B6FC-AC5808705928}"/>
    <hyperlink ref="B977" r:id="rId1896" display="https://www.fangraphs.com/players/armando-alvarez/19292/stats" xr:uid="{5A16664D-75DC-4DF8-B25F-017F879CFDBE}"/>
    <hyperlink ref="C977" r:id="rId1897" display="https://www.fangraphs.com/teams/twins" xr:uid="{BA901DF3-4E84-4DAE-A192-DB3861262145}"/>
    <hyperlink ref="B978" r:id="rId1898" display="https://www.fangraphs.com/players/luken-baker/21497/stats" xr:uid="{59C6C6A6-A051-4E98-A283-8C3BB4B51D5E}"/>
    <hyperlink ref="C978" r:id="rId1899" display="https://www.fangraphs.com/teams/cardinals" xr:uid="{4F668397-5FD1-4E34-81DA-D331AF74DA45}"/>
    <hyperlink ref="B979" r:id="rId1900" display="https://www.fangraphs.com/players/diego-a-castillo/19906/stats" xr:uid="{70A572BD-075B-4F6A-9C05-BB6D7842E016}"/>
    <hyperlink ref="B980" r:id="rId1901" display="https://www.fangraphs.com/players/rafael-ortega/10323/stats" xr:uid="{710D171A-DAD6-4E12-8DA4-893B3B61EF09}"/>
    <hyperlink ref="C980" r:id="rId1902" display="https://www.fangraphs.com/teams/mets" xr:uid="{1584B50E-A9E8-4824-ACFD-558D8EAD8987}"/>
    <hyperlink ref="B981" r:id="rId1903" display="https://www.fangraphs.com/players/zack-short/19562/stats" xr:uid="{9AB97CAA-3742-41A2-8B1B-F26D650DE1D2}"/>
    <hyperlink ref="C981" r:id="rId1904" display="https://www.fangraphs.com/teams/astros" xr:uid="{70ECC6EA-F292-4DD3-BE9C-A8E0F42E5D76}"/>
    <hyperlink ref="B982" r:id="rId1905" display="https://www.fangraphs.com/players/yuli-gurriel/19198/stats" xr:uid="{2BBCF6F5-0DC5-47C7-B06F-A7B6534C58F1}"/>
    <hyperlink ref="C982" r:id="rId1906" display="https://www.fangraphs.com/teams/padres" xr:uid="{C62F5572-84E5-4419-B64D-8B30E8BC4751}"/>
    <hyperlink ref="B983" r:id="rId1907" display="https://www.fangraphs.com/players/billy-mckinney/15654/stats" xr:uid="{814C1AEB-37AC-4912-99D6-50C9AD914712}"/>
    <hyperlink ref="B984" r:id="rId1908" display="https://www.fangraphs.com/players/michael-stefanic/25353/stats" xr:uid="{57F30B8E-A73B-4771-94A0-EB4714AEC025}"/>
    <hyperlink ref="C984" r:id="rId1909" display="https://www.fangraphs.com/teams/blue-jays" xr:uid="{AC2CA672-5375-4020-9329-C496768BE2BD}"/>
    <hyperlink ref="B985" r:id="rId1910" display="https://www.fangraphs.com/players/brandon-drury/11615/stats" xr:uid="{3C2BD538-5283-431B-B71C-8D226E7538EA}"/>
    <hyperlink ref="C985" r:id="rId1911" display="https://www.fangraphs.com/teams/white-sox" xr:uid="{2C2F0177-4A1B-415B-87EF-EAE78FC3BDF0}"/>
    <hyperlink ref="B986" r:id="rId1912" display="https://www.fangraphs.com/players/greg-jones/25448/stats" xr:uid="{532BDB4A-B61C-4ED6-9F0A-FA3ECE29013F}"/>
    <hyperlink ref="C986" r:id="rId1913" display="https://www.fangraphs.com/teams/rockies" xr:uid="{A0E3CCCC-C81B-4944-9A61-B48F33F1D845}"/>
    <hyperlink ref="B987" r:id="rId1914" display="https://www.fangraphs.com/players/dakota-hudson/19206/stats" xr:uid="{3433C8F7-4732-4E69-86FB-B3A25093D935}"/>
    <hyperlink ref="C987" r:id="rId1915" display="https://www.fangraphs.com/teams/angels" xr:uid="{24C14A74-600D-4AF9-9BA7-4A332341F682}"/>
    <hyperlink ref="B988" r:id="rId1916" display="https://www.fangraphs.com/players/jorge-barrosa/23968/stats" xr:uid="{B9D57A69-1196-449D-A7E1-A5D51178A0B1}"/>
    <hyperlink ref="C988" r:id="rId1917" display="https://www.fangraphs.com/teams/diamondbacks" xr:uid="{6F39AE15-A7CA-46F0-ACE7-CE54CFD79255}"/>
    <hyperlink ref="B989" r:id="rId1918" display="https://www.fangraphs.com/players/cole-tucker/17326/stats" xr:uid="{DF0F6384-1CE4-42B4-AEF7-DE9FF1DE23C8}"/>
    <hyperlink ref="B990" r:id="rId1919" display="https://www.fangraphs.com/players/jamie-westbrook/15504/stats" xr:uid="{CAEC39AF-9E24-4D59-A641-7F9B91F30F15}"/>
    <hyperlink ref="C990" r:id="rId1920" display="https://www.fangraphs.com/teams/rays" xr:uid="{DC68D3EB-6B1C-490A-9337-CF2626019CB7}"/>
    <hyperlink ref="B991" r:id="rId1921" display="https://www.fangraphs.com/players/samad-taylor/22274/stats" xr:uid="{9B8671F4-6B34-4E15-A86B-44C8923B7C61}"/>
    <hyperlink ref="C991" r:id="rId1922" display="https://www.fangraphs.com/teams/mariners" xr:uid="{2B5C422E-1031-4B48-8AC4-ABC05E69EEDB}"/>
    <hyperlink ref="B992" r:id="rId1923" display="https://www.fangraphs.com/players/oswald-peraza/22823/stats" xr:uid="{41C7D062-AE4A-49B5-B049-BD4E80C4CCDB}"/>
    <hyperlink ref="C992" r:id="rId1924" display="https://www.fangraphs.com/teams/yankees" xr:uid="{8BC4C969-8296-49CF-82DA-18D8625D4C7C}"/>
    <hyperlink ref="B993" r:id="rId1925" display="https://www.fangraphs.com/players/aaron-hicks/5297/stats" xr:uid="{054855CC-BD05-4396-B7FD-8939ED4AE97C}"/>
    <hyperlink ref="B994" r:id="rId1926" display="https://www.fangraphs.com/players/vaughn-grissom/26031/stats" xr:uid="{95BDD6BE-31E3-4201-9232-5E4E632E9378}"/>
    <hyperlink ref="C994" r:id="rId1927" display="https://www.fangraphs.com/teams/red-sox" xr:uid="{3C19BA23-2A95-4DD4-91B9-CE08A7BBB8A2}"/>
    <hyperlink ref="B995" r:id="rId1928" display="https://www.fangraphs.com/players/ryan-kreidler/25867/stats" xr:uid="{76092396-F8C4-4FF3-8C75-7AD15BEAA72C}"/>
    <hyperlink ref="C995" r:id="rId1929" display="https://www.fangraphs.com/teams/tigers" xr:uid="{7E9C3E50-CCAB-42BE-945F-A049C66C2E9F}"/>
    <hyperlink ref="B996" r:id="rId1930" display="https://www.fangraphs.com/players/jp-martinez/24451/stats" xr:uid="{21191122-B529-4A94-9240-7DE865825E87}"/>
    <hyperlink ref="B997" r:id="rId1931" display="https://www.fangraphs.com/players/conner-capel/19983/stats" xr:uid="{943D5166-BDF3-4DE3-925D-43A4B0858C64}"/>
    <hyperlink ref="C997" r:id="rId1932" display="https://www.fangraphs.com/teams/braves" xr:uid="{B6F24B8D-6F58-4849-B87A-3EBEF00ED106}"/>
    <hyperlink ref="B998" r:id="rId1933" display="https://www.fangraphs.com/players/dashawn-keirsey-jr/24496/stats" xr:uid="{9E6E36C4-F2E1-45E4-A5DC-ACF5D186AF46}"/>
    <hyperlink ref="C998" r:id="rId1934" display="https://www.fangraphs.com/teams/twins" xr:uid="{D7042759-BA62-4622-8FBB-4E0440DDA543}"/>
    <hyperlink ref="B999" r:id="rId1935" display="https://www.fangraphs.com/players/mason-mccoy/22232/stats" xr:uid="{A57ABC71-7658-4E1E-A442-806AC6666AFF}"/>
    <hyperlink ref="C999" r:id="rId1936" display="https://www.fangraphs.com/teams/padres" xr:uid="{9677E401-6298-4838-B5AE-9B94866B0EB2}"/>
    <hyperlink ref="B1000" r:id="rId1937" display="https://www.fangraphs.com/players/marco-luciano/25616/stats" xr:uid="{207E2D29-9C98-455F-8EC0-51F0D664AB5B}"/>
    <hyperlink ref="C1000" r:id="rId1938" display="https://www.fangraphs.com/teams/giants" xr:uid="{BF40CE14-D71F-457B-AFA0-F9FCF3F9B70E}"/>
    <hyperlink ref="B1001" r:id="rId1939" display="https://www.fangraphs.com/players/jason-vosler/16686/stats" xr:uid="{CA1A2EA8-C5FE-4A5A-B260-3C9D43EE760D}"/>
    <hyperlink ref="B1002" r:id="rId1940" display="https://www.fangraphs.com/players/drew-waters/20505/stats" xr:uid="{143F2127-1F4C-4C56-B599-A294ADD83642}"/>
    <hyperlink ref="C1002" r:id="rId1941" display="https://www.fangraphs.com/teams/royals" xr:uid="{60D706F9-9EED-41D0-B209-DB22D8B765BE}"/>
    <hyperlink ref="B1003" r:id="rId1942" display="https://www.fangraphs.com/players/michael-helman/24605/stats" xr:uid="{37AC4E8C-CDE1-43DC-91AF-197778520C65}"/>
    <hyperlink ref="C1003" r:id="rId1943" display="https://www.fangraphs.com/teams/cardinals" xr:uid="{2963180B-EDAE-489A-BEB1-55480831FB2B}"/>
    <hyperlink ref="B1004" r:id="rId1944" display="https://www.fangraphs.com/players/thomas-saggese/27883/stats" xr:uid="{F2BE61B6-F95F-4E7E-85AF-42948714B9EE}"/>
    <hyperlink ref="C1004" r:id="rId1945" display="https://www.fangraphs.com/teams/cardinals" xr:uid="{9B7C0E7B-2254-4D17-8951-1DA5006B308B}"/>
    <hyperlink ref="B1005" r:id="rId1946" display="https://www.fangraphs.com/players/matt-duffy/13836/stats" xr:uid="{5A3C8D2B-81CC-429B-AF65-033D7867625D}"/>
    <hyperlink ref="B1006" r:id="rId1947" display="https://www.fangraphs.com/players/cade-marlowe/25505/stats" xr:uid="{2992DA1E-D44F-423D-B26E-D74C89630E25}"/>
    <hyperlink ref="C1006" r:id="rId1948" display="https://www.fangraphs.com/teams/mariners" xr:uid="{9BD4C1D1-C3DD-4A44-982B-84F99A3C6E4F}"/>
    <hyperlink ref="B1007" r:id="rId1949" display="https://www.fangraphs.com/players/travis-blankenhorn/18395/stats" xr:uid="{DA529796-F7C3-4C60-A259-AD5743B7B672}"/>
    <hyperlink ref="B1008" r:id="rId1950" display="https://www.fangraphs.com/players/taylor-trammell/19960/stats" xr:uid="{D130DBFB-CC0A-4CD7-8A22-4130B3EFAB6F}"/>
    <hyperlink ref="C1008" r:id="rId1951" display="https://www.fangraphs.com/teams/astros" xr:uid="{821E9C01-7232-4789-A836-BC6E75B093A5}"/>
    <hyperlink ref="B1009" r:id="rId1952" display="https://www.fangraphs.com/players/darren-baker/29912/stats" xr:uid="{C4B7B14F-CADB-432C-91A2-973BD30CD2A3}"/>
    <hyperlink ref="C1009" r:id="rId1953" display="https://www.fangraphs.com/teams/nationals" xr:uid="{E94B5DAB-8F7D-41A8-8BD6-2EF6310B2879}"/>
    <hyperlink ref="B1010" r:id="rId1954" display="https://www.fangraphs.com/players/miles-mastrobuoni/20017/stats" xr:uid="{70AFBA91-6268-4F72-9716-9D49067D6A69}"/>
    <hyperlink ref="C1010" r:id="rId1955" display="https://www.fangraphs.com/teams/mariners" xr:uid="{D56FCE3D-2F4E-45BB-9DDE-03FB675A60FD}"/>
    <hyperlink ref="B1011" r:id="rId1956" display="https://www.fangraphs.com/players/stone-garrett/19273/stats" xr:uid="{31835900-8AED-4D26-8528-7CD5E21079B3}"/>
    <hyperlink ref="C1011" r:id="rId1957" display="https://www.fangraphs.com/teams/nationals" xr:uid="{C92A421C-1671-4B55-96FA-9016D4DB92BF}"/>
    <hyperlink ref="B1012" r:id="rId1958" display="https://www.fangraphs.com/players/pedro-leon/27781/stats" xr:uid="{66500286-FBA8-497B-96C3-B53C7BB66E85}"/>
    <hyperlink ref="C1012" r:id="rId1959" display="https://www.fangraphs.com/teams/astros" xr:uid="{AFE4FFE9-40A6-4803-9C7B-B4CCE77B3753}"/>
    <hyperlink ref="B1013" r:id="rId1960" display="https://www.fangraphs.com/players/ehire-adrianza/8418/stats" xr:uid="{DCA13723-701F-459B-8109-1817B7B77806}"/>
    <hyperlink ref="B1014" r:id="rId1961" display="https://www.fangraphs.com/players/justin-lawrence/17639/stats" xr:uid="{127F5909-2189-4733-8B92-E96704BCDDCF}"/>
    <hyperlink ref="C1014" r:id="rId1962" display="https://www.fangraphs.com/teams/pirates" xr:uid="{BDFA6DAA-89FD-44F1-A727-A34C888ACDFB}"/>
    <hyperlink ref="B1015" r:id="rId1963" display="https://www.fangraphs.com/players/david-villar/24782/stats" xr:uid="{0C967A7A-C816-4B1A-9D8F-92FF7DB71A1D}"/>
    <hyperlink ref="C1015" r:id="rId1964" display="https://www.fangraphs.com/teams/giants" xr:uid="{8BB91075-756F-4C3C-9CA0-8714496F7255}"/>
    <hyperlink ref="B1016" r:id="rId1965" display="https://www.fangraphs.com/players/brewer-hicklen/20450/stats" xr:uid="{9CD945BF-DD30-4A55-9FA6-D3E68A181600}"/>
    <hyperlink ref="C1016" r:id="rId1966" display="https://www.fangraphs.com/teams/brewers" xr:uid="{86F21AEA-52A9-41B7-8CAD-89B73F6CA6CD}"/>
    <hyperlink ref="B1017" r:id="rId1967" display="https://www.fangraphs.com/players/joey-wiemer/27690/stats" xr:uid="{7077642D-A54C-4D3B-B596-69F80171AF1F}"/>
    <hyperlink ref="C1017" r:id="rId1968" display="https://www.fangraphs.com/teams/royals" xr:uid="{9E1132C8-29FF-4A5D-B32E-79908037F52B}"/>
    <hyperlink ref="B1018" r:id="rId1969" display="https://www.fangraphs.com/players/sam-haggerty/18054/stats" xr:uid="{CC4FB7AE-60F6-43BE-A600-F763F0B6A586}"/>
    <hyperlink ref="C1018" r:id="rId1970" display="https://www.fangraphs.com/teams/rangers" xr:uid="{2384EED6-C531-435C-ABD3-41268C7F8805}"/>
    <hyperlink ref="B1019" r:id="rId1971" display="https://www.fangraphs.com/players/braden-shewmake/25817/stats" xr:uid="{F15FC3C7-D030-48EB-9CB2-247F15B57982}"/>
    <hyperlink ref="C1019" r:id="rId1972" display="https://www.fangraphs.com/teams/yankees" xr:uid="{003476E1-CC83-48CE-8B97-87D2D9E9E818}"/>
    <hyperlink ref="B1020" r:id="rId1973" display="https://www.fangraphs.com/players/zach-remillard/19788/stats" xr:uid="{0853EB58-2C6D-49EC-A1BC-606AF46E60F0}"/>
    <hyperlink ref="B1021" r:id="rId1974" display="https://www.fangraphs.com/players/pablo-reyes/16357/stats" xr:uid="{AE9C9427-8AB9-493B-9C88-59EC6EF233AF}"/>
    <hyperlink ref="C1021" r:id="rId1975" display="https://www.fangraphs.com/teams/yankees" xr:uid="{8674D0A8-9FE0-41F4-A5AE-2203E30C3E29}"/>
    <hyperlink ref="B1022" r:id="rId1976" display="https://www.fangraphs.com/players/kevin-alcantara/25971/stats" xr:uid="{CAEBB102-C352-430E-8F13-685B4E6BF05D}"/>
    <hyperlink ref="C1022" r:id="rId1977" display="https://www.fangraphs.com/teams/cubs" xr:uid="{C057F65A-A36B-4216-936F-0A2622D080A9}"/>
    <hyperlink ref="B1023" r:id="rId1978" display="https://www.fangraphs.com/players/cooper-hummel/19458/stats" xr:uid="{DB1E26AD-CA17-4CD5-9851-3948221D49FC}"/>
    <hyperlink ref="C1023" r:id="rId1979" display="https://www.fangraphs.com/teams/astros" xr:uid="{0BE0A9EC-D063-4391-9B1F-F87560E91B11}"/>
    <hyperlink ref="B1024" r:id="rId1980" display="https://www.fangraphs.com/players/patrick-corbin/9323/stats" xr:uid="{1F07577B-897A-4755-B51E-0F79CE7239BB}"/>
    <hyperlink ref="B1025" r:id="rId1981" display="https://www.fangraphs.com/players/shay-whitcomb/27789/stats" xr:uid="{C5716D3B-3A16-4B8E-8B76-2E8252A63D6A}"/>
    <hyperlink ref="C1025" r:id="rId1982" display="https://www.fangraphs.com/teams/astros" xr:uid="{BEDE34B6-8D21-411D-9DAD-BF9254F55AFE}"/>
    <hyperlink ref="B1026" r:id="rId1983" display="https://www.fangraphs.com/players/sandro-fabian/19910/stats" xr:uid="{01E1BBE0-FB04-4830-98C2-C6CDD6AEADEC}"/>
    <hyperlink ref="B1027" r:id="rId1984" display="https://www.fangraphs.com/players/tyler-gentry/27784/stats" xr:uid="{62A4B126-A980-4836-A38F-57A05C1485F4}"/>
    <hyperlink ref="C1027" r:id="rId1985" display="https://www.fangraphs.com/teams/royals" xr:uid="{485CC9FC-6BE1-4CE5-AE7C-B7D027D9A2DB}"/>
    <hyperlink ref="B1028" r:id="rId1986" display="https://www.fangraphs.com/players/daniel-vogelbach/14130/stats" xr:uid="{541A6CD4-9B01-45BA-9B4D-A059B9871C2C}"/>
    <hyperlink ref="B1029" r:id="rId1987" display="https://www.fangraphs.com/players/bryce-teodosio/29524/stats" xr:uid="{E72C3D1A-2A8E-4FEC-95D5-EFAAE8BCEB26}"/>
    <hyperlink ref="C1029" r:id="rId1988" display="https://www.fangraphs.com/teams/angels" xr:uid="{EE09A773-5E02-45C7-88E0-9CAD1DF0F7E2}"/>
    <hyperlink ref="B1030" r:id="rId1989" display="https://www.fangraphs.com/players/luis-de-los-santos/21682/stats" xr:uid="{EE6D6649-B67E-4559-8559-DC61F2D30BDE}"/>
    <hyperlink ref="C1030" r:id="rId1990" display="https://www.fangraphs.com/teams/mets" xr:uid="{3578360E-B4B6-44C0-8C01-B033D57054EC}"/>
    <hyperlink ref="B1031" r:id="rId1991" display="https://www.fangraphs.com/players/joey-wendle/13853/stats" xr:uid="{A99FC4F5-4D92-489C-B572-937E84C87244}"/>
    <hyperlink ref="B1032" r:id="rId1992" display="https://www.fangraphs.com/players/donovan-walton/19314/stats" xr:uid="{9B04A861-D9D7-4405-AC89-AB8CCCC6A46C}"/>
    <hyperlink ref="C1032" r:id="rId1993" display="https://www.fangraphs.com/teams/mets" xr:uid="{7F6D1F0C-D6DE-4A3D-A708-1AC9A87AE268}"/>
    <hyperlink ref="B1033" r:id="rId1994" display="https://www.fangraphs.com/players/jose-fermin/21746/stats" xr:uid="{23A572E0-DBA7-4676-AC9E-99E8E88B962B}"/>
    <hyperlink ref="C1033" r:id="rId1995" display="https://www.fangraphs.com/teams/cardinals" xr:uid="{DB77D64A-9F21-4F74-81A6-60BB1F37CDDA}"/>
    <hyperlink ref="B1034" r:id="rId1996" display="https://www.fangraphs.com/players/dustin-harris/25705/stats" xr:uid="{B3D2DC72-A814-45A7-9537-E46F7F208C5E}"/>
    <hyperlink ref="C1034" r:id="rId1997" display="https://www.fangraphs.com/teams/rangers" xr:uid="{B64DA837-48B6-4E82-8287-EED77F4C259D}"/>
    <hyperlink ref="B1035" r:id="rId1998" display="https://www.fangraphs.com/players/javier-sanoja/28253/stats" xr:uid="{342DD288-D142-48E8-887B-19E55470089E}"/>
    <hyperlink ref="C1035" r:id="rId1999" display="https://www.fangraphs.com/teams/marlins" xr:uid="{1813E652-7B60-4434-BB13-86C6912ABFC3}"/>
    <hyperlink ref="B1036" r:id="rId2000" display="https://www.fangraphs.com/players/tyler-black/29949/stats" xr:uid="{A0FC9B16-E444-465F-B045-CC2D146E1980}"/>
    <hyperlink ref="C1036" r:id="rId2001" display="https://www.fangraphs.com/teams/brewers" xr:uid="{7C881456-7EE3-43B0-B74E-4255E7D38E54}"/>
    <hyperlink ref="B1037" r:id="rId2002" display="https://www.fangraphs.com/players/cj-alexander/20557/stats" xr:uid="{27FC775C-C635-4268-B34E-011561BA5601}"/>
    <hyperlink ref="C1037" r:id="rId2003" display="https://www.fangraphs.com/teams/athletics" xr:uid="{F899B2B8-32DC-461B-B7C7-7125100CE119}"/>
    <hyperlink ref="B1038" r:id="rId2004" display="https://www.fangraphs.com/players/brian-anderson/18289/stats" xr:uid="{0204E6EC-A421-4EE5-BDE9-50B9AF761957}"/>
    <hyperlink ref="B1039" r:id="rId2005" display="https://www.fangraphs.com/players/owen-miller/24655/stats" xr:uid="{06B69555-963C-4CF7-AB2B-4440ADB9B6E6}"/>
    <hyperlink ref="C1039" r:id="rId2006" display="https://www.fangraphs.com/teams/rockies" xr:uid="{7C46968D-07C8-4003-809F-6F87368ED24E}"/>
    <hyperlink ref="B1040" r:id="rId2007" display="https://www.fangraphs.com/players/david-fletcher/17992/stats" xr:uid="{50462C93-27A4-4682-AC92-E3333F8EF777}"/>
    <hyperlink ref="B1041" r:id="rId2008" display="https://www.fangraphs.com/players/austin-shenton/25425/stats" xr:uid="{C7FB38A5-69C1-4783-8FF1-629CA59EBB5F}"/>
    <hyperlink ref="C1041" r:id="rId2009" display="https://www.fangraphs.com/teams/mariners" xr:uid="{E209D737-DD45-4771-A9BC-6BB29804ACF4}"/>
    <hyperlink ref="B1042" r:id="rId2010" display="https://www.fangraphs.com/players/kyren-paris/26420/stats" xr:uid="{87F8D34A-7D5B-4AB1-9971-DD690E168566}"/>
    <hyperlink ref="C1042" r:id="rId2011" display="https://www.fangraphs.com/teams/angels" xr:uid="{525D6925-3394-4CBC-B792-C675B0A490EE}"/>
    <hyperlink ref="B1043" r:id="rId2012" display="https://www.fangraphs.com/players/jonathan-ornelas/24597/stats" xr:uid="{4C4F4D6A-CF6F-48AB-9E66-4629B4E2F5AD}"/>
    <hyperlink ref="C1043" r:id="rId2013" display="https://www.fangraphs.com/teams/rangers" xr:uid="{F8612DB5-AEA6-4EA5-8F26-66BFD1726174}"/>
    <hyperlink ref="B1044" r:id="rId2014" display="https://www.fangraphs.com/players/brandon-crawford/5343/stats" xr:uid="{42C97EA4-7D1F-425D-827F-AA21C7D16FD3}"/>
    <hyperlink ref="B1045" r:id="rId2015" display="https://www.fangraphs.com/players/kameron-misner/26374/stats" xr:uid="{851BCA58-2323-41A2-8E10-F0FC39DBC461}"/>
    <hyperlink ref="C1045" r:id="rId2016" display="https://www.fangraphs.com/teams/rays" xr:uid="{EF4081D0-5EB8-440D-B10A-3D93D51407CA}"/>
    <hyperlink ref="B1046" r:id="rId2017" display="https://www.fangraphs.com/players/bobby-dalbec/19966/stats" xr:uid="{5120C150-9007-4E20-9A14-A97FCB968B87}"/>
    <hyperlink ref="C1046" r:id="rId2018" display="https://www.fangraphs.com/teams/white-sox" xr:uid="{D023B21D-ADFD-4096-88DD-E5A466588CF2}"/>
    <hyperlink ref="B1047" r:id="rId2019" display="https://www.fangraphs.com/players/jose-devers/20540/stats" xr:uid="{CB9CD412-4BE4-4221-8A3E-DB2407639ACE}"/>
    <hyperlink ref="C1047" r:id="rId2020" display="https://www.fangraphs.com/teams/braves" xr:uid="{C80944D4-3F26-4321-A8D0-B7CDA0B5B83E}"/>
    <hyperlink ref="B1048" r:id="rId2021" display="https://www.fangraphs.com/players/tyler-locklear/31396/stats" xr:uid="{4AAF9283-C7D8-42F4-832C-F56A3E609B9D}"/>
    <hyperlink ref="C1048" r:id="rId2022" display="https://www.fangraphs.com/teams/mariners" xr:uid="{FF041155-9DC1-4FFA-8C06-ABD598AC5EA7}"/>
    <hyperlink ref="B1049" r:id="rId2023" display="https://www.fangraphs.com/players/taijuan-walker/11836/stats" xr:uid="{81A71B96-730E-4042-B5E4-884B53962D5D}"/>
    <hyperlink ref="C1049" r:id="rId2024" display="https://www.fangraphs.com/teams/phillies" xr:uid="{EEC7C3F5-60A6-4442-8BB2-F665E4DF9D1C}"/>
    <hyperlink ref="B1050" r:id="rId2025" display="https://www.fangraphs.com/players/liover-peguero/24273/stats" xr:uid="{8D7214F1-7C24-47A7-8CA2-12A40392C78E}"/>
    <hyperlink ref="C1050" r:id="rId2026" display="https://www.fangraphs.com/teams/pirates" xr:uid="{151AF5B7-26AE-43AE-A7AC-E3CA86D64282}"/>
    <hyperlink ref="B1051" r:id="rId2027" display="https://www.fangraphs.com/players/orelvis-martinez/25967/stats" xr:uid="{13521CDA-B356-491C-B820-20160A3C3902}"/>
    <hyperlink ref="C1051" r:id="rId2028" display="https://www.fangraphs.com/teams/blue-jays" xr:uid="{1960DFEB-2120-40D0-881E-7A35F52B27FB}"/>
    <hyperlink ref="B1052" r:id="rId2029" display="https://www.fangraphs.com/players/livan-soto/22471/stats" xr:uid="{39EFB2E5-F8B7-4254-8455-40F183205E4F}"/>
    <hyperlink ref="C1052" r:id="rId2030" display="https://www.fangraphs.com/teams/orioles" xr:uid="{A0DC133F-7CC8-413C-AA9D-E2D5A56EDFBD}"/>
    <hyperlink ref="B1053" r:id="rId2031" display="https://www.fangraphs.com/players/levi-jordan/25138/stats" xr:uid="{1D701C07-DE98-49AE-8160-B3E00691221E}"/>
    <hyperlink ref="C1053" r:id="rId2032" display="https://www.fangraphs.com/teams/reds" xr:uid="{81721519-0B27-408E-A471-C1944813344C}"/>
    <hyperlink ref="B1054" r:id="rId2033" display="https://www.fangraphs.com/players/jacob-amaya/23296/stats" xr:uid="{025C3E1B-A7ED-4469-BACD-DB2F2FD1FBF0}"/>
    <hyperlink ref="C1054" r:id="rId2034" display="https://www.fangraphs.com/teams/white-sox" xr:uid="{4A58BDAB-C70B-48CC-8A25-128F9A33B4AD}"/>
    <hyperlink ref="B1055" r:id="rId2035" display="https://www.fangraphs.com/players/nick-allen/22277/stats" xr:uid="{21522BC2-3C9B-4484-A181-8D684943CCB1}"/>
    <hyperlink ref="C1055" r:id="rId2036" display="https://www.fangraphs.com/teams/braves" xr:uid="{9A180F22-62B8-416D-A56C-B9658BB9A893}"/>
    <hyperlink ref="B1056" r:id="rId2037" display="https://www.fangraphs.com/players/luis-vazquez/23442/stats" xr:uid="{C8CDBA54-9FA6-4898-81DA-44DD21A4CB90}"/>
    <hyperlink ref="C1056" r:id="rId2038" display="https://www.fangraphs.com/teams/orioles" xr:uid="{C669F7BD-E398-4F56-A275-DFFD157B2ADE}"/>
    <hyperlink ref="B1057" r:id="rId2039" display="https://www.fangraphs.com/players/vinny-capra/25040/stats" xr:uid="{EC3FAAB0-7229-47A9-81BC-6C00E21EA691}"/>
    <hyperlink ref="C1057" r:id="rId2040" display="https://www.fangraphs.com/teams/brewers" xr:uid="{D550E545-1AD2-4434-8992-C824C5DA7945}"/>
    <hyperlink ref="B1058" r:id="rId2041" display="https://www.fangraphs.com/players/nick-maton/21635/stats" xr:uid="{CD1DB941-906E-49E6-B0BB-05FF8C44DAEA}"/>
    <hyperlink ref="C1058" r:id="rId2042" display="https://www.fangraphs.com/teams/white-sox" xr:uid="{7AA458F3-443F-491E-91AB-6BA4A4BD3EDB}"/>
    <hyperlink ref="B1059" r:id="rId2043" display="https://www.fangraphs.com/players/eddy-alvarez/16959/stats" xr:uid="{4787260C-D133-40EA-A3B5-6D3B833E1356}"/>
    <hyperlink ref="C1059" r:id="rId2044" display="https://www.fangraphs.com/teams/braves" xr:uid="{02B0E568-A8E4-4DF9-892C-9B82BF6521F3}"/>
    <hyperlink ref="B1060" r:id="rId2045" display="https://www.fangraphs.com/players/coby-mayo/28312/stats" xr:uid="{8F283922-279F-42D2-A3E1-8F78B8EEB100}"/>
    <hyperlink ref="C1060" r:id="rId2046" display="https://www.fangraphs.com/teams/orioles" xr:uid="{32EAE3F1-57DA-47A4-AAAA-F0B20DFA990C}"/>
    <hyperlink ref="B1061" r:id="rId2047" display="https://www.fangraphs.com/players/adael-amador/27962/stats" xr:uid="{755509E4-38B2-44E2-A2C0-6978E2F123D7}"/>
    <hyperlink ref="C1061" r:id="rId2048" display="https://www.fangraphs.com/teams/rockies" xr:uid="{5505B68B-3427-41B1-88D5-18F5F88E37D9}"/>
    <hyperlink ref="B1062" r:id="rId2049" display="https://www.fangraphs.com/players/isaac-collins/25477/stats" xr:uid="{17BED2AB-B73B-4F77-AD9B-B4C86E60DD42}"/>
    <hyperlink ref="C1062" r:id="rId2050" display="https://www.fangraphs.com/teams/brewers" xr:uid="{AF1D4963-25C8-412F-9462-89E676D88893}"/>
    <hyperlink ref="B1063" r:id="rId2051" display="https://www.fangraphs.com/players/tristan-gray/19877/stats" xr:uid="{339500F0-2A4A-4EC4-AEAE-82A93492BECB}"/>
    <hyperlink ref="C1063" r:id="rId2052" display="https://www.fangraphs.com/teams/white-sox" xr:uid="{58CA1E5A-5340-47C6-B023-52563E5233FC}"/>
    <hyperlink ref="B1064" r:id="rId2053" display="https://www.fangraphs.com/players/tony-kemp/14894/stats" xr:uid="{3EF94507-CB9C-4E15-B8AF-13F4FF8885CA}"/>
    <hyperlink ref="B1065" r:id="rId2054" display="https://www.fangraphs.com/players/keston-hiura/20003/stats" xr:uid="{30F3A857-D6AE-44D6-B892-D5D9B26E0F1E}"/>
    <hyperlink ref="C1065" r:id="rId2055" display="https://www.fangraphs.com/teams/rockies" xr:uid="{2B5665C7-7F62-4016-92E4-11E00B43743E}"/>
    <hyperlink ref="B1066" r:id="rId2056" display="https://www.fangraphs.com/players/davis-wendzel/26469/stats" xr:uid="{58FD95D2-05C7-422B-AFBB-8D308E637885}"/>
    <hyperlink ref="C1066" r:id="rId2057" display="https://www.fangraphs.com/teams/reds" xr:uid="{4B53150A-5F0F-4F62-B4E6-806736EE5E36}"/>
    <hyperlink ref="B1067" r:id="rId2058" display="https://www.fangraphs.com/players/matthew-batten/20157/stats" xr:uid="{980EC20E-5B65-4F59-B126-4A21F2F1162D}"/>
    <hyperlink ref="C1067" r:id="rId2059" display="https://www.fangraphs.com/teams/braves" xr:uid="{A754AB15-7D15-4044-AFB4-CE984E712E67}"/>
    <hyperlink ref="B1068" r:id="rId2060" display="https://www.fangraphs.com/players/trenton-brooks/19384/stats" xr:uid="{6C4639AF-E177-46E2-AEF8-9EAC8BEF8370}"/>
    <hyperlink ref="C1068" r:id="rId2061" display="https://www.fangraphs.com/teams/padres" xr:uid="{58C651E7-C014-4B37-9657-339296E991B4}"/>
    <hyperlink ref="B1069" r:id="rId2062" display="https://www.fangraphs.com/players/niko-goodrum/12092/stats" xr:uid="{5B6DA72E-D339-4717-B6B1-FDEDC76689FE}"/>
    <hyperlink ref="C1069" r:id="rId2063" display="https://www.fangraphs.com/teams/padres" xr:uid="{1A4C908A-10D6-49B3-8632-0693432E4744}"/>
    <hyperlink ref="B1070" r:id="rId2064" display="https://www.fangraphs.com/players/jace-peterson/12325/stats" xr:uid="{C4E3D56F-3E93-4868-85DD-85C53F566375}"/>
    <hyperlink ref="B1071" r:id="rId2065" display="https://www.fangraphs.com/players/grae-kessinger/25813/stats" xr:uid="{A36B26E4-42E1-4790-BA37-5EEACFDD773B}"/>
    <hyperlink ref="C1071" r:id="rId2066" display="https://www.fangraphs.com/teams/diamondbacks" xr:uid="{E26AA876-A8CF-4A62-BA8F-3D6DE62666C5}"/>
    <hyperlink ref="B1072" r:id="rId2067" display="https://www.fangraphs.com/players/edwin-rios/18316/stats" xr:uid="{BD468DCA-6422-4157-A091-995A6CE02378}"/>
    <hyperlink ref="C1072" r:id="rId2068" display="https://www.fangraphs.com/teams/reds" xr:uid="{33A5DE05-6435-466F-96F5-F4CBBA3BB475}"/>
    <hyperlink ref="B1073" r:id="rId2069" display="https://www.fangraphs.com/players/anthony-molina/26952/stats" xr:uid="{442041BB-9EB5-421C-9247-DDB0893B12E2}"/>
    <hyperlink ref="C1073" r:id="rId2070" display="https://www.fangraphs.com/teams/rockies" xr:uid="{9B1ECAD2-FE32-4470-AC3A-072E79DE3EFD}"/>
    <hyperlink ref="B1074" r:id="rId2071" display="https://www.fangraphs.com/players/matt-mervis/27845/stats" xr:uid="{7F52AEAE-38F5-4DD3-A973-45DAECB781EE}"/>
    <hyperlink ref="C1074" r:id="rId2072" display="https://www.fangraphs.com/teams/marlins" xr:uid="{E97EEBB8-3091-45A4-AEC5-058C86479335}"/>
    <hyperlink ref="B1075" r:id="rId2073" display="https://www.fangraphs.com/players/mike-ford/15585/stats" xr:uid="{33140A9B-1E9A-424C-B2EF-ED12CC1A75BE}"/>
    <hyperlink ref="C1075" r:id="rId2074" display="https://www.fangraphs.com/teams/twins" xr:uid="{4B0DD7AD-24DF-45D1-8CFD-D7BD4214272B}"/>
    <hyperlink ref="B1076" r:id="rId2075" display="https://www.fangraphs.com/players/jose-abreu/15676/stats" xr:uid="{863C6449-B226-460F-BBEE-053D6DB4A92D}"/>
    <hyperlink ref="B1077" r:id="rId2076" display="https://www.fangraphs.com/players/aledmys-diaz/15937/stats" xr:uid="{FFD16FFE-52F0-449A-A341-BB8F3DD2A5F1}"/>
    <hyperlink ref="B1078" r:id="rId2077" display="https://www.fangraphs.com/players/mickey-gasper/24759/stats" xr:uid="{D0CCC543-6EA1-4015-859F-BB2785586369}"/>
    <hyperlink ref="C1078" r:id="rId2078" display="https://www.fangraphs.com/teams/twins" xr:uid="{406133EE-7244-4408-9082-56010A228CAB}"/>
    <hyperlink ref="B1079" r:id="rId2079" display="https://www.fangraphs.com/players/nacho-alvarez-jr/31765/stats" xr:uid="{841DF358-E6A5-4B1C-933D-F106B8C4E3B1}"/>
    <hyperlink ref="C1079" r:id="rId2080" display="https://www.fangraphs.com/teams/braves" xr:uid="{17482183-D2A6-433E-9A09-16D28BF6AB20}"/>
    <hyperlink ref="B1080" r:id="rId2081" display="https://www.fangraphs.com/players/alan-trejo/20056/stats" xr:uid="{6200F132-A7A0-4041-8D56-585D7B92DFE5}"/>
    <hyperlink ref="C1080" r:id="rId2082" display="https://www.fangraphs.com/teams/rangers" xr:uid="{45CE8517-7007-4E3A-AB25-9698C477DEF1}"/>
    <hyperlink ref="B1081" r:id="rId2083" display="https://www.fangraphs.com/players/ryan-noda/23312/stats" xr:uid="{D43E80EC-038A-4C43-BB3F-32D9E6526242}"/>
    <hyperlink ref="C1081" r:id="rId2084" display="https://www.fangraphs.com/teams/angels" xr:uid="{F0A359DC-65EB-4829-829E-954298BA7160}"/>
    <hyperlink ref="B1082" r:id="rId2085" display="https://www.fangraphs.com/players/justin-foscue/27501/stats" xr:uid="{31C718E2-6BBC-4020-B4FE-BE472614A4BC}"/>
    <hyperlink ref="C1082" r:id="rId2086" display="https://www.fangraphs.com/teams/rangers" xr:uid="{560DC69E-C306-499B-895D-F12759915CF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Ideal_Lineup</vt:lpstr>
      <vt:lpstr>Batter_Tiers</vt:lpstr>
      <vt:lpstr>Pitcher_Tiers</vt:lpstr>
      <vt:lpstr>ADP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Gilgo, Matthew (GE Aerospace, US)</dc:creator>
  <cp:lastModifiedBy>Matt Gilgo</cp:lastModifiedBy>
  <dcterms:created xsi:type="dcterms:W3CDTF">2025-03-04T14:07:17Z</dcterms:created>
  <dcterms:modified xsi:type="dcterms:W3CDTF">2025-03-14T02:47:15Z</dcterms:modified>
</cp:coreProperties>
</file>