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22"/>
  <workbookPr/>
  <mc:AlternateContent xmlns:mc="http://schemas.openxmlformats.org/markup-compatibility/2006">
    <mc:Choice Requires="x15">
      <x15ac:absPath xmlns:x15ac="http://schemas.microsoft.com/office/spreadsheetml/2010/11/ac" url="/Users/matthewgilgo/Desktop/github/Fantasy_Baseball/yearly_draft_guides/"/>
    </mc:Choice>
  </mc:AlternateContent>
  <xr:revisionPtr revIDLastSave="0" documentId="13_ncr:1_{6600DF9A-4275-3E4B-AB12-023CE28AEB50}" xr6:coauthVersionLast="47" xr6:coauthVersionMax="47" xr10:uidLastSave="{00000000-0000-0000-0000-000000000000}"/>
  <bookViews>
    <workbookView xWindow="120" yWindow="600" windowWidth="28220" windowHeight="16340" xr2:uid="{00000000-000D-0000-FFFF-FFFF00000000}"/>
  </bookViews>
  <sheets>
    <sheet name="Ideal_Lineup" sheetId="1" r:id="rId1"/>
    <sheet name="Combined_Tiers" sheetId="5" r:id="rId2"/>
    <sheet name="Batter_Tiers" sheetId="2" r:id="rId3"/>
    <sheet name="Pitcher_Tiers" sheetId="3" r:id="rId4"/>
    <sheet name="ADP" sheetId="4" r:id="rId5"/>
  </sheets>
  <definedNames>
    <definedName name="_xlnm._FilterDatabase" localSheetId="1" hidden="1">Combined_Tiers!$A$1:$E$212</definedName>
    <definedName name="_xlnm._FilterDatabase" localSheetId="0">Ideal_Lineup!$A$31:$G$213</definedName>
    <definedName name="_xlnm._FilterDatabase" localSheetId="3" hidden="1">Pitcher_Tiers!$F$1:$J$45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3" i="5" l="1"/>
  <c r="E184" i="5"/>
  <c r="E186" i="5"/>
  <c r="E188" i="5"/>
  <c r="E189" i="5"/>
  <c r="E190" i="5"/>
  <c r="E191" i="5"/>
  <c r="E192" i="5"/>
  <c r="E193" i="5"/>
  <c r="E194" i="5"/>
  <c r="E195" i="5"/>
  <c r="E196" i="5"/>
  <c r="E181" i="5"/>
  <c r="E185" i="5"/>
  <c r="E187" i="5"/>
  <c r="E182" i="5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2" i="2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2" i="3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F103" i="2"/>
  <c r="F104" i="2"/>
  <c r="F105" i="2"/>
  <c r="F106" i="2"/>
  <c r="F107" i="2"/>
  <c r="G107" i="2" s="1"/>
  <c r="J107" i="2" s="1"/>
  <c r="K107" i="2" s="1"/>
  <c r="F108" i="2"/>
  <c r="F109" i="2"/>
  <c r="F110" i="2"/>
  <c r="F111" i="2"/>
  <c r="F112" i="2"/>
  <c r="F113" i="2"/>
  <c r="F114" i="2"/>
  <c r="F115" i="2"/>
  <c r="G115" i="2" s="1"/>
  <c r="J115" i="2" s="1"/>
  <c r="K115" i="2" s="1"/>
  <c r="F116" i="2"/>
  <c r="F117" i="2"/>
  <c r="F118" i="2"/>
  <c r="F119" i="2"/>
  <c r="F120" i="2"/>
  <c r="F121" i="2"/>
  <c r="F122" i="2"/>
  <c r="F123" i="2"/>
  <c r="G123" i="2" s="1"/>
  <c r="J123" i="2" s="1"/>
  <c r="K123" i="2" s="1"/>
  <c r="F124" i="2"/>
  <c r="F125" i="2"/>
  <c r="F126" i="2"/>
  <c r="F127" i="2"/>
  <c r="F128" i="2"/>
  <c r="F129" i="2"/>
  <c r="F130" i="2"/>
  <c r="F131" i="2"/>
  <c r="G131" i="2" s="1"/>
  <c r="J131" i="2" s="1"/>
  <c r="K131" i="2" s="1"/>
  <c r="F132" i="2"/>
  <c r="F133" i="2"/>
  <c r="F134" i="2"/>
  <c r="F135" i="2"/>
  <c r="F136" i="2"/>
  <c r="F137" i="2"/>
  <c r="F138" i="2"/>
  <c r="F139" i="2"/>
  <c r="G139" i="2" s="1"/>
  <c r="J139" i="2" s="1"/>
  <c r="K139" i="2" s="1"/>
  <c r="F140" i="2"/>
  <c r="F141" i="2"/>
  <c r="F142" i="2"/>
  <c r="F143" i="2"/>
  <c r="F144" i="2"/>
  <c r="F145" i="2"/>
  <c r="F146" i="2"/>
  <c r="F147" i="2"/>
  <c r="G147" i="2" s="1"/>
  <c r="J147" i="2" s="1"/>
  <c r="K147" i="2" s="1"/>
  <c r="F148" i="2"/>
  <c r="G148" i="2" s="1"/>
  <c r="J148" i="2" s="1"/>
  <c r="K148" i="2" s="1"/>
  <c r="F149" i="2"/>
  <c r="F150" i="2"/>
  <c r="F151" i="2"/>
  <c r="F152" i="2"/>
  <c r="F153" i="2"/>
  <c r="F154" i="2"/>
  <c r="F155" i="2"/>
  <c r="G155" i="2" s="1"/>
  <c r="J155" i="2" s="1"/>
  <c r="K155" i="2" s="1"/>
  <c r="F156" i="2"/>
  <c r="G156" i="2" s="1"/>
  <c r="J156" i="2" s="1"/>
  <c r="K156" i="2" s="1"/>
  <c r="F157" i="2"/>
  <c r="F158" i="2"/>
  <c r="F159" i="2"/>
  <c r="F160" i="2"/>
  <c r="F161" i="2"/>
  <c r="F162" i="2"/>
  <c r="F163" i="2"/>
  <c r="G163" i="2" s="1"/>
  <c r="J163" i="2" s="1"/>
  <c r="K163" i="2" s="1"/>
  <c r="F164" i="2"/>
  <c r="G164" i="2" s="1"/>
  <c r="J164" i="2" s="1"/>
  <c r="K164" i="2" s="1"/>
  <c r="F165" i="2"/>
  <c r="F166" i="2"/>
  <c r="F167" i="2"/>
  <c r="F168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2" i="2"/>
  <c r="F3" i="2"/>
  <c r="F4" i="2"/>
  <c r="F5" i="2"/>
  <c r="F6" i="2"/>
  <c r="G6" i="2" s="1"/>
  <c r="J6" i="2" s="1"/>
  <c r="K6" i="2" s="1"/>
  <c r="F7" i="2"/>
  <c r="F8" i="2"/>
  <c r="F9" i="2"/>
  <c r="F10" i="2"/>
  <c r="F11" i="2"/>
  <c r="F12" i="2"/>
  <c r="F13" i="2"/>
  <c r="F14" i="2"/>
  <c r="G14" i="2" s="1"/>
  <c r="J14" i="2" s="1"/>
  <c r="K14" i="2" s="1"/>
  <c r="F15" i="2"/>
  <c r="F16" i="2"/>
  <c r="F17" i="2"/>
  <c r="F18" i="2"/>
  <c r="F19" i="2"/>
  <c r="F20" i="2"/>
  <c r="F21" i="2"/>
  <c r="F22" i="2"/>
  <c r="G22" i="2" s="1"/>
  <c r="J22" i="2" s="1"/>
  <c r="K22" i="2" s="1"/>
  <c r="F23" i="2"/>
  <c r="F24" i="2"/>
  <c r="F25" i="2"/>
  <c r="F26" i="2"/>
  <c r="F27" i="2"/>
  <c r="F28" i="2"/>
  <c r="F29" i="2"/>
  <c r="F30" i="2"/>
  <c r="G30" i="2" s="1"/>
  <c r="J30" i="2" s="1"/>
  <c r="K30" i="2" s="1"/>
  <c r="F31" i="2"/>
  <c r="F32" i="2"/>
  <c r="F33" i="2"/>
  <c r="F34" i="2"/>
  <c r="F35" i="2"/>
  <c r="F36" i="2"/>
  <c r="F37" i="2"/>
  <c r="F38" i="2"/>
  <c r="G38" i="2" s="1"/>
  <c r="J38" i="2" s="1"/>
  <c r="K38" i="2" s="1"/>
  <c r="F39" i="2"/>
  <c r="F40" i="2"/>
  <c r="F41" i="2"/>
  <c r="F42" i="2"/>
  <c r="F43" i="2"/>
  <c r="F44" i="2"/>
  <c r="F45" i="2"/>
  <c r="F46" i="2"/>
  <c r="G46" i="2" s="1"/>
  <c r="J46" i="2" s="1"/>
  <c r="K46" i="2" s="1"/>
  <c r="F47" i="2"/>
  <c r="F48" i="2"/>
  <c r="F49" i="2"/>
  <c r="F50" i="2"/>
  <c r="F51" i="2"/>
  <c r="F52" i="2"/>
  <c r="F53" i="2"/>
  <c r="F54" i="2"/>
  <c r="G54" i="2" s="1"/>
  <c r="J54" i="2" s="1"/>
  <c r="K54" i="2" s="1"/>
  <c r="F55" i="2"/>
  <c r="F56" i="2"/>
  <c r="F57" i="2"/>
  <c r="F58" i="2"/>
  <c r="F59" i="2"/>
  <c r="F60" i="2"/>
  <c r="F61" i="2"/>
  <c r="F62" i="2"/>
  <c r="G62" i="2" s="1"/>
  <c r="J62" i="2" s="1"/>
  <c r="K62" i="2" s="1"/>
  <c r="F63" i="2"/>
  <c r="F64" i="2"/>
  <c r="F65" i="2"/>
  <c r="F66" i="2"/>
  <c r="F67" i="2"/>
  <c r="F68" i="2"/>
  <c r="F69" i="2"/>
  <c r="F70" i="2"/>
  <c r="G70" i="2" s="1"/>
  <c r="J70" i="2" s="1"/>
  <c r="K70" i="2" s="1"/>
  <c r="F71" i="2"/>
  <c r="F72" i="2"/>
  <c r="F73" i="2"/>
  <c r="F74" i="2"/>
  <c r="F75" i="2"/>
  <c r="F76" i="2"/>
  <c r="F77" i="2"/>
  <c r="F78" i="2"/>
  <c r="G78" i="2" s="1"/>
  <c r="J78" i="2" s="1"/>
  <c r="K78" i="2" s="1"/>
  <c r="F79" i="2"/>
  <c r="F80" i="2"/>
  <c r="F81" i="2"/>
  <c r="F82" i="2"/>
  <c r="F83" i="2"/>
  <c r="F84" i="2"/>
  <c r="F85" i="2"/>
  <c r="F86" i="2"/>
  <c r="G86" i="2" s="1"/>
  <c r="J86" i="2" s="1"/>
  <c r="K86" i="2" s="1"/>
  <c r="F87" i="2"/>
  <c r="F88" i="2"/>
  <c r="F89" i="2"/>
  <c r="F90" i="2"/>
  <c r="F91" i="2"/>
  <c r="F92" i="2"/>
  <c r="F93" i="2"/>
  <c r="F94" i="2"/>
  <c r="G94" i="2" s="1"/>
  <c r="J94" i="2" s="1"/>
  <c r="K94" i="2" s="1"/>
  <c r="F95" i="2"/>
  <c r="F96" i="2"/>
  <c r="F97" i="2"/>
  <c r="F98" i="2"/>
  <c r="F99" i="2"/>
  <c r="F100" i="2"/>
  <c r="F101" i="2"/>
  <c r="F102" i="2"/>
  <c r="G102" i="2" s="1"/>
  <c r="F2" i="2"/>
  <c r="E3" i="2"/>
  <c r="E4" i="2"/>
  <c r="E5" i="2"/>
  <c r="E6" i="2"/>
  <c r="E7" i="2"/>
  <c r="E8" i="2"/>
  <c r="E9" i="2"/>
  <c r="G9" i="2" s="1"/>
  <c r="J9" i="2" s="1"/>
  <c r="K9" i="2" s="1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G25" i="2" s="1"/>
  <c r="J25" i="2" s="1"/>
  <c r="K25" i="2" s="1"/>
  <c r="E26" i="2"/>
  <c r="E27" i="2"/>
  <c r="E28" i="2"/>
  <c r="E29" i="2"/>
  <c r="E30" i="2"/>
  <c r="E31" i="2"/>
  <c r="E32" i="2"/>
  <c r="E33" i="2"/>
  <c r="G33" i="2" s="1"/>
  <c r="J33" i="2" s="1"/>
  <c r="K33" i="2" s="1"/>
  <c r="E34" i="2"/>
  <c r="E35" i="2"/>
  <c r="E36" i="2"/>
  <c r="E37" i="2"/>
  <c r="E38" i="2"/>
  <c r="E39" i="2"/>
  <c r="E40" i="2"/>
  <c r="E41" i="2"/>
  <c r="E42" i="2"/>
  <c r="G42" i="2" s="1"/>
  <c r="J42" i="2" s="1"/>
  <c r="K42" i="2" s="1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G57" i="2" s="1"/>
  <c r="J57" i="2" s="1"/>
  <c r="K57" i="2" s="1"/>
  <c r="E58" i="2"/>
  <c r="E59" i="2"/>
  <c r="E60" i="2"/>
  <c r="E61" i="2"/>
  <c r="E62" i="2"/>
  <c r="E63" i="2"/>
  <c r="E64" i="2"/>
  <c r="E65" i="2"/>
  <c r="G65" i="2" s="1"/>
  <c r="J65" i="2" s="1"/>
  <c r="K65" i="2" s="1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G89" i="2" s="1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2" i="2"/>
  <c r="S9" i="2"/>
  <c r="F36" i="3" l="1"/>
  <c r="F44" i="3"/>
  <c r="G18" i="2"/>
  <c r="J18" i="2" s="1"/>
  <c r="K18" i="2" s="1"/>
  <c r="G140" i="2"/>
  <c r="J140" i="2" s="1"/>
  <c r="K140" i="2" s="1"/>
  <c r="G132" i="2"/>
  <c r="J132" i="2" s="1"/>
  <c r="K132" i="2" s="1"/>
  <c r="G124" i="2"/>
  <c r="J124" i="2" s="1"/>
  <c r="K124" i="2" s="1"/>
  <c r="G116" i="2"/>
  <c r="J116" i="2" s="1"/>
  <c r="K116" i="2" s="1"/>
  <c r="G108" i="2"/>
  <c r="J108" i="2" s="1"/>
  <c r="K108" i="2" s="1"/>
  <c r="G53" i="2"/>
  <c r="J53" i="2" s="1"/>
  <c r="K53" i="2" s="1"/>
  <c r="G63" i="2"/>
  <c r="J63" i="2" s="1"/>
  <c r="K63" i="2" s="1"/>
  <c r="G39" i="2"/>
  <c r="J39" i="2" s="1"/>
  <c r="K39" i="2" s="1"/>
  <c r="G31" i="2"/>
  <c r="J31" i="2" s="1"/>
  <c r="K31" i="2" s="1"/>
  <c r="G23" i="2"/>
  <c r="J23" i="2" s="1"/>
  <c r="K23" i="2" s="1"/>
  <c r="G15" i="2"/>
  <c r="J15" i="2" s="1"/>
  <c r="K15" i="2" s="1"/>
  <c r="G7" i="2"/>
  <c r="J7" i="2" s="1"/>
  <c r="K7" i="2" s="1"/>
  <c r="G100" i="2"/>
  <c r="J100" i="2" s="1"/>
  <c r="K100" i="2" s="1"/>
  <c r="G92" i="2"/>
  <c r="J92" i="2" s="1"/>
  <c r="K92" i="2" s="1"/>
  <c r="G84" i="2"/>
  <c r="J84" i="2" s="1"/>
  <c r="K84" i="2" s="1"/>
  <c r="G76" i="2"/>
  <c r="J76" i="2" s="1"/>
  <c r="K76" i="2" s="1"/>
  <c r="G68" i="2"/>
  <c r="J68" i="2" s="1"/>
  <c r="K68" i="2" s="1"/>
  <c r="G60" i="2"/>
  <c r="J60" i="2" s="1"/>
  <c r="K60" i="2" s="1"/>
  <c r="G52" i="2"/>
  <c r="J52" i="2" s="1"/>
  <c r="K52" i="2" s="1"/>
  <c r="G44" i="2"/>
  <c r="J44" i="2" s="1"/>
  <c r="K44" i="2" s="1"/>
  <c r="G36" i="2"/>
  <c r="J36" i="2" s="1"/>
  <c r="K36" i="2" s="1"/>
  <c r="G28" i="2"/>
  <c r="J28" i="2" s="1"/>
  <c r="K28" i="2" s="1"/>
  <c r="G20" i="2"/>
  <c r="J20" i="2" s="1"/>
  <c r="K20" i="2" s="1"/>
  <c r="G12" i="2"/>
  <c r="J12" i="2" s="1"/>
  <c r="K12" i="2" s="1"/>
  <c r="G4" i="2"/>
  <c r="J4" i="2" s="1"/>
  <c r="K4" i="2" s="1"/>
  <c r="G45" i="2"/>
  <c r="J45" i="2" s="1"/>
  <c r="K45" i="2" s="1"/>
  <c r="G2" i="2"/>
  <c r="G95" i="2"/>
  <c r="G87" i="2"/>
  <c r="J87" i="2" s="1"/>
  <c r="K87" i="2" s="1"/>
  <c r="G79" i="2"/>
  <c r="G71" i="2"/>
  <c r="J71" i="2" s="1"/>
  <c r="K71" i="2" s="1"/>
  <c r="G47" i="2"/>
  <c r="J47" i="2" s="1"/>
  <c r="K47" i="2" s="1"/>
  <c r="G51" i="2"/>
  <c r="J51" i="2" s="1"/>
  <c r="K51" i="2" s="1"/>
  <c r="G43" i="2"/>
  <c r="J43" i="2" s="1"/>
  <c r="K43" i="2" s="1"/>
  <c r="G19" i="2"/>
  <c r="J19" i="2" s="1"/>
  <c r="K19" i="2" s="1"/>
  <c r="F41" i="3"/>
  <c r="F33" i="3"/>
  <c r="F42" i="3"/>
  <c r="F34" i="3"/>
  <c r="F27" i="3"/>
  <c r="F19" i="3"/>
  <c r="F11" i="3"/>
  <c r="F3" i="3"/>
  <c r="F28" i="3"/>
  <c r="F20" i="3"/>
  <c r="F12" i="3"/>
  <c r="F4" i="3"/>
  <c r="F25" i="3"/>
  <c r="F17" i="3"/>
  <c r="F9" i="3"/>
  <c r="F39" i="3"/>
  <c r="F24" i="3"/>
  <c r="F16" i="3"/>
  <c r="F8" i="3"/>
  <c r="F2" i="3"/>
  <c r="F38" i="3"/>
  <c r="F31" i="3"/>
  <c r="F23" i="3"/>
  <c r="F15" i="3"/>
  <c r="F7" i="3"/>
  <c r="F45" i="3"/>
  <c r="F37" i="3"/>
  <c r="F30" i="3"/>
  <c r="F22" i="3"/>
  <c r="F14" i="3"/>
  <c r="F6" i="3"/>
  <c r="F40" i="3"/>
  <c r="F32" i="3"/>
  <c r="F26" i="3"/>
  <c r="F18" i="3"/>
  <c r="F10" i="3"/>
  <c r="F43" i="3"/>
  <c r="F35" i="3"/>
  <c r="F29" i="3"/>
  <c r="I29" i="3" s="1"/>
  <c r="J29" i="3" s="1"/>
  <c r="F21" i="3"/>
  <c r="F13" i="3"/>
  <c r="F5" i="3"/>
  <c r="G162" i="2"/>
  <c r="J162" i="2" s="1"/>
  <c r="K162" i="2" s="1"/>
  <c r="G130" i="2"/>
  <c r="J130" i="2" s="1"/>
  <c r="K130" i="2" s="1"/>
  <c r="G122" i="2"/>
  <c r="J122" i="2" s="1"/>
  <c r="K122" i="2" s="1"/>
  <c r="G114" i="2"/>
  <c r="J114" i="2" s="1"/>
  <c r="K114" i="2" s="1"/>
  <c r="G106" i="2"/>
  <c r="J106" i="2" s="1"/>
  <c r="K106" i="2" s="1"/>
  <c r="G105" i="2"/>
  <c r="J105" i="2" s="1"/>
  <c r="K105" i="2" s="1"/>
  <c r="G161" i="2"/>
  <c r="J161" i="2" s="1"/>
  <c r="K161" i="2" s="1"/>
  <c r="G153" i="2"/>
  <c r="J153" i="2" s="1"/>
  <c r="K153" i="2" s="1"/>
  <c r="G145" i="2"/>
  <c r="J145" i="2" s="1"/>
  <c r="K145" i="2" s="1"/>
  <c r="G137" i="2"/>
  <c r="J137" i="2" s="1"/>
  <c r="K137" i="2" s="1"/>
  <c r="G129" i="2"/>
  <c r="J129" i="2" s="1"/>
  <c r="K129" i="2" s="1"/>
  <c r="G121" i="2"/>
  <c r="J121" i="2" s="1"/>
  <c r="K121" i="2" s="1"/>
  <c r="G113" i="2"/>
  <c r="J113" i="2" s="1"/>
  <c r="K113" i="2" s="1"/>
  <c r="G101" i="2"/>
  <c r="J101" i="2" s="1"/>
  <c r="K101" i="2" s="1"/>
  <c r="G93" i="2"/>
  <c r="J93" i="2" s="1"/>
  <c r="K93" i="2" s="1"/>
  <c r="G85" i="2"/>
  <c r="J85" i="2" s="1"/>
  <c r="K85" i="2" s="1"/>
  <c r="G77" i="2"/>
  <c r="J77" i="2" s="1"/>
  <c r="K77" i="2" s="1"/>
  <c r="G69" i="2"/>
  <c r="J69" i="2" s="1"/>
  <c r="K69" i="2" s="1"/>
  <c r="G61" i="2"/>
  <c r="J61" i="2" s="1"/>
  <c r="K61" i="2" s="1"/>
  <c r="G37" i="2"/>
  <c r="J37" i="2" s="1"/>
  <c r="K37" i="2" s="1"/>
  <c r="G29" i="2"/>
  <c r="J29" i="2" s="1"/>
  <c r="K29" i="2" s="1"/>
  <c r="G13" i="2"/>
  <c r="J13" i="2" s="1"/>
  <c r="K13" i="2" s="1"/>
  <c r="G5" i="2"/>
  <c r="J5" i="2" s="1"/>
  <c r="K5" i="2" s="1"/>
  <c r="G98" i="2"/>
  <c r="J98" i="2" s="1"/>
  <c r="K98" i="2" s="1"/>
  <c r="G90" i="2"/>
  <c r="J90" i="2" s="1"/>
  <c r="K90" i="2" s="1"/>
  <c r="G82" i="2"/>
  <c r="J82" i="2" s="1"/>
  <c r="K82" i="2" s="1"/>
  <c r="G74" i="2"/>
  <c r="J74" i="2" s="1"/>
  <c r="K74" i="2" s="1"/>
  <c r="G66" i="2"/>
  <c r="J66" i="2" s="1"/>
  <c r="K66" i="2" s="1"/>
  <c r="G58" i="2"/>
  <c r="J58" i="2" s="1"/>
  <c r="K58" i="2" s="1"/>
  <c r="G50" i="2"/>
  <c r="J50" i="2" s="1"/>
  <c r="K50" i="2" s="1"/>
  <c r="G34" i="2"/>
  <c r="J34" i="2" s="1"/>
  <c r="K34" i="2" s="1"/>
  <c r="G26" i="2"/>
  <c r="J26" i="2" s="1"/>
  <c r="K26" i="2" s="1"/>
  <c r="G10" i="2"/>
  <c r="J10" i="2" s="1"/>
  <c r="K10" i="2" s="1"/>
  <c r="G168" i="2"/>
  <c r="J168" i="2" s="1"/>
  <c r="K168" i="2" s="1"/>
  <c r="G160" i="2"/>
  <c r="J160" i="2" s="1"/>
  <c r="K160" i="2" s="1"/>
  <c r="G152" i="2"/>
  <c r="J152" i="2" s="1"/>
  <c r="K152" i="2" s="1"/>
  <c r="G144" i="2"/>
  <c r="J144" i="2" s="1"/>
  <c r="K144" i="2" s="1"/>
  <c r="G136" i="2"/>
  <c r="J136" i="2" s="1"/>
  <c r="K136" i="2" s="1"/>
  <c r="G128" i="2"/>
  <c r="J128" i="2" s="1"/>
  <c r="K128" i="2" s="1"/>
  <c r="G120" i="2"/>
  <c r="J120" i="2" s="1"/>
  <c r="K120" i="2" s="1"/>
  <c r="G112" i="2"/>
  <c r="J112" i="2" s="1"/>
  <c r="K112" i="2" s="1"/>
  <c r="G104" i="2"/>
  <c r="J104" i="2" s="1"/>
  <c r="K104" i="2" s="1"/>
  <c r="G154" i="2"/>
  <c r="J154" i="2" s="1"/>
  <c r="K154" i="2" s="1"/>
  <c r="G49" i="2"/>
  <c r="J49" i="2" s="1"/>
  <c r="K49" i="2" s="1"/>
  <c r="G41" i="2"/>
  <c r="J41" i="2" s="1"/>
  <c r="K41" i="2" s="1"/>
  <c r="G17" i="2"/>
  <c r="J17" i="2" s="1"/>
  <c r="K17" i="2" s="1"/>
  <c r="G167" i="2"/>
  <c r="J167" i="2" s="1"/>
  <c r="K167" i="2" s="1"/>
  <c r="G159" i="2"/>
  <c r="J159" i="2" s="1"/>
  <c r="K159" i="2" s="1"/>
  <c r="G151" i="2"/>
  <c r="J151" i="2" s="1"/>
  <c r="K151" i="2" s="1"/>
  <c r="G143" i="2"/>
  <c r="J143" i="2" s="1"/>
  <c r="K143" i="2" s="1"/>
  <c r="G135" i="2"/>
  <c r="J135" i="2" s="1"/>
  <c r="K135" i="2" s="1"/>
  <c r="G127" i="2"/>
  <c r="J127" i="2" s="1"/>
  <c r="K127" i="2" s="1"/>
  <c r="G119" i="2"/>
  <c r="J119" i="2" s="1"/>
  <c r="K119" i="2" s="1"/>
  <c r="G111" i="2"/>
  <c r="J111" i="2" s="1"/>
  <c r="K111" i="2" s="1"/>
  <c r="G103" i="2"/>
  <c r="J103" i="2" s="1"/>
  <c r="K103" i="2" s="1"/>
  <c r="G146" i="2"/>
  <c r="J146" i="2" s="1"/>
  <c r="K146" i="2" s="1"/>
  <c r="G99" i="2"/>
  <c r="J99" i="2" s="1"/>
  <c r="K99" i="2" s="1"/>
  <c r="G91" i="2"/>
  <c r="J91" i="2" s="1"/>
  <c r="K91" i="2" s="1"/>
  <c r="G83" i="2"/>
  <c r="J83" i="2" s="1"/>
  <c r="K83" i="2" s="1"/>
  <c r="G75" i="2"/>
  <c r="G67" i="2"/>
  <c r="J67" i="2" s="1"/>
  <c r="K67" i="2" s="1"/>
  <c r="G59" i="2"/>
  <c r="J59" i="2" s="1"/>
  <c r="K59" i="2" s="1"/>
  <c r="G35" i="2"/>
  <c r="J35" i="2" s="1"/>
  <c r="K35" i="2" s="1"/>
  <c r="G27" i="2"/>
  <c r="J27" i="2" s="1"/>
  <c r="K27" i="2" s="1"/>
  <c r="G11" i="2"/>
  <c r="J11" i="2" s="1"/>
  <c r="K11" i="2" s="1"/>
  <c r="G3" i="2"/>
  <c r="J3" i="2" s="1"/>
  <c r="K3" i="2" s="1"/>
  <c r="G96" i="2"/>
  <c r="G88" i="2"/>
  <c r="G80" i="2"/>
  <c r="G72" i="2"/>
  <c r="G64" i="2"/>
  <c r="J64" i="2" s="1"/>
  <c r="K64" i="2" s="1"/>
  <c r="G56" i="2"/>
  <c r="J56" i="2" s="1"/>
  <c r="K56" i="2" s="1"/>
  <c r="G48" i="2"/>
  <c r="J48" i="2" s="1"/>
  <c r="K48" i="2" s="1"/>
  <c r="G40" i="2"/>
  <c r="J40" i="2" s="1"/>
  <c r="K40" i="2" s="1"/>
  <c r="G32" i="2"/>
  <c r="J32" i="2" s="1"/>
  <c r="K32" i="2" s="1"/>
  <c r="G24" i="2"/>
  <c r="J24" i="2" s="1"/>
  <c r="K24" i="2" s="1"/>
  <c r="G16" i="2"/>
  <c r="J16" i="2" s="1"/>
  <c r="K16" i="2" s="1"/>
  <c r="G8" i="2"/>
  <c r="J8" i="2" s="1"/>
  <c r="K8" i="2" s="1"/>
  <c r="G166" i="2"/>
  <c r="J166" i="2" s="1"/>
  <c r="K166" i="2" s="1"/>
  <c r="G158" i="2"/>
  <c r="J158" i="2" s="1"/>
  <c r="K158" i="2" s="1"/>
  <c r="G150" i="2"/>
  <c r="J150" i="2" s="1"/>
  <c r="K150" i="2" s="1"/>
  <c r="G142" i="2"/>
  <c r="J142" i="2" s="1"/>
  <c r="K142" i="2" s="1"/>
  <c r="G134" i="2"/>
  <c r="J134" i="2" s="1"/>
  <c r="K134" i="2" s="1"/>
  <c r="G126" i="2"/>
  <c r="J126" i="2" s="1"/>
  <c r="K126" i="2" s="1"/>
  <c r="G118" i="2"/>
  <c r="J118" i="2" s="1"/>
  <c r="K118" i="2" s="1"/>
  <c r="G110" i="2"/>
  <c r="J110" i="2" s="1"/>
  <c r="K110" i="2" s="1"/>
  <c r="G138" i="2"/>
  <c r="J138" i="2" s="1"/>
  <c r="K138" i="2" s="1"/>
  <c r="G165" i="2"/>
  <c r="J165" i="2" s="1"/>
  <c r="K165" i="2" s="1"/>
  <c r="G157" i="2"/>
  <c r="J157" i="2" s="1"/>
  <c r="K157" i="2" s="1"/>
  <c r="G149" i="2"/>
  <c r="J149" i="2" s="1"/>
  <c r="K149" i="2" s="1"/>
  <c r="G141" i="2"/>
  <c r="J141" i="2" s="1"/>
  <c r="K141" i="2" s="1"/>
  <c r="G133" i="2"/>
  <c r="J133" i="2" s="1"/>
  <c r="K133" i="2" s="1"/>
  <c r="G125" i="2"/>
  <c r="J125" i="2" s="1"/>
  <c r="K125" i="2" s="1"/>
  <c r="G117" i="2"/>
  <c r="J117" i="2" s="1"/>
  <c r="K117" i="2" s="1"/>
  <c r="G109" i="2"/>
  <c r="J109" i="2" s="1"/>
  <c r="K109" i="2" s="1"/>
  <c r="G21" i="2"/>
  <c r="J21" i="2" s="1"/>
  <c r="K21" i="2" s="1"/>
  <c r="G97" i="2"/>
  <c r="J97" i="2" s="1"/>
  <c r="K97" i="2" s="1"/>
  <c r="G81" i="2"/>
  <c r="J81" i="2" s="1"/>
  <c r="K81" i="2" s="1"/>
  <c r="G73" i="2"/>
  <c r="J73" i="2" s="1"/>
  <c r="K73" i="2" s="1"/>
  <c r="J75" i="2"/>
  <c r="K75" i="2" s="1"/>
  <c r="G55" i="2"/>
  <c r="J55" i="2" s="1"/>
  <c r="K55" i="2" s="1"/>
  <c r="J89" i="2"/>
  <c r="K89" i="2" s="1"/>
  <c r="J72" i="2"/>
  <c r="K72" i="2" s="1"/>
  <c r="J95" i="2"/>
  <c r="K95" i="2" s="1"/>
  <c r="J79" i="2"/>
  <c r="K79" i="2" s="1"/>
  <c r="J102" i="2"/>
  <c r="K102" i="2" s="1"/>
  <c r="J96" i="2"/>
  <c r="K96" i="2" s="1"/>
  <c r="J88" i="2"/>
  <c r="K88" i="2" s="1"/>
  <c r="J80" i="2"/>
  <c r="K80" i="2" s="1"/>
  <c r="J2" i="2"/>
  <c r="K2" i="2" s="1"/>
  <c r="I30" i="3" l="1"/>
  <c r="J30" i="3" s="1"/>
  <c r="G30" i="3"/>
  <c r="I34" i="3"/>
  <c r="J34" i="3" s="1"/>
  <c r="G34" i="3"/>
  <c r="I37" i="3"/>
  <c r="J37" i="3" s="1"/>
  <c r="G37" i="3"/>
  <c r="I12" i="3"/>
  <c r="J12" i="3" s="1"/>
  <c r="G12" i="3"/>
  <c r="I26" i="3"/>
  <c r="J26" i="3" s="1"/>
  <c r="G26" i="3"/>
  <c r="I33" i="3"/>
  <c r="J33" i="3" s="1"/>
  <c r="G33" i="3"/>
  <c r="I2" i="3"/>
  <c r="J2" i="3" s="1"/>
  <c r="G2" i="3"/>
  <c r="I41" i="3"/>
  <c r="J41" i="3" s="1"/>
  <c r="G41" i="3"/>
  <c r="I10" i="3"/>
  <c r="J10" i="3" s="1"/>
  <c r="G10" i="3"/>
  <c r="I4" i="3"/>
  <c r="J4" i="3" s="1"/>
  <c r="G4" i="3"/>
  <c r="I18" i="3"/>
  <c r="J18" i="3" s="1"/>
  <c r="G18" i="3"/>
  <c r="I8" i="3"/>
  <c r="J8" i="3" s="1"/>
  <c r="G8" i="3"/>
  <c r="I42" i="3"/>
  <c r="J42" i="3" s="1"/>
  <c r="G42" i="3"/>
  <c r="I5" i="3"/>
  <c r="J5" i="3" s="1"/>
  <c r="G5" i="3"/>
  <c r="I45" i="3"/>
  <c r="J45" i="3" s="1"/>
  <c r="G45" i="3"/>
  <c r="I16" i="3"/>
  <c r="J16" i="3" s="1"/>
  <c r="G16" i="3"/>
  <c r="I20" i="3"/>
  <c r="J20" i="3" s="1"/>
  <c r="G20" i="3"/>
  <c r="I13" i="3"/>
  <c r="J13" i="3" s="1"/>
  <c r="G13" i="3"/>
  <c r="I32" i="3"/>
  <c r="J32" i="3" s="1"/>
  <c r="G32" i="3"/>
  <c r="I7" i="3"/>
  <c r="J7" i="3" s="1"/>
  <c r="G7" i="3"/>
  <c r="I24" i="3"/>
  <c r="J24" i="3" s="1"/>
  <c r="G24" i="3"/>
  <c r="I28" i="3"/>
  <c r="J28" i="3" s="1"/>
  <c r="G28" i="3"/>
  <c r="I21" i="3"/>
  <c r="J21" i="3" s="1"/>
  <c r="G21" i="3"/>
  <c r="I40" i="3"/>
  <c r="J40" i="3" s="1"/>
  <c r="G40" i="3"/>
  <c r="I15" i="3"/>
  <c r="J15" i="3" s="1"/>
  <c r="G15" i="3"/>
  <c r="I39" i="3"/>
  <c r="J39" i="3" s="1"/>
  <c r="G39" i="3"/>
  <c r="I3" i="3"/>
  <c r="J3" i="3" s="1"/>
  <c r="G3" i="3"/>
  <c r="I11" i="3"/>
  <c r="J11" i="3" s="1"/>
  <c r="G11" i="3"/>
  <c r="I6" i="3"/>
  <c r="J6" i="3" s="1"/>
  <c r="G6" i="3"/>
  <c r="I23" i="3"/>
  <c r="J23" i="3" s="1"/>
  <c r="G23" i="3"/>
  <c r="I9" i="3"/>
  <c r="J9" i="3" s="1"/>
  <c r="G9" i="3"/>
  <c r="I35" i="3"/>
  <c r="J35" i="3" s="1"/>
  <c r="G35" i="3"/>
  <c r="I14" i="3"/>
  <c r="J14" i="3" s="1"/>
  <c r="G14" i="3"/>
  <c r="I31" i="3"/>
  <c r="J31" i="3" s="1"/>
  <c r="G31" i="3"/>
  <c r="I17" i="3"/>
  <c r="J17" i="3" s="1"/>
  <c r="G17" i="3"/>
  <c r="I19" i="3"/>
  <c r="J19" i="3" s="1"/>
  <c r="G19" i="3"/>
  <c r="I43" i="3"/>
  <c r="J43" i="3" s="1"/>
  <c r="G43" i="3"/>
  <c r="I22" i="3"/>
  <c r="J22" i="3" s="1"/>
  <c r="G22" i="3"/>
  <c r="I38" i="3"/>
  <c r="J38" i="3" s="1"/>
  <c r="G38" i="3"/>
  <c r="I25" i="3"/>
  <c r="J25" i="3" s="1"/>
  <c r="G25" i="3"/>
  <c r="I27" i="3"/>
  <c r="J27" i="3" s="1"/>
  <c r="G27" i="3"/>
  <c r="I44" i="3"/>
  <c r="J44" i="3" s="1"/>
  <c r="G44" i="3"/>
  <c r="I36" i="3"/>
  <c r="J36" i="3" s="1"/>
  <c r="G36" i="3"/>
</calcChain>
</file>

<file path=xl/sharedStrings.xml><?xml version="1.0" encoding="utf-8"?>
<sst xmlns="http://schemas.openxmlformats.org/spreadsheetml/2006/main" count="6143" uniqueCount="1848">
  <si>
    <t>#</t>
  </si>
  <si>
    <t>Name</t>
  </si>
  <si>
    <t>Team</t>
  </si>
  <si>
    <t>POS</t>
  </si>
  <si>
    <t>ADP</t>
  </si>
  <si>
    <t>Roster%</t>
  </si>
  <si>
    <t>Start%</t>
  </si>
  <si>
    <t>PA</t>
  </si>
  <si>
    <t>IP</t>
  </si>
  <si>
    <t>Dollars</t>
  </si>
  <si>
    <t>Card</t>
  </si>
  <si>
    <t>Shohei Ohtani</t>
  </si>
  <si>
    <t>LAD</t>
  </si>
  <si>
    <t>DH</t>
  </si>
  <si>
    <t>Aaron Judge</t>
  </si>
  <si>
    <t>NYY</t>
  </si>
  <si>
    <t>OF/DH</t>
  </si>
  <si>
    <t>Bobby Witt Jr.</t>
  </si>
  <si>
    <t>KCR</t>
  </si>
  <si>
    <t>SS</t>
  </si>
  <si>
    <t>José Ramírez</t>
  </si>
  <si>
    <t>CLE</t>
  </si>
  <si>
    <t>3B/DH</t>
  </si>
  <si>
    <t>Juan Soto</t>
  </si>
  <si>
    <t>NYM</t>
  </si>
  <si>
    <t>OF</t>
  </si>
  <si>
    <t>Tarik Skubal</t>
  </si>
  <si>
    <t>DET</t>
  </si>
  <si>
    <t>SP</t>
  </si>
  <si>
    <t>Gunnar Henderson</t>
  </si>
  <si>
    <t>BAL</t>
  </si>
  <si>
    <t>Zack Wheeler</t>
  </si>
  <si>
    <t>PHI</t>
  </si>
  <si>
    <t>Elly De La Cruz</t>
  </si>
  <si>
    <t>CIN</t>
  </si>
  <si>
    <t>Chris Sale</t>
  </si>
  <si>
    <t>ATL</t>
  </si>
  <si>
    <t>Francisco Lindor</t>
  </si>
  <si>
    <t>William Contreras</t>
  </si>
  <si>
    <t>MIL</t>
  </si>
  <si>
    <t>C/DH</t>
  </si>
  <si>
    <t>Vladimir Guerrero Jr.</t>
  </si>
  <si>
    <t>TOR</t>
  </si>
  <si>
    <t>1B/DH</t>
  </si>
  <si>
    <t>Marcell Ozuna</t>
  </si>
  <si>
    <t>Brent Rooker</t>
  </si>
  <si>
    <t>ATH</t>
  </si>
  <si>
    <t>Jarren Duran</t>
  </si>
  <si>
    <t>BOS</t>
  </si>
  <si>
    <t>Yordan Alvarez</t>
  </si>
  <si>
    <t>HOU</t>
  </si>
  <si>
    <t>Ketel Marte</t>
  </si>
  <si>
    <t>ARI</t>
  </si>
  <si>
    <t>2B/DH</t>
  </si>
  <si>
    <t>Willy Adames</t>
  </si>
  <si>
    <t>SFG</t>
  </si>
  <si>
    <t>Paul Skenes</t>
  </si>
  <si>
    <t>PIT</t>
  </si>
  <si>
    <t>Kyle Schwarber</t>
  </si>
  <si>
    <t>Logan Gilbert</t>
  </si>
  <si>
    <t>SEA</t>
  </si>
  <si>
    <t>Salvador Perez</t>
  </si>
  <si>
    <t>C/1B/DH</t>
  </si>
  <si>
    <t>Shota Imanaga</t>
  </si>
  <si>
    <t>CHC</t>
  </si>
  <si>
    <t>Manny Machado</t>
  </si>
  <si>
    <t>SDP</t>
  </si>
  <si>
    <t>Corbin Carroll</t>
  </si>
  <si>
    <t>Emmanuel Clase</t>
  </si>
  <si>
    <t>RP</t>
  </si>
  <si>
    <t>Yainer Diaz</t>
  </si>
  <si>
    <t>Jackson Merrill</t>
  </si>
  <si>
    <t>Anthony Santander</t>
  </si>
  <si>
    <t>Cal Raleigh</t>
  </si>
  <si>
    <t>C</t>
  </si>
  <si>
    <t>Bryce Miller</t>
  </si>
  <si>
    <t>Seth Lugo</t>
  </si>
  <si>
    <t>Jose Altuve</t>
  </si>
  <si>
    <t>2B</t>
  </si>
  <si>
    <t>Jurickson Profar</t>
  </si>
  <si>
    <t>Corbin Burnes</t>
  </si>
  <si>
    <t>Bryce Harper</t>
  </si>
  <si>
    <t>1B</t>
  </si>
  <si>
    <t>Jazz Chisholm Jr.</t>
  </si>
  <si>
    <t>3B/OF</t>
  </si>
  <si>
    <t>Framber Valdez</t>
  </si>
  <si>
    <t>Dylan Cease</t>
  </si>
  <si>
    <t>3B</t>
  </si>
  <si>
    <t>Brenton Doyle</t>
  </si>
  <si>
    <t>COL</t>
  </si>
  <si>
    <t>Jackson Chourio</t>
  </si>
  <si>
    <t>Ronel Blanco</t>
  </si>
  <si>
    <t>Jack Flaherty</t>
  </si>
  <si>
    <t>Trea Turner</t>
  </si>
  <si>
    <t>Matt Chapman</t>
  </si>
  <si>
    <t>Josh Naylor</t>
  </si>
  <si>
    <t>Rafael Devers</t>
  </si>
  <si>
    <t>Bryan Reynolds</t>
  </si>
  <si>
    <t>Hunter Greene</t>
  </si>
  <si>
    <t>Freddie Freeman</t>
  </si>
  <si>
    <t>Tyler Holton</t>
  </si>
  <si>
    <t>Julio Rodríguez</t>
  </si>
  <si>
    <t>Reynaldo López</t>
  </si>
  <si>
    <t>Cole Ragans</t>
  </si>
  <si>
    <t>Michael King</t>
  </si>
  <si>
    <t>Seiya Suzuki</t>
  </si>
  <si>
    <t>Ian Happ</t>
  </si>
  <si>
    <t>George Kirby</t>
  </si>
  <si>
    <t>Kirby Yates</t>
  </si>
  <si>
    <t>Will Smith</t>
  </si>
  <si>
    <t>Pete Alonso</t>
  </si>
  <si>
    <t>Mookie Betts</t>
  </si>
  <si>
    <t>SS/OF</t>
  </si>
  <si>
    <t>Ezequiel Tovar</t>
  </si>
  <si>
    <t>Ryan Helsley</t>
  </si>
  <si>
    <t>STL</t>
  </si>
  <si>
    <t>Zach Neto</t>
  </si>
  <si>
    <t>LAA</t>
  </si>
  <si>
    <t>Adley Rutschman</t>
  </si>
  <si>
    <t>Tyler Glasnow</t>
  </si>
  <si>
    <t>Shea Langeliers</t>
  </si>
  <si>
    <t>Raisel Iglesias</t>
  </si>
  <si>
    <t>Sean Manaea</t>
  </si>
  <si>
    <t>Bryan Woo</t>
  </si>
  <si>
    <t>Bailey Ober</t>
  </si>
  <si>
    <t>MIN</t>
  </si>
  <si>
    <t>Sonny Gray</t>
  </si>
  <si>
    <t>Tyler Stephenson</t>
  </si>
  <si>
    <t>Oneil Cruz</t>
  </si>
  <si>
    <t>Brandon Nimmo</t>
  </si>
  <si>
    <t>Nick Castellanos</t>
  </si>
  <si>
    <t>CJ Abrams</t>
  </si>
  <si>
    <t>WSN</t>
  </si>
  <si>
    <t>Tanner Bibee</t>
  </si>
  <si>
    <t>Spencer Steer</t>
  </si>
  <si>
    <t>1B/OF</t>
  </si>
  <si>
    <t>Matt Olson</t>
  </si>
  <si>
    <t>Alec Burleson</t>
  </si>
  <si>
    <t>Riley Greene</t>
  </si>
  <si>
    <t>Corey Seager</t>
  </si>
  <si>
    <t>TEX</t>
  </si>
  <si>
    <t>Luis Gil</t>
  </si>
  <si>
    <t>Alec Bohm</t>
  </si>
  <si>
    <t>Alex Bregman</t>
  </si>
  <si>
    <t>Ryan Walker</t>
  </si>
  <si>
    <t>Brice Turang</t>
  </si>
  <si>
    <t>Nick Martinez</t>
  </si>
  <si>
    <t>Lourdes Gurriel Jr.</t>
  </si>
  <si>
    <t>José Berríos</t>
  </si>
  <si>
    <t>Marcus Semien</t>
  </si>
  <si>
    <t>Aaron Nola</t>
  </si>
  <si>
    <t>Cody Bellinger</t>
  </si>
  <si>
    <t>1B/OF/DH</t>
  </si>
  <si>
    <t>Wyatt Langford</t>
  </si>
  <si>
    <t>Connor Wong</t>
  </si>
  <si>
    <t>Max Fried</t>
  </si>
  <si>
    <t>Nico Hoerner</t>
  </si>
  <si>
    <t>Garrett Crochet</t>
  </si>
  <si>
    <t>Jameson Taillon</t>
  </si>
  <si>
    <t>Robert Suarez</t>
  </si>
  <si>
    <t>Carlos Rodón</t>
  </si>
  <si>
    <t>Josh Hader</t>
  </si>
  <si>
    <t>Logan O'Hoppe</t>
  </si>
  <si>
    <t>Steven Kwan</t>
  </si>
  <si>
    <t>Tanner Houck</t>
  </si>
  <si>
    <t>Nathan Eovaldi</t>
  </si>
  <si>
    <t>Taylor Ward</t>
  </si>
  <si>
    <t>Luis Arraez</t>
  </si>
  <si>
    <t>Jake Burger</t>
  </si>
  <si>
    <t>1B/3B/DH</t>
  </si>
  <si>
    <t>Christian Walker</t>
  </si>
  <si>
    <t>Colton Cowser</t>
  </si>
  <si>
    <t>Anthony Volpe</t>
  </si>
  <si>
    <t>Joe Ryan</t>
  </si>
  <si>
    <t>Michael Wacha</t>
  </si>
  <si>
    <t>Tanner Scott</t>
  </si>
  <si>
    <t>Lawrence Butler</t>
  </si>
  <si>
    <t>Tyler O'Neill</t>
  </si>
  <si>
    <t>Ceddanne Rafaela</t>
  </si>
  <si>
    <t>Jake McCarthy</t>
  </si>
  <si>
    <t>Vinnie Pasquantino</t>
  </si>
  <si>
    <t>Cedric Mullins</t>
  </si>
  <si>
    <t>Bowden Francis</t>
  </si>
  <si>
    <t>Lane Thomas</t>
  </si>
  <si>
    <t>Pablo López</t>
  </si>
  <si>
    <t>Ryan Jeffers</t>
  </si>
  <si>
    <t>Spencer Schwellenbach</t>
  </si>
  <si>
    <t>Masyn Winn</t>
  </si>
  <si>
    <t>Dansby Swanson</t>
  </si>
  <si>
    <t>Luis Castillo</t>
  </si>
  <si>
    <t>Tobias Myers</t>
  </si>
  <si>
    <t>Blake Snell</t>
  </si>
  <si>
    <t>Mark Vientos</t>
  </si>
  <si>
    <t>Ranger Suárez</t>
  </si>
  <si>
    <t>Heliot Ramos</t>
  </si>
  <si>
    <t>Freddy Peralta</t>
  </si>
  <si>
    <t>Erick Fedde</t>
  </si>
  <si>
    <t>Zac Gallen</t>
  </si>
  <si>
    <t>Logan Webb</t>
  </si>
  <si>
    <t>Nolan Arenado</t>
  </si>
  <si>
    <t>Brendan Donovan</t>
  </si>
  <si>
    <t>2B/OF</t>
  </si>
  <si>
    <t>José Buttó</t>
  </si>
  <si>
    <t>Fernando Tatis Jr.</t>
  </si>
  <si>
    <t>Joc Pederson</t>
  </si>
  <si>
    <t>Maikel Garcia</t>
  </si>
  <si>
    <t>2B/3B</t>
  </si>
  <si>
    <t>Mason Miller</t>
  </si>
  <si>
    <t>Kyle Tucker</t>
  </si>
  <si>
    <t>Kevin Gausman</t>
  </si>
  <si>
    <t>Jesús Sánchez</t>
  </si>
  <si>
    <t>MIA</t>
  </si>
  <si>
    <t>Jorge Soler</t>
  </si>
  <si>
    <t>Willi Castro</t>
  </si>
  <si>
    <t>2B/3B/SS/OF</t>
  </si>
  <si>
    <t>Andrés Giménez</t>
  </si>
  <si>
    <t>Justin Steele</t>
  </si>
  <si>
    <t>Jonathan India</t>
  </si>
  <si>
    <t>Hunter Brown</t>
  </si>
  <si>
    <t>Yoshinobu Yamamoto</t>
  </si>
  <si>
    <t>Bryson Stott</t>
  </si>
  <si>
    <t>J.T. Realmuto</t>
  </si>
  <si>
    <t>Cristopher Sánchez</t>
  </si>
  <si>
    <t>Byron Buxton</t>
  </si>
  <si>
    <t>David Fry</t>
  </si>
  <si>
    <t>Zach Eflin</t>
  </si>
  <si>
    <t>Paul Goldschmidt</t>
  </si>
  <si>
    <t>Randy Arozarena</t>
  </si>
  <si>
    <t>Matt Vierling</t>
  </si>
  <si>
    <t>Trevor Williams</t>
  </si>
  <si>
    <t>Griffin Jax</t>
  </si>
  <si>
    <t>Ryan Pepiot</t>
  </si>
  <si>
    <t>TBR</t>
  </si>
  <si>
    <t>Gleyber Torres</t>
  </si>
  <si>
    <t>Nestor Cortes</t>
  </si>
  <si>
    <t>Jake Cronenworth</t>
  </si>
  <si>
    <t>1B/2B</t>
  </si>
  <si>
    <t>Jared Koenig</t>
  </si>
  <si>
    <t>SP/RP</t>
  </si>
  <si>
    <t>Jason Adam</t>
  </si>
  <si>
    <t>David Peterson</t>
  </si>
  <si>
    <t>Brandon Marsh</t>
  </si>
  <si>
    <t>Gavin Stone</t>
  </si>
  <si>
    <t>Luke Raley</t>
  </si>
  <si>
    <t>Hunter Gaddis</t>
  </si>
  <si>
    <t>Jakob Junis</t>
  </si>
  <si>
    <t>Willson Contreras</t>
  </si>
  <si>
    <t>Jesse Winker</t>
  </si>
  <si>
    <t>Cade Smith</t>
  </si>
  <si>
    <t>Michael Busch</t>
  </si>
  <si>
    <t>Yusei Kikuchi</t>
  </si>
  <si>
    <t>Matt Strahm</t>
  </si>
  <si>
    <t>Jacob Young</t>
  </si>
  <si>
    <t>Josh Smith</t>
  </si>
  <si>
    <t>3B/SS</t>
  </si>
  <si>
    <t>Isaac Paredes</t>
  </si>
  <si>
    <t>Yu Darvish</t>
  </si>
  <si>
    <t>JJ Bleday</t>
  </si>
  <si>
    <t>Jordan Westburg</t>
  </si>
  <si>
    <t>Ryan McMahon</t>
  </si>
  <si>
    <t>Andrés Muñoz</t>
  </si>
  <si>
    <t>Christian Yelich</t>
  </si>
  <si>
    <t>Carlos Estévez</t>
  </si>
  <si>
    <t>Ben Lively</t>
  </si>
  <si>
    <t>George Springer</t>
  </si>
  <si>
    <t>Carlos Santana</t>
  </si>
  <si>
    <t>Nathaniel Lowe</t>
  </si>
  <si>
    <t>Luke Weaver</t>
  </si>
  <si>
    <t>Rhys Hoskins</t>
  </si>
  <si>
    <t>Bryan Hudson</t>
  </si>
  <si>
    <t>Clarke Schmidt</t>
  </si>
  <si>
    <t>Keibert Ruiz</t>
  </si>
  <si>
    <t>Michael Harris II</t>
  </si>
  <si>
    <t>Ryan O'Hearn</t>
  </si>
  <si>
    <t>Yandy Díaz</t>
  </si>
  <si>
    <t>Nick Pivetta</t>
  </si>
  <si>
    <t>Bryan De La Cruz</t>
  </si>
  <si>
    <t>Joey Bart</t>
  </si>
  <si>
    <t>Wilyer Abreu</t>
  </si>
  <si>
    <t>José Caballero</t>
  </si>
  <si>
    <t>2B/3B/SS</t>
  </si>
  <si>
    <t>Carlos Correa</t>
  </si>
  <si>
    <t>Luis Severino</t>
  </si>
  <si>
    <t>Kutter Crawford</t>
  </si>
  <si>
    <t>Travis d'Arnaud</t>
  </si>
  <si>
    <t>Austin Riley</t>
  </si>
  <si>
    <t>Josh Bell</t>
  </si>
  <si>
    <t>Austin Wells</t>
  </si>
  <si>
    <t>Alex Vesia</t>
  </si>
  <si>
    <t>Daulton Varsho</t>
  </si>
  <si>
    <t>Edwin Díaz</t>
  </si>
  <si>
    <t>Brandon Lowe</t>
  </si>
  <si>
    <t>Shane Baz</t>
  </si>
  <si>
    <t>Giancarlo Stanton</t>
  </si>
  <si>
    <t>Michael Toglia</t>
  </si>
  <si>
    <t>Victor Robles</t>
  </si>
  <si>
    <t>Brady Singer</t>
  </si>
  <si>
    <t>Zack Littell</t>
  </si>
  <si>
    <t>Brendan Rodgers</t>
  </si>
  <si>
    <t>Jonah Heim</t>
  </si>
  <si>
    <t>Jo Adell</t>
  </si>
  <si>
    <t>Jose Quintana</t>
  </si>
  <si>
    <t>Tyler Fitzgerald</t>
  </si>
  <si>
    <t>Michael Conforto</t>
  </si>
  <si>
    <t>Taj Bradley</t>
  </si>
  <si>
    <t>Jeff Hoffman</t>
  </si>
  <si>
    <t>Trevor Larnach</t>
  </si>
  <si>
    <t>Kenley Jansen</t>
  </si>
  <si>
    <t>Cole Sands</t>
  </si>
  <si>
    <t>Colt Keith</t>
  </si>
  <si>
    <t>Michael Lorenzen</t>
  </si>
  <si>
    <t>Ryan Mountcastle</t>
  </si>
  <si>
    <t>Andrew Vaughn</t>
  </si>
  <si>
    <t>CHW</t>
  </si>
  <si>
    <t>Gabriel Moreno</t>
  </si>
  <si>
    <t>Spencer Turnbull</t>
  </si>
  <si>
    <t>Osvaldo Bido</t>
  </si>
  <si>
    <t>Harrison Bader</t>
  </si>
  <si>
    <t>Andrew Abbott</t>
  </si>
  <si>
    <t>Francisco Alvarez</t>
  </si>
  <si>
    <t>Patrick Bailey</t>
  </si>
  <si>
    <t>Ernie Clement</t>
  </si>
  <si>
    <t>Kyle Higashioka</t>
  </si>
  <si>
    <t>Pete Crow-Armstrong</t>
  </si>
  <si>
    <t>Alex Verdugo</t>
  </si>
  <si>
    <t>Freddy Fermin</t>
  </si>
  <si>
    <t>Joey Ortiz</t>
  </si>
  <si>
    <t>Ha-Seong Kim</t>
  </si>
  <si>
    <t>Zack Gelof</t>
  </si>
  <si>
    <t>Nolan Schanuel</t>
  </si>
  <si>
    <t>Jhoan Duran</t>
  </si>
  <si>
    <t>Leody Taveras</t>
  </si>
  <si>
    <t>Mike Yastrzemski</t>
  </si>
  <si>
    <t>Kerry Carpenter</t>
  </si>
  <si>
    <t>Albert Suárez</t>
  </si>
  <si>
    <t>Jared Jones</t>
  </si>
  <si>
    <t>Tyler Anderson</t>
  </si>
  <si>
    <t>Andrew Benintendi</t>
  </si>
  <si>
    <t>Reese Olson</t>
  </si>
  <si>
    <t>Colin Rea</t>
  </si>
  <si>
    <t>Ryan Weathers</t>
  </si>
  <si>
    <t>Michael Kopech</t>
  </si>
  <si>
    <t>Dean Kremer</t>
  </si>
  <si>
    <t>Xavier Edwards</t>
  </si>
  <si>
    <t>Clay Holmes</t>
  </si>
  <si>
    <t>Paul DeJong</t>
  </si>
  <si>
    <t>Blake Treinen</t>
  </si>
  <si>
    <t>Kyle Finnegan</t>
  </si>
  <si>
    <t>Tim Herrin</t>
  </si>
  <si>
    <t>Andrew McCutchen</t>
  </si>
  <si>
    <t>Nick Lodolo</t>
  </si>
  <si>
    <t>Ryne Nelson</t>
  </si>
  <si>
    <t>Landon Knack</t>
  </si>
  <si>
    <t>Xander Bogaerts</t>
  </si>
  <si>
    <t>2B/SS</t>
  </si>
  <si>
    <t>Kyle Bradish</t>
  </si>
  <si>
    <t>Blake Perkins</t>
  </si>
  <si>
    <t>Jake Irvin</t>
  </si>
  <si>
    <t>Andy Pages</t>
  </si>
  <si>
    <t>Luis Rengifo</t>
  </si>
  <si>
    <t>Otto Lopez</t>
  </si>
  <si>
    <t>David Hamilton</t>
  </si>
  <si>
    <t>Mitch Keller</t>
  </si>
  <si>
    <t>Jacob Stallings</t>
  </si>
  <si>
    <t>Porter Hodge</t>
  </si>
  <si>
    <t>Brandon Pfaadt</t>
  </si>
  <si>
    <t>Isiah Kiner-Falefa</t>
  </si>
  <si>
    <t>JP Sears</t>
  </si>
  <si>
    <t>Andre Pallante</t>
  </si>
  <si>
    <t>Starling Marte</t>
  </si>
  <si>
    <t>Sal Frelick</t>
  </si>
  <si>
    <t>Jeremiah Estrada</t>
  </si>
  <si>
    <t>MacKenzie Gore</t>
  </si>
  <si>
    <t>Brayan Bello</t>
  </si>
  <si>
    <t>Héctor Neris</t>
  </si>
  <si>
    <t>Bo Naylor</t>
  </si>
  <si>
    <t>Matthew Boyd</t>
  </si>
  <si>
    <t>Jose Miranda</t>
  </si>
  <si>
    <t>Alejandro Kirk</t>
  </si>
  <si>
    <t>Tayler Scott</t>
  </si>
  <si>
    <t>Jake Meyers</t>
  </si>
  <si>
    <t>Beau Brieske</t>
  </si>
  <si>
    <t>Jeimer Candelario</t>
  </si>
  <si>
    <t>Dylan Moore</t>
  </si>
  <si>
    <t>Chad Green</t>
  </si>
  <si>
    <t>Ozzie Albies</t>
  </si>
  <si>
    <t>Masataka Yoshida</t>
  </si>
  <si>
    <t>Merrill Kelly</t>
  </si>
  <si>
    <t>Justin Turner</t>
  </si>
  <si>
    <t>James Wood</t>
  </si>
  <si>
    <t>Miguel Amaya</t>
  </si>
  <si>
    <t>Luis Robert Jr.</t>
  </si>
  <si>
    <t>Trevor Megill</t>
  </si>
  <si>
    <t>Hogan Harris</t>
  </si>
  <si>
    <t>Gavin Lux</t>
  </si>
  <si>
    <t>Kevin Ginkel</t>
  </si>
  <si>
    <t>Kevin Kelly</t>
  </si>
  <si>
    <t>Elias Díaz</t>
  </si>
  <si>
    <t>Edwin Uceta</t>
  </si>
  <si>
    <t>Victor Caratini</t>
  </si>
  <si>
    <t>Luis Campusano</t>
  </si>
  <si>
    <t>Hayden Wesneski</t>
  </si>
  <si>
    <t>Evan Phillips</t>
  </si>
  <si>
    <t>Erik Miller</t>
  </si>
  <si>
    <t>Korey Lee</t>
  </si>
  <si>
    <t>Orion Kerkering</t>
  </si>
  <si>
    <t>Justin Martinez</t>
  </si>
  <si>
    <t>Carson Kelly</t>
  </si>
  <si>
    <t>Ben Brown</t>
  </si>
  <si>
    <t>Randal Grichuk</t>
  </si>
  <si>
    <t>Grant Holmes</t>
  </si>
  <si>
    <t>Josh Lowe</t>
  </si>
  <si>
    <t>Jake Fraley</t>
  </si>
  <si>
    <t>Charlie Morton</t>
  </si>
  <si>
    <t>Keegan Akin</t>
  </si>
  <si>
    <t>Gary Sánchez</t>
  </si>
  <si>
    <t>Justin Slaten</t>
  </si>
  <si>
    <t>Kyle Isbel</t>
  </si>
  <si>
    <t>Pete Fairbanks</t>
  </si>
  <si>
    <t>Tylor Megill</t>
  </si>
  <si>
    <t>Geraldo Perdomo</t>
  </si>
  <si>
    <t>Dylan Lee</t>
  </si>
  <si>
    <t>Jarred Kelenic</t>
  </si>
  <si>
    <t>Brant Hurter</t>
  </si>
  <si>
    <t>Lucas Erceg</t>
  </si>
  <si>
    <t>Jake Rogers</t>
  </si>
  <si>
    <t>Craig Kimbrel</t>
  </si>
  <si>
    <t>Max Muncy</t>
  </si>
  <si>
    <t>Christopher Morel</t>
  </si>
  <si>
    <t>2B/3B/DH</t>
  </si>
  <si>
    <t>Andrew Heaney</t>
  </si>
  <si>
    <t>Mitch Garver</t>
  </si>
  <si>
    <t>Aroldis Chapman</t>
  </si>
  <si>
    <t>TJ Friedl</t>
  </si>
  <si>
    <t>Michael Massey</t>
  </si>
  <si>
    <t>Johan Rojas</t>
  </si>
  <si>
    <t>Jeff McNeil</t>
  </si>
  <si>
    <t>Mickey Moniak</t>
  </si>
  <si>
    <t>Joel Payamps</t>
  </si>
  <si>
    <t>Ryan Yarbrough</t>
  </si>
  <si>
    <t>David Robertson</t>
  </si>
  <si>
    <t>A.J. Puk</t>
  </si>
  <si>
    <t>Aaron Civale</t>
  </si>
  <si>
    <t>Nick Gonzales</t>
  </si>
  <si>
    <t>Max Scherzer</t>
  </si>
  <si>
    <t>James McCann</t>
  </si>
  <si>
    <t>Bryse Wilson</t>
  </si>
  <si>
    <t>Jose Siri</t>
  </si>
  <si>
    <t>Alexis Díaz</t>
  </si>
  <si>
    <t>Lars Nootbaar</t>
  </si>
  <si>
    <t>Hunter Goodman</t>
  </si>
  <si>
    <t>Javier Assad</t>
  </si>
  <si>
    <t>Andrew Kittredge</t>
  </si>
  <si>
    <t>Hunter Renfroe</t>
  </si>
  <si>
    <t>Wenceel Pérez</t>
  </si>
  <si>
    <t>Mitchell Parker</t>
  </si>
  <si>
    <t>Tommy Pham</t>
  </si>
  <si>
    <t>José Ureña</t>
  </si>
  <si>
    <t>Jose Iglesias</t>
  </si>
  <si>
    <t>Spencer Horwitz</t>
  </si>
  <si>
    <t>Tyrone Taylor</t>
  </si>
  <si>
    <t>Rob Refsnyder</t>
  </si>
  <si>
    <t>Royce Lewis</t>
  </si>
  <si>
    <t>Cooper Criswell</t>
  </si>
  <si>
    <t>Bryan Abreu</t>
  </si>
  <si>
    <t>Miguel Rojas</t>
  </si>
  <si>
    <t>Reed Garrett</t>
  </si>
  <si>
    <t>Hayden Birdsong</t>
  </si>
  <si>
    <t>Simeon Woods Richardson</t>
  </si>
  <si>
    <t>Dairon Blanco</t>
  </si>
  <si>
    <t>JoJo Romero</t>
  </si>
  <si>
    <t>Joe Ross</t>
  </si>
  <si>
    <t>Ryan Thompson</t>
  </si>
  <si>
    <t>Xzavion Curry</t>
  </si>
  <si>
    <t>Valente Bellozo</t>
  </si>
  <si>
    <t>Kevin Pillar</t>
  </si>
  <si>
    <t>Nolan Gorman</t>
  </si>
  <si>
    <t>Kyle Gibson</t>
  </si>
  <si>
    <t>Mauricio Dubón</t>
  </si>
  <si>
    <t>1B/2B/OF</t>
  </si>
  <si>
    <t>Yimi García</t>
  </si>
  <si>
    <t>Nick Sandlin</t>
  </si>
  <si>
    <t>Bailey Falter</t>
  </si>
  <si>
    <t>Rowdy Tellez</t>
  </si>
  <si>
    <t>Kyle Harrison</t>
  </si>
  <si>
    <t>Paul Blackburn</t>
  </si>
  <si>
    <t>Jose Trevino</t>
  </si>
  <si>
    <t>Christian Vázquez</t>
  </si>
  <si>
    <t>Chris Bassitt</t>
  </si>
  <si>
    <t>Mark Canha</t>
  </si>
  <si>
    <t>Tyler Rogers</t>
  </si>
  <si>
    <t>Pedro Pagés</t>
  </si>
  <si>
    <t>Will Vest</t>
  </si>
  <si>
    <t>Eli Morgan</t>
  </si>
  <si>
    <t>Spencer Arrighetti</t>
  </si>
  <si>
    <t>Matthew Liberatore</t>
  </si>
  <si>
    <t>Jorge Alcala</t>
  </si>
  <si>
    <t>Josh Winckowski</t>
  </si>
  <si>
    <t>Garrett Cleavinger</t>
  </si>
  <si>
    <t>Will Benson</t>
  </si>
  <si>
    <t>Santiago Espinal</t>
  </si>
  <si>
    <t>Danny Jansen</t>
  </si>
  <si>
    <t>Joey Cantillo</t>
  </si>
  <si>
    <t>Max Kepler</t>
  </si>
  <si>
    <t>Jon Gray</t>
  </si>
  <si>
    <t>Oswaldo Cabrera</t>
  </si>
  <si>
    <t>Jack Kochanowicz</t>
  </si>
  <si>
    <t>Mike Tauchman</t>
  </si>
  <si>
    <t>Ty France</t>
  </si>
  <si>
    <t>Shelby Miller</t>
  </si>
  <si>
    <t>MJ Melendez</t>
  </si>
  <si>
    <t>Matt Waldron</t>
  </si>
  <si>
    <t>Ramón Urías</t>
  </si>
  <si>
    <t>Manuel Rodríguez</t>
  </si>
  <si>
    <t>Gio Urshela</t>
  </si>
  <si>
    <t>Tyler Ferguson</t>
  </si>
  <si>
    <t>Jake Cousins</t>
  </si>
  <si>
    <t>Ben Rortvedt</t>
  </si>
  <si>
    <t>Jake Bauers</t>
  </si>
  <si>
    <t>Trent Thornton</t>
  </si>
  <si>
    <t>Max Schuemann</t>
  </si>
  <si>
    <t>Bryan Hoeing</t>
  </si>
  <si>
    <t>Collin Snider</t>
  </si>
  <si>
    <t>Yennier Cano</t>
  </si>
  <si>
    <t>Tyler Alexander</t>
  </si>
  <si>
    <t>Seth Brown</t>
  </si>
  <si>
    <t>Donovan Solano</t>
  </si>
  <si>
    <t>Nick Fortes</t>
  </si>
  <si>
    <t>Pierce Johnson</t>
  </si>
  <si>
    <t>Keider Montero</t>
  </si>
  <si>
    <t>Camilo Doval</t>
  </si>
  <si>
    <t>Matt Wallner</t>
  </si>
  <si>
    <t>Orlando Arcia</t>
  </si>
  <si>
    <t>David Festa</t>
  </si>
  <si>
    <t>Joey Estes</t>
  </si>
  <si>
    <t>Parker Meadows</t>
  </si>
  <si>
    <t>Jorge Polanco</t>
  </si>
  <si>
    <t>Emerson Hancock</t>
  </si>
  <si>
    <t>Enrique Hernández</t>
  </si>
  <si>
    <t>Jon Singleton</t>
  </si>
  <si>
    <t>Amed Rosario</t>
  </si>
  <si>
    <t>2B/OF/DH</t>
  </si>
  <si>
    <t>Adrian Del Castillo</t>
  </si>
  <si>
    <t>Will Brennan</t>
  </si>
  <si>
    <t>Hunter Strickland</t>
  </si>
  <si>
    <t>Ryne Stanek</t>
  </si>
  <si>
    <t>Paul Sewald</t>
  </si>
  <si>
    <t>Joe Mantiply</t>
  </si>
  <si>
    <t>Phil Maton</t>
  </si>
  <si>
    <t>Dennis Santana</t>
  </si>
  <si>
    <t>Gavin Williams</t>
  </si>
  <si>
    <t>Carmen Mlodzinski</t>
  </si>
  <si>
    <t>LaMonte Wade Jr.</t>
  </si>
  <si>
    <t>Connor Joe</t>
  </si>
  <si>
    <t>Kevin Newman</t>
  </si>
  <si>
    <t>Quinn Priester</t>
  </si>
  <si>
    <t>Adrian Morejon</t>
  </si>
  <si>
    <t>Jonathan Cannon</t>
  </si>
  <si>
    <t>Edmundo Sosa</t>
  </si>
  <si>
    <t>Edward Cabrera</t>
  </si>
  <si>
    <t>Jonah Bride</t>
  </si>
  <si>
    <t>Josh Rojas</t>
  </si>
  <si>
    <t>Chris Martin</t>
  </si>
  <si>
    <t>Elvis Peguero</t>
  </si>
  <si>
    <t>Jordan Hicks</t>
  </si>
  <si>
    <t>Yuki Matsui</t>
  </si>
  <si>
    <t>Mitch Spence</t>
  </si>
  <si>
    <t>Michael Tonkin</t>
  </si>
  <si>
    <t>Richie Palacios</t>
  </si>
  <si>
    <t>José Alvarado</t>
  </si>
  <si>
    <t>Seranthony Domínguez</t>
  </si>
  <si>
    <t>Zack Kelly</t>
  </si>
  <si>
    <t>Jorge López</t>
  </si>
  <si>
    <t>Sean Murphy</t>
  </si>
  <si>
    <t>Yariel Rodríguez</t>
  </si>
  <si>
    <t>Garrett Mitchell</t>
  </si>
  <si>
    <t>Marcus Stroman</t>
  </si>
  <si>
    <t>Tyler Freeman</t>
  </si>
  <si>
    <t>Jared Triolo</t>
  </si>
  <si>
    <t>Jacob Webb</t>
  </si>
  <si>
    <t>Eduardo Rodriguez</t>
  </si>
  <si>
    <t>Stuart Fairchild</t>
  </si>
  <si>
    <t>Gavin Sheets</t>
  </si>
  <si>
    <t>Chris Paddack</t>
  </si>
  <si>
    <t>Jesus Tinoco</t>
  </si>
  <si>
    <t>José Leclerc</t>
  </si>
  <si>
    <t>Miguel Andujar</t>
  </si>
  <si>
    <t>Daniel Lynch IV</t>
  </si>
  <si>
    <t>Taylor Rogers</t>
  </si>
  <si>
    <t>Davis Schneider</t>
  </si>
  <si>
    <t>Anthony Banda</t>
  </si>
  <si>
    <t>Pavin Smith</t>
  </si>
  <si>
    <t>Frankie Montas</t>
  </si>
  <si>
    <t>Michael Siani</t>
  </si>
  <si>
    <t>Sam Long</t>
  </si>
  <si>
    <t>Thairo Estrada</t>
  </si>
  <si>
    <t>Sam Moll</t>
  </si>
  <si>
    <t>Tyler Phillips</t>
  </si>
  <si>
    <t>John King</t>
  </si>
  <si>
    <t>Anthony Bender</t>
  </si>
  <si>
    <t>José Ruiz</t>
  </si>
  <si>
    <t>Brayan Rocchio</t>
  </si>
  <si>
    <t>Greg Weissert</t>
  </si>
  <si>
    <t>Jason Heyward</t>
  </si>
  <si>
    <t>Jacob Barnes</t>
  </si>
  <si>
    <t>Davis Martin</t>
  </si>
  <si>
    <t>Tommy Kahnle</t>
  </si>
  <si>
    <t>Justin Wrobleski</t>
  </si>
  <si>
    <t>Eric Haase</t>
  </si>
  <si>
    <t>Spencer Bivens</t>
  </si>
  <si>
    <t>Calvin Faucher</t>
  </si>
  <si>
    <t>Romy Gonzalez</t>
  </si>
  <si>
    <t>1B/2B/SS</t>
  </si>
  <si>
    <t>Shawn Armstrong</t>
  </si>
  <si>
    <t>Colin Holderman</t>
  </si>
  <si>
    <t>Brent Suter</t>
  </si>
  <si>
    <t>J.P. Crawford</t>
  </si>
  <si>
    <t>Carson Fulmer</t>
  </si>
  <si>
    <t>Steven Matz</t>
  </si>
  <si>
    <t>Sam Hilliard</t>
  </si>
  <si>
    <t>Robert Garcia</t>
  </si>
  <si>
    <t>John Schreiber</t>
  </si>
  <si>
    <t>Jalen Beeks</t>
  </si>
  <si>
    <t>Jonny DeLuca</t>
  </si>
  <si>
    <t>Max Meyer</t>
  </si>
  <si>
    <t>Lenyn Sosa</t>
  </si>
  <si>
    <t>DL Hall</t>
  </si>
  <si>
    <t>Austin Barnes</t>
  </si>
  <si>
    <t>Jesse Chavez</t>
  </si>
  <si>
    <t>David Bednar</t>
  </si>
  <si>
    <t>Hoby Milner</t>
  </si>
  <si>
    <t>Luis Torrens</t>
  </si>
  <si>
    <t>Aaron Bummer</t>
  </si>
  <si>
    <t>Mark Leiter Jr.</t>
  </si>
  <si>
    <t>Andrew Chafin</t>
  </si>
  <si>
    <t>Danny Young</t>
  </si>
  <si>
    <t>Manuel Margot</t>
  </si>
  <si>
    <t>Michael Soroka</t>
  </si>
  <si>
    <t>Sean Hjelle</t>
  </si>
  <si>
    <t>Ryan Pressly</t>
  </si>
  <si>
    <t>Reese McGuire</t>
  </si>
  <si>
    <t>Spencer Torkelson</t>
  </si>
  <si>
    <t>Dane Dunning</t>
  </si>
  <si>
    <t>Justin Verlander</t>
  </si>
  <si>
    <t>Ke'Bryan Hayes</t>
  </si>
  <si>
    <t>Miles Mikolas</t>
  </si>
  <si>
    <t>Scott Alexander</t>
  </si>
  <si>
    <t>Whit Merrifield</t>
  </si>
  <si>
    <t>Triston Casas</t>
  </si>
  <si>
    <t>Hunter Stratton</t>
  </si>
  <si>
    <t>Graham Ashcraft</t>
  </si>
  <si>
    <t>Ryan Feltner</t>
  </si>
  <si>
    <t>Emilio Pagán</t>
  </si>
  <si>
    <t>Luis García</t>
  </si>
  <si>
    <t>Jordan Wicks</t>
  </si>
  <si>
    <t>Matt Thaiss</t>
  </si>
  <si>
    <t>Cade Povich</t>
  </si>
  <si>
    <t>Jhonkensy Noel</t>
  </si>
  <si>
    <t>Seth Martinez</t>
  </si>
  <si>
    <t>Victor Vodnik</t>
  </si>
  <si>
    <t>Tayler Saucedo</t>
  </si>
  <si>
    <t>Scott Barlow</t>
  </si>
  <si>
    <t>Cam Booser</t>
  </si>
  <si>
    <t>Connor Norby</t>
  </si>
  <si>
    <t>Rafael Marchán</t>
  </si>
  <si>
    <t>Austin Martin</t>
  </si>
  <si>
    <t>Abraham Toro</t>
  </si>
  <si>
    <t>Brennan Bernardino</t>
  </si>
  <si>
    <t>Austin Gomber</t>
  </si>
  <si>
    <t>Tanner Banks</t>
  </si>
  <si>
    <t>Randy Rodríguez</t>
  </si>
  <si>
    <t>Colin Poche</t>
  </si>
  <si>
    <t>Kyle Leahy</t>
  </si>
  <si>
    <t>Tomás Nido</t>
  </si>
  <si>
    <t>Jose Herrera</t>
  </si>
  <si>
    <t>Wandy Peralta</t>
  </si>
  <si>
    <t>Adam Ottavino</t>
  </si>
  <si>
    <t>Fernando Cruz</t>
  </si>
  <si>
    <t>Triston McKenzie</t>
  </si>
  <si>
    <t>Eddie Rosario</t>
  </si>
  <si>
    <t>Ryan Fernandez</t>
  </si>
  <si>
    <t>Jorge Mateo</t>
  </si>
  <si>
    <t>Chas McCormick</t>
  </si>
  <si>
    <t>Andy Ibáñez</t>
  </si>
  <si>
    <t>Derek Hill</t>
  </si>
  <si>
    <t>Zebby Matthews</t>
  </si>
  <si>
    <t>Huascar Brazobán</t>
  </si>
  <si>
    <t>Zach McKinstry</t>
  </si>
  <si>
    <t>3B/SS/OF</t>
  </si>
  <si>
    <t>Riley Adams</t>
  </si>
  <si>
    <t>Casey Mize</t>
  </si>
  <si>
    <t>Joe Boyle</t>
  </si>
  <si>
    <t>Nick Anderson</t>
  </si>
  <si>
    <t>Martín Pérez</t>
  </si>
  <si>
    <t>Mason Black</t>
  </si>
  <si>
    <t>T.J. McFarland</t>
  </si>
  <si>
    <t>Keaton Winn</t>
  </si>
  <si>
    <t>Tyler Kinley</t>
  </si>
  <si>
    <t>Dominic Smith</t>
  </si>
  <si>
    <t>Trevor Richards</t>
  </si>
  <si>
    <t>Drew Millas</t>
  </si>
  <si>
    <t>César Salazar</t>
  </si>
  <si>
    <t>Kyle Freeland</t>
  </si>
  <si>
    <t>Jack Suwinski</t>
  </si>
  <si>
    <t>Génesis Cabrera</t>
  </si>
  <si>
    <t>Carson Spiers</t>
  </si>
  <si>
    <t>Michael A. Taylor</t>
  </si>
  <si>
    <t>Tim Hill</t>
  </si>
  <si>
    <t>Hunter Harvey</t>
  </si>
  <si>
    <t>Nate Pearson</t>
  </si>
  <si>
    <t>Austin Hays</t>
  </si>
  <si>
    <t>Austin Hedges</t>
  </si>
  <si>
    <t>Tommy Edman</t>
  </si>
  <si>
    <t>Nolan Jones</t>
  </si>
  <si>
    <t>Brendon Little</t>
  </si>
  <si>
    <t>Landen Roupp</t>
  </si>
  <si>
    <t>Darren McCaughan</t>
  </si>
  <si>
    <t>Randy Vásquez</t>
  </si>
  <si>
    <t>Emmanuel Rivera</t>
  </si>
  <si>
    <t>1B/3B</t>
  </si>
  <si>
    <t>Josh Jung</t>
  </si>
  <si>
    <t>Ildemaro Vargas</t>
  </si>
  <si>
    <t>Alex Call</t>
  </si>
  <si>
    <t>Mike Trout</t>
  </si>
  <si>
    <t>Logan Allen</t>
  </si>
  <si>
    <t>Tucker Barnhart</t>
  </si>
  <si>
    <t>Tommy Henry</t>
  </si>
  <si>
    <t>Bryce Elder</t>
  </si>
  <si>
    <t>Nicky Lopez</t>
  </si>
  <si>
    <t>Edouard Julien</t>
  </si>
  <si>
    <t>Bo Bichette</t>
  </si>
  <si>
    <t>Ian Hamilton</t>
  </si>
  <si>
    <t>Gregory Soto</t>
  </si>
  <si>
    <t>Trent Grisham</t>
  </si>
  <si>
    <t>Brett Wisely</t>
  </si>
  <si>
    <t>Alex Jackson</t>
  </si>
  <si>
    <t>Chadwick Tromp</t>
  </si>
  <si>
    <t>Austin Wynns</t>
  </si>
  <si>
    <t>Erik Swanson</t>
  </si>
  <si>
    <t>Jacob Latz</t>
  </si>
  <si>
    <t>Luke Maile</t>
  </si>
  <si>
    <t>Angel Zerpa</t>
  </si>
  <si>
    <t>Blake Sabol</t>
  </si>
  <si>
    <t>Steven Okert</t>
  </si>
  <si>
    <t>Bryce Jarvis</t>
  </si>
  <si>
    <t>Luke Jackson</t>
  </si>
  <si>
    <t>Javier Báez</t>
  </si>
  <si>
    <t>Carlos Carrasco</t>
  </si>
  <si>
    <t>Hunter Feduccia</t>
  </si>
  <si>
    <t>Jhonny Pereda</t>
  </si>
  <si>
    <t>C/1B</t>
  </si>
  <si>
    <t>Kyle Nicolas</t>
  </si>
  <si>
    <t>Cionel Pérez</t>
  </si>
  <si>
    <t>Dane Myers</t>
  </si>
  <si>
    <t>Drew Romo</t>
  </si>
  <si>
    <t>Andrew Knizner</t>
  </si>
  <si>
    <t>Brett Sullivan</t>
  </si>
  <si>
    <t>Roansy Contreras</t>
  </si>
  <si>
    <t>Dillon Dingler</t>
  </si>
  <si>
    <t>Walker Buehler</t>
  </si>
  <si>
    <t>Ezequiel Duran</t>
  </si>
  <si>
    <t>Dillon Tate</t>
  </si>
  <si>
    <t>Joey Loperfido</t>
  </si>
  <si>
    <t>Tyler Soderstrom</t>
  </si>
  <si>
    <t>Kyle Farmer</t>
  </si>
  <si>
    <t>Shawn Dubin</t>
  </si>
  <si>
    <t>Lucas Sims</t>
  </si>
  <si>
    <t>Noelvi Marte</t>
  </si>
  <si>
    <t>Enmanuel Valdez</t>
  </si>
  <si>
    <t>Cal Quantrill</t>
  </si>
  <si>
    <t>Ali Sánchez</t>
  </si>
  <si>
    <t>José Tena</t>
  </si>
  <si>
    <t>Martín Maldonado</t>
  </si>
  <si>
    <t>Addison Barger</t>
  </si>
  <si>
    <t>Junior Caminero</t>
  </si>
  <si>
    <t>Tyler Heineman</t>
  </si>
  <si>
    <t>Sam Huff</t>
  </si>
  <si>
    <t>Omar Narváez</t>
  </si>
  <si>
    <t>Chris Taylor</t>
  </si>
  <si>
    <t>2B/3B/OF</t>
  </si>
  <si>
    <t>Henry Davis</t>
  </si>
  <si>
    <t>Rob Brantly</t>
  </si>
  <si>
    <t>Adrian Houser</t>
  </si>
  <si>
    <t>Caleb Ferguson</t>
  </si>
  <si>
    <t>Jackson Holliday</t>
  </si>
  <si>
    <t>Aramis Garcia</t>
  </si>
  <si>
    <t>Adam Frazier</t>
  </si>
  <si>
    <t>Jerar Encarnacion</t>
  </si>
  <si>
    <t>Blaze Alexander</t>
  </si>
  <si>
    <t>Slade Cecconi</t>
  </si>
  <si>
    <t>Justyn-Henry Malloy</t>
  </si>
  <si>
    <t>Daz Cameron</t>
  </si>
  <si>
    <t>Vidal Bruján</t>
  </si>
  <si>
    <t>2B/SS/OF</t>
  </si>
  <si>
    <t>Rafael Montero</t>
  </si>
  <si>
    <t>Chris Stratton</t>
  </si>
  <si>
    <t>Caleb Thielbar</t>
  </si>
  <si>
    <t>Reid Detmers</t>
  </si>
  <si>
    <t>Dominic Canzone</t>
  </si>
  <si>
    <t>Nick Martini</t>
  </si>
  <si>
    <t>Luis Matos</t>
  </si>
  <si>
    <t>Tyler Wade</t>
  </si>
  <si>
    <t>Stephen Kolek</t>
  </si>
  <si>
    <t>Zach Pop</t>
  </si>
  <si>
    <t>Dylan Crews</t>
  </si>
  <si>
    <t>Jake Bird</t>
  </si>
  <si>
    <t>Austin Slater</t>
  </si>
  <si>
    <t>Taylor Walls</t>
  </si>
  <si>
    <t>Weston Wilson</t>
  </si>
  <si>
    <t>Cavan Biggio</t>
  </si>
  <si>
    <t>1B/3B/OF</t>
  </si>
  <si>
    <t>Griffin Canning</t>
  </si>
  <si>
    <t>Evan Carter</t>
  </si>
  <si>
    <t>Daniel Schneemann</t>
  </si>
  <si>
    <t>Joey Wentz</t>
  </si>
  <si>
    <t>Jared Shuster</t>
  </si>
  <si>
    <t>Kenta Maeda</t>
  </si>
  <si>
    <t>Justin Wilson</t>
  </si>
  <si>
    <t>Dylan Carlson</t>
  </si>
  <si>
    <t>Jack Leiter</t>
  </si>
  <si>
    <t>Jonathan Aranda</t>
  </si>
  <si>
    <t>Enyel De Los Santos</t>
  </si>
  <si>
    <t>Gabriel Arias</t>
  </si>
  <si>
    <t>Rece Hinds</t>
  </si>
  <si>
    <t>Jordan Walker</t>
  </si>
  <si>
    <t>Griffin Conine</t>
  </si>
  <si>
    <t>Chuckie Robinson</t>
  </si>
  <si>
    <t>Kody Clemens</t>
  </si>
  <si>
    <t>1B/2B/3B/OF/DH</t>
  </si>
  <si>
    <t>Corey Julks</t>
  </si>
  <si>
    <t>Travis Jankowski</t>
  </si>
  <si>
    <t>Casey Schmitt</t>
  </si>
  <si>
    <t>2B/3B/SS/DH</t>
  </si>
  <si>
    <t>Alek Thomas</t>
  </si>
  <si>
    <t>Angel Martínez</t>
  </si>
  <si>
    <t>Nathan Lukes</t>
  </si>
  <si>
    <t>Leo Jiménez</t>
  </si>
  <si>
    <t>John Brebbia</t>
  </si>
  <si>
    <t>Jung Hoo Lee</t>
  </si>
  <si>
    <t>Brett Baty</t>
  </si>
  <si>
    <t>Trey Lipscomb</t>
  </si>
  <si>
    <t>Heston Kjerstad</t>
  </si>
  <si>
    <t>Brooks Lee</t>
  </si>
  <si>
    <t>Grant McCray</t>
  </si>
  <si>
    <t>DJ LeMahieu</t>
  </si>
  <si>
    <t>Kyle Stowers</t>
  </si>
  <si>
    <t>Nick Ahmed</t>
  </si>
  <si>
    <t>Louis Varland</t>
  </si>
  <si>
    <t>Tanner Rainey</t>
  </si>
  <si>
    <t>Ben Rice</t>
  </si>
  <si>
    <t>Garrett Hampson</t>
  </si>
  <si>
    <t>Trey Sweeney</t>
  </si>
  <si>
    <t>Wilmer Flores</t>
  </si>
  <si>
    <t>Andruw Monasterio</t>
  </si>
  <si>
    <t>Jordan Beck</t>
  </si>
  <si>
    <t>Trevor Story</t>
  </si>
  <si>
    <t>Esteury Ruiz</t>
  </si>
  <si>
    <t>Brad Keller</t>
  </si>
  <si>
    <t>Luis Urías</t>
  </si>
  <si>
    <t>Trevor Rogers</t>
  </si>
  <si>
    <t>Nick Mears</t>
  </si>
  <si>
    <t>Will Wagner</t>
  </si>
  <si>
    <t>Ryan Bliss</t>
  </si>
  <si>
    <t>Kyle Manzardo</t>
  </si>
  <si>
    <t>Jon Berti</t>
  </si>
  <si>
    <t>2B/3B/OF/DH</t>
  </si>
  <si>
    <t>Yohan Ramírez</t>
  </si>
  <si>
    <t>Nick Sogard</t>
  </si>
  <si>
    <t>1B/2B/3B/SS</t>
  </si>
  <si>
    <t>Joshua Palacios</t>
  </si>
  <si>
    <t>Eli White</t>
  </si>
  <si>
    <t>Roddery Muñoz</t>
  </si>
  <si>
    <t>Nasim Nuñez</t>
  </si>
  <si>
    <t>Bryan Ramos</t>
  </si>
  <si>
    <t>Sean Bouchard</t>
  </si>
  <si>
    <t>Kris Bryant</t>
  </si>
  <si>
    <t>Andrés Chaparro</t>
  </si>
  <si>
    <t>Victor Scott II</t>
  </si>
  <si>
    <t>Ji Hwan Bae</t>
  </si>
  <si>
    <t>José Azocar</t>
  </si>
  <si>
    <t>Billy Cook</t>
  </si>
  <si>
    <t>Miguel Vargas</t>
  </si>
  <si>
    <t>Oliver Dunn</t>
  </si>
  <si>
    <t>Eric Wagaman</t>
  </si>
  <si>
    <t>Jonatan Clase</t>
  </si>
  <si>
    <t>Gustavo Campero</t>
  </si>
  <si>
    <t>Aaron Schunk</t>
  </si>
  <si>
    <t>José Suarez</t>
  </si>
  <si>
    <t>Luisangel Acuña</t>
  </si>
  <si>
    <t>2B/SS/DH</t>
  </si>
  <si>
    <t>Chris Flexen</t>
  </si>
  <si>
    <t>Dominic Fletcher</t>
  </si>
  <si>
    <t>Brett Harris</t>
  </si>
  <si>
    <t>Zach Dezenzo</t>
  </si>
  <si>
    <t>Leo Rivas</t>
  </si>
  <si>
    <t>Brooks Baldwin</t>
  </si>
  <si>
    <t>Steward Berroa</t>
  </si>
  <si>
    <t>Jace Jung</t>
  </si>
  <si>
    <t>Curtis Mead</t>
  </si>
  <si>
    <t>Bobby Miller</t>
  </si>
  <si>
    <t>Jordan Montgomery</t>
  </si>
  <si>
    <t>Christian Encarnacion-Strand</t>
  </si>
  <si>
    <t>Luis Guillorme</t>
  </si>
  <si>
    <t>James Outman</t>
  </si>
  <si>
    <t>Jordyn Adams</t>
  </si>
  <si>
    <t>Kyle Hendricks</t>
  </si>
  <si>
    <t>Nick Loftin</t>
  </si>
  <si>
    <t>Alexander Canario</t>
  </si>
  <si>
    <t>Blake Dunn</t>
  </si>
  <si>
    <t>Darell Hernaiz</t>
  </si>
  <si>
    <t>J.D. Davis</t>
  </si>
  <si>
    <t>Bryce Johnson</t>
  </si>
  <si>
    <t>Tim Anderson</t>
  </si>
  <si>
    <t>Niko Kavadas</t>
  </si>
  <si>
    <t>Jahmai Jones</t>
  </si>
  <si>
    <t>1B/2B/3B/DH</t>
  </si>
  <si>
    <t>Nick Yorke</t>
  </si>
  <si>
    <t>Brandon Lockridge</t>
  </si>
  <si>
    <t>Jacob Hurtubise</t>
  </si>
  <si>
    <t>Cal Stevenson</t>
  </si>
  <si>
    <t>Jacob Wilson</t>
  </si>
  <si>
    <t>Ryan Vilade</t>
  </si>
  <si>
    <t>Luke Williams</t>
  </si>
  <si>
    <t>2B/3B/SS/OF/DH</t>
  </si>
  <si>
    <t>Tim Mayza</t>
  </si>
  <si>
    <t>Graham Pauley</t>
  </si>
  <si>
    <t>Yoán Moncada</t>
  </si>
  <si>
    <t>Buddy Kennedy</t>
  </si>
  <si>
    <t>Myles Straw</t>
  </si>
  <si>
    <t>Jordan Weems</t>
  </si>
  <si>
    <t>Akil Baddoo</t>
  </si>
  <si>
    <t>1B/2B/3B/OF</t>
  </si>
  <si>
    <t>Luken Baker</t>
  </si>
  <si>
    <t>Zack Short</t>
  </si>
  <si>
    <t>Yuli Gurriel</t>
  </si>
  <si>
    <t>Billy McKinney</t>
  </si>
  <si>
    <t>Michael Stefanic</t>
  </si>
  <si>
    <t>Greg Jones</t>
  </si>
  <si>
    <t>Jorge Barrosa</t>
  </si>
  <si>
    <t>3B/OF/DH</t>
  </si>
  <si>
    <t>Samad Taylor</t>
  </si>
  <si>
    <t>Oswald Peraza</t>
  </si>
  <si>
    <t>Ryan Kreidler</t>
  </si>
  <si>
    <t>DaShawn Keirsey Jr.</t>
  </si>
  <si>
    <t>Mason McCoy</t>
  </si>
  <si>
    <t>Drew Waters</t>
  </si>
  <si>
    <t>Michael Helman</t>
  </si>
  <si>
    <t>Thomas Saggese</t>
  </si>
  <si>
    <t>Taylor Trammell</t>
  </si>
  <si>
    <t>Miles Mastrobuoni</t>
  </si>
  <si>
    <t>Justin Lawrence</t>
  </si>
  <si>
    <t>David Villar</t>
  </si>
  <si>
    <t>Brewer Hicklen</t>
  </si>
  <si>
    <t>Joey Wiemer</t>
  </si>
  <si>
    <t>Sam Haggerty</t>
  </si>
  <si>
    <t>Pablo Reyes</t>
  </si>
  <si>
    <t>1B/2B/3B/SS/DH</t>
  </si>
  <si>
    <t>Kevin Alcántara</t>
  </si>
  <si>
    <t>Cooper Hummel</t>
  </si>
  <si>
    <t>Patrick Corbin</t>
  </si>
  <si>
    <t>Shay Whitcomb</t>
  </si>
  <si>
    <t>Bryce Teodosio</t>
  </si>
  <si>
    <t>Donovan Walton</t>
  </si>
  <si>
    <t>José Fermín</t>
  </si>
  <si>
    <t>Dustin Harris</t>
  </si>
  <si>
    <t>Javier Sanoja</t>
  </si>
  <si>
    <t>2B/SS/OF/DH</t>
  </si>
  <si>
    <t>Tyler Black</t>
  </si>
  <si>
    <t>CJ Alexander</t>
  </si>
  <si>
    <t>Owen Miller</t>
  </si>
  <si>
    <t>1B/2B/3B</t>
  </si>
  <si>
    <t>Kyren Paris</t>
  </si>
  <si>
    <t>Jonathan Ornelas</t>
  </si>
  <si>
    <t>3B/SS/DH</t>
  </si>
  <si>
    <t>Kameron Misner</t>
  </si>
  <si>
    <t>Bobby Dalbec</t>
  </si>
  <si>
    <t>Tyler Locklear</t>
  </si>
  <si>
    <t>Taijuan Walker</t>
  </si>
  <si>
    <t>Liover Peguero</t>
  </si>
  <si>
    <t>Jacob Amaya</t>
  </si>
  <si>
    <t>Nick Allen</t>
  </si>
  <si>
    <t>Vinny Capra</t>
  </si>
  <si>
    <t>Nick Maton</t>
  </si>
  <si>
    <t>Coby Mayo</t>
  </si>
  <si>
    <t>Adael Amador</t>
  </si>
  <si>
    <t>Isaac Collins</t>
  </si>
  <si>
    <t>Tristan Gray</t>
  </si>
  <si>
    <t>Keston Hiura</t>
  </si>
  <si>
    <t>Trenton Brooks</t>
  </si>
  <si>
    <t>1B/2B/3B/SS/OF</t>
  </si>
  <si>
    <t>Anthony Molina</t>
  </si>
  <si>
    <t>Matt Mervis</t>
  </si>
  <si>
    <t>Mickey Gasper</t>
  </si>
  <si>
    <t>Nacho Alvarez Jr.</t>
  </si>
  <si>
    <t>Alan Trejo</t>
  </si>
  <si>
    <t>Ryan Noda</t>
  </si>
  <si>
    <t>Justin Foscue</t>
  </si>
  <si>
    <t>last_name, first_name</t>
  </si>
  <si>
    <t>Sum(great_season_probability)</t>
  </si>
  <si>
    <t>Round</t>
  </si>
  <si>
    <t>Skenes, Paul</t>
  </si>
  <si>
    <t>Crochet, Garrett</t>
  </si>
  <si>
    <t>Gilbert, Logan</t>
  </si>
  <si>
    <t>Skubal, Tarik</t>
  </si>
  <si>
    <t>Greene, Hunter</t>
  </si>
  <si>
    <t>Cease, Dylan</t>
  </si>
  <si>
    <t>#N/A</t>
  </si>
  <si>
    <t>Eovaldi, Nathan</t>
  </si>
  <si>
    <t>Brown, Hunter</t>
  </si>
  <si>
    <t>Valdez, Framber</t>
  </si>
  <si>
    <t>Wheeler, Zack</t>
  </si>
  <si>
    <t>Imanaga, Shota</t>
  </si>
  <si>
    <t>Pepiot, Ryan</t>
  </si>
  <si>
    <t>Sale, Chris</t>
  </si>
  <si>
    <t>Gore, MacKenzie</t>
  </si>
  <si>
    <t>Peralta, Freddy</t>
  </si>
  <si>
    <t>Angel Chivilli</t>
  </si>
  <si>
    <t>Holmes, Grant</t>
  </si>
  <si>
    <t>A.J. Minter</t>
  </si>
  <si>
    <t>Robbie Ray</t>
  </si>
  <si>
    <t>Woo, Bryan</t>
  </si>
  <si>
    <t>Drew Rasmussen</t>
  </si>
  <si>
    <t>Eduard Bazardo</t>
  </si>
  <si>
    <t>Watch List</t>
  </si>
  <si>
    <t>Util</t>
  </si>
  <si>
    <t>Ohtani, Shohei</t>
  </si>
  <si>
    <t>Judge, Aaron</t>
  </si>
  <si>
    <t>Guerrero Jr., Vladimir</t>
  </si>
  <si>
    <t>Wilson Contreras</t>
  </si>
  <si>
    <t>Same</t>
  </si>
  <si>
    <t>Tatis Jr., Fernando</t>
  </si>
  <si>
    <t>Soto, Juan</t>
  </si>
  <si>
    <t>Devers, Rafael</t>
  </si>
  <si>
    <t>Riley, Austin</t>
  </si>
  <si>
    <t>Witt Jr., Bobby</t>
  </si>
  <si>
    <t>Seager, Corey</t>
  </si>
  <si>
    <t>Chapman, Matt</t>
  </si>
  <si>
    <t>Henderson, Gunnar</t>
  </si>
  <si>
    <t>Improve</t>
  </si>
  <si>
    <t>Trout, Mike</t>
  </si>
  <si>
    <t>Stanton, Giancarlo</t>
  </si>
  <si>
    <t>Merrill, Jackson</t>
  </si>
  <si>
    <t>Walker, Christian</t>
  </si>
  <si>
    <t>Westburg, Jordan</t>
  </si>
  <si>
    <t>Olson, Matt</t>
  </si>
  <si>
    <t>Buxton, Byron</t>
  </si>
  <si>
    <t>Crow-Armstrong, Pete</t>
  </si>
  <si>
    <t>Marte, Ketel</t>
  </si>
  <si>
    <t>Gonzalez, Romy</t>
  </si>
  <si>
    <t>Harris II, Michael</t>
  </si>
  <si>
    <t>come back make a new table with player, position, probability, and adp so we can sort with it</t>
  </si>
  <si>
    <t>Tucker, Kyle</t>
  </si>
  <si>
    <t>goal will be to optimize for great season and adp</t>
  </si>
  <si>
    <t>Chourio, Jackson</t>
  </si>
  <si>
    <t>Brent Rooker Jr.</t>
  </si>
  <si>
    <t>Jose Ramirez</t>
  </si>
  <si>
    <t>Julio Rodriguez</t>
  </si>
  <si>
    <t>Lowe, Brandon</t>
  </si>
  <si>
    <t>Semien, Marcus</t>
  </si>
  <si>
    <t>Perez, Salvador</t>
  </si>
  <si>
    <t>Machado, Manny</t>
  </si>
  <si>
    <t>Cruz, Oneil</t>
  </si>
  <si>
    <t>Yandy Diaz</t>
  </si>
  <si>
    <t>Wood, James</t>
  </si>
  <si>
    <t>Caminero, Junior</t>
  </si>
  <si>
    <t>Sosa, Edmundo</t>
  </si>
  <si>
    <t>Lindor, Francisco</t>
  </si>
  <si>
    <t>Grichuk, Randal</t>
  </si>
  <si>
    <t>Duran, Jarren</t>
  </si>
  <si>
    <t>Langford, Wyatt</t>
  </si>
  <si>
    <t>Schwarber, Kyle</t>
  </si>
  <si>
    <t>Contreras, William</t>
  </si>
  <si>
    <t>Yelich, Christian</t>
  </si>
  <si>
    <t>Nootbaar, Lars</t>
  </si>
  <si>
    <t>Doyle, Brenton</t>
  </si>
  <si>
    <t>Vargas, Miguel</t>
  </si>
  <si>
    <t>Soderstrom, Tyler</t>
  </si>
  <si>
    <t>Harper, Bryce</t>
  </si>
  <si>
    <t>Robert Jr., Luis</t>
  </si>
  <si>
    <t>Rooker, Brent</t>
  </si>
  <si>
    <t>Tovar, Ezequiel</t>
  </si>
  <si>
    <t>Varsho, Daulton</t>
  </si>
  <si>
    <t>Alonso, Pete</t>
  </si>
  <si>
    <t>Stott, Bryson</t>
  </si>
  <si>
    <t>De La Cruz, Elly</t>
  </si>
  <si>
    <t>Adell, Jo</t>
  </si>
  <si>
    <t>Larnach, Trevor</t>
  </si>
  <si>
    <t>Carroll, Corbin</t>
  </si>
  <si>
    <t>Ramos, Heliot</t>
  </si>
  <si>
    <t>Raley, Luke</t>
  </si>
  <si>
    <t>Turner, Trea</t>
  </si>
  <si>
    <t>Stowers, Kyle</t>
  </si>
  <si>
    <t>Betts, Mookie</t>
  </si>
  <si>
    <t>Gonzales, Nick</t>
  </si>
  <si>
    <t>Diaz, Yainer</t>
  </si>
  <si>
    <t>Pederson, Joc</t>
  </si>
  <si>
    <t>Happ, Ian</t>
  </si>
  <si>
    <t>Crews, Dylan</t>
  </si>
  <si>
    <t>Pasquantino, Vinnie</t>
  </si>
  <si>
    <t>Benson, Will</t>
  </si>
  <si>
    <t>Arias, Gabriel</t>
  </si>
  <si>
    <t>Contreras, Willson</t>
  </si>
  <si>
    <t>Baldwin, Brooks</t>
  </si>
  <si>
    <t>First Pick</t>
  </si>
  <si>
    <t>Back Up</t>
  </si>
  <si>
    <t>Back Up 2</t>
  </si>
  <si>
    <t>Ideal Round</t>
  </si>
  <si>
    <t>High Round</t>
  </si>
  <si>
    <t>Low Round</t>
  </si>
  <si>
    <t>Target</t>
  </si>
  <si>
    <t>Reach</t>
  </si>
  <si>
    <t>Fallback</t>
  </si>
  <si>
    <t>c</t>
  </si>
  <si>
    <t>1b</t>
  </si>
  <si>
    <t>2b</t>
  </si>
  <si>
    <t>ss</t>
  </si>
  <si>
    <t>Matt McLain</t>
  </si>
  <si>
    <t>3b</t>
  </si>
  <si>
    <t>of</t>
  </si>
  <si>
    <t>Spencer Strider</t>
  </si>
  <si>
    <t>util</t>
  </si>
  <si>
    <t>sp</t>
  </si>
  <si>
    <t>Jordan Romano</t>
  </si>
  <si>
    <t>Jackson Jobe</t>
  </si>
  <si>
    <t>rp</t>
  </si>
  <si>
    <t>p</t>
  </si>
  <si>
    <t>Also consider</t>
  </si>
  <si>
    <t>Position</t>
  </si>
  <si>
    <t>BABIP_Expectation_Batter</t>
  </si>
  <si>
    <t>BABIP_Expectation_Pitcher</t>
  </si>
  <si>
    <t>Regression</t>
  </si>
  <si>
    <t>Dedniel Nunez</t>
  </si>
  <si>
    <t>Andres Munoz</t>
  </si>
  <si>
    <t>Joe Jimenez</t>
  </si>
  <si>
    <t>MJ Melendez Jr.</t>
  </si>
  <si>
    <t>Edwin Diaz</t>
  </si>
  <si>
    <t>Lile, Daylen</t>
  </si>
  <si>
    <t>Rice, Ben</t>
  </si>
  <si>
    <t>Langeliers, Shea</t>
  </si>
  <si>
    <t>Moniak, Mickey</t>
  </si>
  <si>
    <t>Bell, Josh</t>
  </si>
  <si>
    <t>Aranda, Jonathan</t>
  </si>
  <si>
    <t>Anthony, Roman</t>
  </si>
  <si>
    <t>Story, Trevor</t>
  </si>
  <si>
    <t>Kurtz, Nick</t>
  </si>
  <si>
    <t>Triolo, Jared</t>
  </si>
  <si>
    <t>Springer, George</t>
  </si>
  <si>
    <t>Taylor, Tyrone</t>
  </si>
  <si>
    <t>Barger, Addison</t>
  </si>
  <si>
    <t>Swanson, Dansby</t>
  </si>
  <si>
    <t>Bauers, Jake</t>
  </si>
  <si>
    <t>Vaughn, Andrew</t>
  </si>
  <si>
    <t>Clement, Ernie</t>
  </si>
  <si>
    <t>Canzone, Dominic</t>
  </si>
  <si>
    <t>Kepler, Max</t>
  </si>
  <si>
    <t>Suzuki, Seiya</t>
  </si>
  <si>
    <t>O'Neill, Tyler</t>
  </si>
  <si>
    <t>Burger, Jake</t>
  </si>
  <si>
    <t>Caglianone, Jac</t>
  </si>
  <si>
    <t>Straw, Myles</t>
  </si>
  <si>
    <t>Abreu, Wilyer</t>
  </si>
  <si>
    <t>Freeman, Tyler</t>
  </si>
  <si>
    <t>Freeman, Freddie</t>
  </si>
  <si>
    <t>Goldschmidt, Paul</t>
  </si>
  <si>
    <t>Nimmo, Brandon</t>
  </si>
  <si>
    <t>Baldwin, Drake</t>
  </si>
  <si>
    <t>Clemens, Kody</t>
  </si>
  <si>
    <t>Busch, Michael</t>
  </si>
  <si>
    <t>Kemp, Otto</t>
  </si>
  <si>
    <t>Alexander, Blaze</t>
  </si>
  <si>
    <t>Polanco, Jorge</t>
  </si>
  <si>
    <t>Walker, Jordan</t>
  </si>
  <si>
    <t>Mullins, Cedric</t>
  </si>
  <si>
    <t>Kelly, Carson</t>
  </si>
  <si>
    <t>Turang, Brice</t>
  </si>
  <si>
    <t>Holliday, Jackson</t>
  </si>
  <si>
    <t>Burleson, Alec</t>
  </si>
  <si>
    <t>Goodman, Hunter</t>
  </si>
  <si>
    <t>Pham, Tommy</t>
  </si>
  <si>
    <t>Kirk, Alejandro</t>
  </si>
  <si>
    <t>Lewis, Royce</t>
  </si>
  <si>
    <t>Bellinger, Cody</t>
  </si>
  <si>
    <t>Greene, Riley</t>
  </si>
  <si>
    <t>Shaw, Matt</t>
  </si>
  <si>
    <t>Baty, Brett</t>
  </si>
  <si>
    <t>Raleigh, Cal</t>
  </si>
  <si>
    <t>O'Hearn, Ryan</t>
  </si>
  <si>
    <t>Wagaman, Eric</t>
  </si>
  <si>
    <t>Mountcastle, Ryan</t>
  </si>
  <si>
    <t>McCutchen, Andrew</t>
  </si>
  <si>
    <t>Rutschman, Adley</t>
  </si>
  <si>
    <t>Sheets, Gavin</t>
  </si>
  <si>
    <t>Carter, Evan</t>
  </si>
  <si>
    <t>McLain, Matt</t>
  </si>
  <si>
    <t>Profar, Jurickson</t>
  </si>
  <si>
    <t>Naylor, Bo</t>
  </si>
  <si>
    <t>Realmuto, J.T.</t>
  </si>
  <si>
    <t>Correa, Carlos</t>
  </si>
  <si>
    <t>Yastrzemski, Mike</t>
  </si>
  <si>
    <t>Dingler, Dillon</t>
  </si>
  <si>
    <t>Massey, Michael</t>
  </si>
  <si>
    <t>Hoerner, Nico</t>
  </si>
  <si>
    <t>Arozarena, Randy</t>
  </si>
  <si>
    <t>Yoshida, Masataka</t>
  </si>
  <si>
    <t>Wade Jr., LaMonte</t>
  </si>
  <si>
    <t>Rafaela, Ceddanne</t>
  </si>
  <si>
    <t>Muncy, Max</t>
  </si>
  <si>
    <t>House, Brady</t>
  </si>
  <si>
    <t>Thomas, Alek</t>
  </si>
  <si>
    <t>Morel, Christopher</t>
  </si>
  <si>
    <t>Collins, Isaac</t>
  </si>
  <si>
    <t>Smith, Will</t>
  </si>
  <si>
    <t>Torrens, Luis</t>
  </si>
  <si>
    <t>Bichette, Bo</t>
  </si>
  <si>
    <t>Bohm, Alec</t>
  </si>
  <si>
    <t>France, Ty</t>
  </si>
  <si>
    <t>Vientos, Mark</t>
  </si>
  <si>
    <t>Ortiz, Joey</t>
  </si>
  <si>
    <t>Frelick, Sal</t>
  </si>
  <si>
    <t>great_season_probability</t>
  </si>
  <si>
    <t>Acuna Jr., Ronald</t>
  </si>
  <si>
    <t>Diaz, Yandy</t>
  </si>
  <si>
    <t>Ramirez, Agustin</t>
  </si>
  <si>
    <t>Laureano, Ramon</t>
  </si>
  <si>
    <t>Ramirez, Jose</t>
  </si>
  <si>
    <t>Herrera, Ivan</t>
  </si>
  <si>
    <t>Hernandez, Heriberto</t>
  </si>
  <si>
    <t>Dominguez, Jasson</t>
  </si>
  <si>
    <t>Sanchez, Jesus</t>
  </si>
  <si>
    <t>Perez, Wenceel</t>
  </si>
  <si>
    <t>Pena, Jeremy</t>
  </si>
  <si>
    <t>Garcia Jr., Luis</t>
  </si>
  <si>
    <t>Hernandez, Teoscar</t>
  </si>
  <si>
    <t>Nick Kurtz</t>
  </si>
  <si>
    <t>Roman Anthony</t>
  </si>
  <si>
    <t>Drake Baldwin</t>
  </si>
  <si>
    <t>Luke Keaschall</t>
  </si>
  <si>
    <t>Jakob Marsee</t>
  </si>
  <si>
    <t>P</t>
  </si>
  <si>
    <t>Chandler Simpson</t>
  </si>
  <si>
    <t>Samuel Basallo</t>
  </si>
  <si>
    <t>Kyle Teel</t>
  </si>
  <si>
    <t>Sal Stewart</t>
  </si>
  <si>
    <t>Daylen Lile</t>
  </si>
  <si>
    <t>Jac Caglianone</t>
  </si>
  <si>
    <t>Colson Montgomery</t>
  </si>
  <si>
    <t>Caleb Durbin</t>
  </si>
  <si>
    <t>Matt Shaw</t>
  </si>
  <si>
    <t>Cam Smith</t>
  </si>
  <si>
    <t>Jordan Lawlar</t>
  </si>
  <si>
    <t>Dylan Beavers</t>
  </si>
  <si>
    <t>Carlos Narváez</t>
  </si>
  <si>
    <t>Chase Meidroth</t>
  </si>
  <si>
    <t>Edgar Quero</t>
  </si>
  <si>
    <t>1B/3B/SS</t>
  </si>
  <si>
    <t>Moisés Ballesteros</t>
  </si>
  <si>
    <t>Owen Caissie</t>
  </si>
  <si>
    <t>Marcelo Mayer</t>
  </si>
  <si>
    <t>Jake Mangum</t>
  </si>
  <si>
    <t>Harry Ford</t>
  </si>
  <si>
    <t>Jacob Melton</t>
  </si>
  <si>
    <t>Brady House</t>
  </si>
  <si>
    <t>Hyeseong Kim</t>
  </si>
  <si>
    <t>Denzel Clarke</t>
  </si>
  <si>
    <t>Liam Hicks</t>
  </si>
  <si>
    <t>Yohel Pozo</t>
  </si>
  <si>
    <t>Carter Jensen</t>
  </si>
  <si>
    <t>Dalton Rushing</t>
  </si>
  <si>
    <t>Braxton Fulford</t>
  </si>
  <si>
    <t>C/1B/2B/OF/DH</t>
  </si>
  <si>
    <t>C/OF/DH</t>
  </si>
  <si>
    <t>Willie MacIver</t>
  </si>
  <si>
    <t>J.C. Escarra</t>
  </si>
  <si>
    <t>Brian Navarreto</t>
  </si>
  <si>
    <t>Jorge Alfaro</t>
  </si>
  <si>
    <t>Tyler Tolbert</t>
  </si>
  <si>
    <t>Sebastián Rivero</t>
  </si>
  <si>
    <t>Otto Kemp</t>
  </si>
  <si>
    <t>Ben Williamson</t>
  </si>
  <si>
    <t>Christian Koss</t>
  </si>
  <si>
    <t>Dom Nuñez</t>
  </si>
  <si>
    <t>Sandy León</t>
  </si>
  <si>
    <t>Hayden Senger</t>
  </si>
  <si>
    <t>Logan Porter</t>
  </si>
  <si>
    <t>Endy Rodríguez</t>
  </si>
  <si>
    <t>C.J. Stubbs</t>
  </si>
  <si>
    <t>Rafael Flores Jr.</t>
  </si>
  <si>
    <t>Austin Nola</t>
  </si>
  <si>
    <t>Will Banfield</t>
  </si>
  <si>
    <t>Jimmy Crooks</t>
  </si>
  <si>
    <t>Jeremiah Jackson</t>
  </si>
  <si>
    <t>Tim Tawa</t>
  </si>
  <si>
    <t>Maverick Handley</t>
  </si>
  <si>
    <t>Colby Thomas</t>
  </si>
  <si>
    <t>Kristian Campbell</t>
  </si>
  <si>
    <t>Nate Eaton</t>
  </si>
  <si>
    <t>CJ Kayfus</t>
  </si>
  <si>
    <t>Carlos Cortes</t>
  </si>
  <si>
    <t>Robert Hassell III</t>
  </si>
  <si>
    <t>Troy Johnston</t>
  </si>
  <si>
    <t>Ryan Ritter</t>
  </si>
  <si>
    <t>Cole Young</t>
  </si>
  <si>
    <t>Christian Moore</t>
  </si>
  <si>
    <t>Ronny Mauricio</t>
  </si>
  <si>
    <t>John Rave</t>
  </si>
  <si>
    <t>1B/SS</t>
  </si>
  <si>
    <t>Warming Bernabel</t>
  </si>
  <si>
    <t>Zach Cole</t>
  </si>
  <si>
    <t>Cody Freeman</t>
  </si>
  <si>
    <t>1B/2B/OF/DH</t>
  </si>
  <si>
    <t>Alejandro Osuna</t>
  </si>
  <si>
    <t>Yanquiel Fernández</t>
  </si>
  <si>
    <t>Matthew Lugo</t>
  </si>
  <si>
    <t>Ryan Fitzgerald</t>
  </si>
  <si>
    <t>Blaine Crim</t>
  </si>
  <si>
    <t>Kyle Karros</t>
  </si>
  <si>
    <t>Drew Gilbert</t>
  </si>
  <si>
    <t>Carson Williams</t>
  </si>
  <si>
    <t>Brice Matthews</t>
  </si>
  <si>
    <t>Alan Roden</t>
  </si>
  <si>
    <t>Johnathan Rodríguez</t>
  </si>
  <si>
    <t>Ronny Simon</t>
  </si>
  <si>
    <t>Jared Young</t>
  </si>
  <si>
    <t>George Valera</t>
  </si>
  <si>
    <t>Daniel Johnson</t>
  </si>
  <si>
    <t>Nathan Church</t>
  </si>
  <si>
    <t>Maximo Acosta</t>
  </si>
  <si>
    <t>Alex Freeland</t>
  </si>
  <si>
    <t>Victor Mesa Jr.</t>
  </si>
  <si>
    <t>Everson Pereira</t>
  </si>
  <si>
    <t>Bob Seymour</t>
  </si>
  <si>
    <t>Anthony Seigler</t>
  </si>
  <si>
    <t>Petey Halpin</t>
  </si>
  <si>
    <t>Tim Elko</t>
  </si>
  <si>
    <t>Matt Gorski</t>
  </si>
  <si>
    <t>Denzer Guzman</t>
  </si>
  <si>
    <t>Luis Vázquez</t>
  </si>
  <si>
    <t>Jorbit Vivas</t>
  </si>
  <si>
    <t>Will Wilson</t>
  </si>
  <si>
    <t>Logan Davidson</t>
  </si>
  <si>
    <t>Rhylan Thomas</t>
  </si>
  <si>
    <t>Jack Winkler</t>
  </si>
  <si>
    <t>Oscar Gonzalez</t>
  </si>
  <si>
    <t>José Barrero</t>
  </si>
  <si>
    <t>Justin Dean</t>
  </si>
  <si>
    <t>Tyler Callihan</t>
  </si>
  <si>
    <t>Coco Montes</t>
  </si>
  <si>
    <t>Gage Workman</t>
  </si>
  <si>
    <t>Drew Avans</t>
  </si>
  <si>
    <t>César Prieto</t>
  </si>
  <si>
    <t>Vimael Machín</t>
  </si>
  <si>
    <t>Kenedy Corona</t>
  </si>
  <si>
    <t>Chad Stevens</t>
  </si>
  <si>
    <t>Connor Kaiser</t>
  </si>
  <si>
    <t>Jhostynxon Garcia</t>
  </si>
  <si>
    <t>Zac Veen</t>
  </si>
  <si>
    <t>Scott Kingery</t>
  </si>
  <si>
    <t>Carter Kieboom</t>
  </si>
  <si>
    <t>Nick Solak</t>
  </si>
  <si>
    <t>Sergio Alcántara</t>
  </si>
  <si>
    <t>Carson McCusker</t>
  </si>
  <si>
    <t>Tirso Ornelas</t>
  </si>
  <si>
    <t>David Bañuelos</t>
  </si>
  <si>
    <t>Tsung-Che Cheng</t>
  </si>
  <si>
    <t>Will Robertson</t>
  </si>
  <si>
    <t>Greg Allen</t>
  </si>
  <si>
    <t>Tristan Peters</t>
  </si>
  <si>
    <t>Bryce Eldridge</t>
  </si>
  <si>
    <t>Cam Devanney</t>
  </si>
  <si>
    <t>Tristin English</t>
  </si>
  <si>
    <t>Ronald Acuna Jr.</t>
  </si>
  <si>
    <t>Rodriguez, Julio</t>
  </si>
  <si>
    <t>Agustin Ramirez</t>
  </si>
  <si>
    <t>Jeremy Pena</t>
  </si>
  <si>
    <t>Eugenio Suarez</t>
  </si>
  <si>
    <t>Teoscar Hernandez</t>
  </si>
  <si>
    <t>Ivan Herrera</t>
  </si>
  <si>
    <t>Luis Garcia Jr.</t>
  </si>
  <si>
    <t>Jesus Sanchez</t>
  </si>
  <si>
    <t>Lodolo, Nick</t>
  </si>
  <si>
    <t>deGrom, Jacob</t>
  </si>
  <si>
    <t>Bubic, Kris</t>
  </si>
  <si>
    <t>Yamamoto, Yoshinobu</t>
  </si>
  <si>
    <t>Schwellenbach, Spencer</t>
  </si>
  <si>
    <t>Baz, Shane</t>
  </si>
  <si>
    <t>Rogers, Trevor</t>
  </si>
  <si>
    <t>Cabrera, Edward</t>
  </si>
  <si>
    <t>Horton, Cade</t>
  </si>
  <si>
    <t>Brown, Ben</t>
  </si>
  <si>
    <t>Boyd, Matthew</t>
  </si>
  <si>
    <t>Gallen, Zac</t>
  </si>
  <si>
    <t>Kelly, Merrill</t>
  </si>
  <si>
    <t>Senga, Kodai</t>
  </si>
  <si>
    <t>Kremer, Dean</t>
  </si>
  <si>
    <t>Mize, Casey</t>
  </si>
  <si>
    <t>Smith, Shane</t>
  </si>
  <si>
    <t>Verlander, Justin</t>
  </si>
  <si>
    <t>Strider, Spencer</t>
  </si>
  <si>
    <t>Peterson, David</t>
  </si>
  <si>
    <t>Lauer, Eric</t>
  </si>
  <si>
    <t>Cameron, Noah</t>
  </si>
  <si>
    <t>Sanchez, Cristopher</t>
  </si>
  <si>
    <t>Jacob deGrom</t>
  </si>
  <si>
    <t>Devin Williams</t>
  </si>
  <si>
    <t>Eury Pérez</t>
  </si>
  <si>
    <t>Nolan McLean</t>
  </si>
  <si>
    <t>Chase Burns</t>
  </si>
  <si>
    <t>Brandon Woodruff</t>
  </si>
  <si>
    <t>Emmet Sheehan</t>
  </si>
  <si>
    <t>Daniel Palencia</t>
  </si>
  <si>
    <t>Jacob Misiorowski</t>
  </si>
  <si>
    <t>Cam Schlittler</t>
  </si>
  <si>
    <t>Trey Yesavage</t>
  </si>
  <si>
    <t>Bubba Chandler</t>
  </si>
  <si>
    <t>Sandy Alcantara</t>
  </si>
  <si>
    <t>Abner Uribe</t>
  </si>
  <si>
    <t>Cade Horton</t>
  </si>
  <si>
    <t>Kris Bubic</t>
  </si>
  <si>
    <t>Roki Sasaki</t>
  </si>
  <si>
    <t>Shane Bieber</t>
  </si>
  <si>
    <t>Riley O'Brien</t>
  </si>
  <si>
    <t>Shane Smith</t>
  </si>
  <si>
    <t>Kodai Senga</t>
  </si>
  <si>
    <t>Logan Henderson</t>
  </si>
  <si>
    <t>Connelly Early</t>
  </si>
  <si>
    <t>Braxton Ashcraft</t>
  </si>
  <si>
    <t>Noah Cameron</t>
  </si>
  <si>
    <t>Mike Burrows</t>
  </si>
  <si>
    <t>Parker Messick</t>
  </si>
  <si>
    <t>Clayton Beeter</t>
  </si>
  <si>
    <t>Ian Seymour</t>
  </si>
  <si>
    <t>Chad Patrick</t>
  </si>
  <si>
    <t>Tyler Mahle</t>
  </si>
  <si>
    <t>Cade Cavalli</t>
  </si>
  <si>
    <t>Robert Stephenson</t>
  </si>
  <si>
    <t>Troy Melton</t>
  </si>
  <si>
    <t>Will Warren</t>
  </si>
  <si>
    <t>Hurston Waldrep</t>
  </si>
  <si>
    <t>Justin Sterner</t>
  </si>
  <si>
    <t>Jacob Lopez</t>
  </si>
  <si>
    <t>Grant Taylor</t>
  </si>
  <si>
    <t>Cristian Javier</t>
  </si>
  <si>
    <t>Jonah Tong</t>
  </si>
  <si>
    <t>Jordan Leasure</t>
  </si>
  <si>
    <t>Lucas Giolito</t>
  </si>
  <si>
    <t>Johan Oviedo</t>
  </si>
  <si>
    <t>Tony Santillan</t>
  </si>
  <si>
    <t>Payton Tolle</t>
  </si>
  <si>
    <t>Luis Morales</t>
  </si>
  <si>
    <t>Dustin May</t>
  </si>
  <si>
    <t>Garrett Whitlock</t>
  </si>
  <si>
    <t>Matt Svanson</t>
  </si>
  <si>
    <t>Ben Joyce</t>
  </si>
  <si>
    <t>Seth Halvorsen</t>
  </si>
  <si>
    <t>Andrew Saalfrank</t>
  </si>
  <si>
    <t>Mick Abel</t>
  </si>
  <si>
    <t>Kumar Rocker</t>
  </si>
  <si>
    <t>Jeffrey Springs</t>
  </si>
  <si>
    <t>Chase Dollander</t>
  </si>
  <si>
    <t>Ronny Henriquez</t>
  </si>
  <si>
    <t>Jose A. Ferrer</t>
  </si>
  <si>
    <t>Drey Jameson</t>
  </si>
  <si>
    <t>Tyler Wells</t>
  </si>
  <si>
    <t>Matt Brash</t>
  </si>
  <si>
    <t>Eric Lauer</t>
  </si>
  <si>
    <t>Clayton Kershaw</t>
  </si>
  <si>
    <t>Jack Dreyer</t>
  </si>
  <si>
    <t>Brandon Walter</t>
  </si>
  <si>
    <t>Janson Junk</t>
  </si>
  <si>
    <t>Sean Newcomb</t>
  </si>
  <si>
    <t>Gabe Speier</t>
  </si>
  <si>
    <t>Tyler Gilbert</t>
  </si>
  <si>
    <t>Braydon Fisher</t>
  </si>
  <si>
    <t>Aaron Ashby</t>
  </si>
  <si>
    <t>Bryan King</t>
  </si>
  <si>
    <t>Trevor McDonald</t>
  </si>
  <si>
    <t>Andrew Alvarez</t>
  </si>
  <si>
    <t>Michael McGreevy</t>
  </si>
  <si>
    <t>Ryan Bergert</t>
  </si>
  <si>
    <t>Bennett Sousa</t>
  </si>
  <si>
    <t>Mike Vasil</t>
  </si>
  <si>
    <t>Félix Bautista</t>
  </si>
  <si>
    <t>Luis Garcia</t>
  </si>
  <si>
    <t>Hunter Dobbins</t>
  </si>
  <si>
    <t>AJ Smith-Shawver</t>
  </si>
  <si>
    <t>Nabil Crismatt</t>
  </si>
  <si>
    <t>Lake Bachar</t>
  </si>
  <si>
    <t>Logan Evans</t>
  </si>
  <si>
    <t>Luis Ortiz</t>
  </si>
  <si>
    <t>José De León</t>
  </si>
  <si>
    <t>AJ Blubaugh</t>
  </si>
  <si>
    <t>Tony Gonsolin</t>
  </si>
  <si>
    <t>Brad Lord</t>
  </si>
  <si>
    <t>Drew Pomeranz</t>
  </si>
  <si>
    <t>Kyle Hart</t>
  </si>
  <si>
    <t>Robert Gasser</t>
  </si>
  <si>
    <t>Connor Phillips</t>
  </si>
  <si>
    <t>Carson Whisenhunt</t>
  </si>
  <si>
    <t>Brandon Sproat</t>
  </si>
  <si>
    <t>Richard Fitts</t>
  </si>
  <si>
    <t>Jimmy Herget</t>
  </si>
  <si>
    <t>Bryan Baker</t>
  </si>
  <si>
    <t>Brock Burke</t>
  </si>
  <si>
    <t>Tomoyuki Sugano</t>
  </si>
  <si>
    <t>Jason Alexander</t>
  </si>
  <si>
    <t>Davis Daniel</t>
  </si>
  <si>
    <t>Taylor Clarke</t>
  </si>
  <si>
    <t>Bruce Zimmermann</t>
  </si>
  <si>
    <t>Easton Lucas</t>
  </si>
  <si>
    <t>Brooks Raley</t>
  </si>
  <si>
    <t>Isaac Mattson</t>
  </si>
  <si>
    <t>Cade Gibson</t>
  </si>
  <si>
    <t>J.T. Ginn</t>
  </si>
  <si>
    <t>Rich Hill</t>
  </si>
  <si>
    <t>Cole Winn</t>
  </si>
  <si>
    <t>Danny Coulombe</t>
  </si>
  <si>
    <t>Wade Miley</t>
  </si>
  <si>
    <t>Matt Festa</t>
  </si>
  <si>
    <t>Yoendrys Gómez</t>
  </si>
  <si>
    <t>Tommy Nance</t>
  </si>
  <si>
    <t>Kai-Wei Teng</t>
  </si>
  <si>
    <t>Doug Nikhazy</t>
  </si>
  <si>
    <t>Mitch Farris</t>
  </si>
  <si>
    <t>Colton Gordon</t>
  </si>
  <si>
    <t>Sean Burke</t>
  </si>
  <si>
    <t>Mason Fluharty</t>
  </si>
  <si>
    <t>Nic Enright</t>
  </si>
  <si>
    <t>Chase Shugart</t>
  </si>
  <si>
    <t>Adam Mazur</t>
  </si>
  <si>
    <t>Luis F. Castillo</t>
  </si>
  <si>
    <t>Kolby Allard</t>
  </si>
  <si>
    <t>Joel Peguero</t>
  </si>
  <si>
    <t>Brock Stewart</t>
  </si>
  <si>
    <t>John Curtiss</t>
  </si>
  <si>
    <t>Chase Lee</t>
  </si>
  <si>
    <t>Michael Kelly</t>
  </si>
  <si>
    <t>Mason Barnett</t>
  </si>
  <si>
    <t>Grant Anderson</t>
  </si>
  <si>
    <t>Max Kranick</t>
  </si>
  <si>
    <t>Chris Murphy</t>
  </si>
  <si>
    <t>David Morgan</t>
  </si>
  <si>
    <t>Victor Mederos</t>
  </si>
  <si>
    <t>Ben Casparius</t>
  </si>
  <si>
    <t>Erik Sabrowski</t>
  </si>
  <si>
    <t>Jack Perkins</t>
  </si>
  <si>
    <t>Cole Sulser</t>
  </si>
  <si>
    <t>Edgardo Henriquez</t>
  </si>
  <si>
    <t>Caden Dana</t>
  </si>
  <si>
    <t>Gunnar Hoglund</t>
  </si>
  <si>
    <t>Luinder Avila</t>
  </si>
  <si>
    <t>Dylan Dodd</t>
  </si>
  <si>
    <t>Rob Zastryzny</t>
  </si>
  <si>
    <t>Steven Cruz</t>
  </si>
  <si>
    <t>Sam Aldegheri</t>
  </si>
  <si>
    <t>Kade Strowd</t>
  </si>
  <si>
    <t>Brenan Hanifee</t>
  </si>
  <si>
    <t>Steven Wilson</t>
  </si>
  <si>
    <t>Dylan Smith</t>
  </si>
  <si>
    <t>Blade Tidwell</t>
  </si>
  <si>
    <t>Ryan Zeferjahn</t>
  </si>
  <si>
    <t>Freddy Tarnok</t>
  </si>
  <si>
    <t>Juan Mejia</t>
  </si>
  <si>
    <t>Austin Warren</t>
  </si>
  <si>
    <t>Dan Altavilla</t>
  </si>
  <si>
    <t>Ryan Gusto</t>
  </si>
  <si>
    <t>Kody Funderburk</t>
  </si>
  <si>
    <t>Brent Headrick</t>
  </si>
  <si>
    <t>Wikelman González</t>
  </si>
  <si>
    <t>Eric Orze</t>
  </si>
  <si>
    <t>Bradgley Rodriguez</t>
  </si>
  <si>
    <t>Chris Devenski</t>
  </si>
  <si>
    <t>Elvis Alvarado</t>
  </si>
  <si>
    <t>Ron Marinaccio</t>
  </si>
  <si>
    <t>Cristian Mena</t>
  </si>
  <si>
    <t>Daysbel Hernández</t>
  </si>
  <si>
    <t>Cody Laweryson</t>
  </si>
  <si>
    <t>Rico Garcia</t>
  </si>
  <si>
    <t>Dietrich Enns</t>
  </si>
  <si>
    <t>Carlos Vargas</t>
  </si>
  <si>
    <t>Jonathan Bowlan</t>
  </si>
  <si>
    <t>Tanner Gordon</t>
  </si>
  <si>
    <t>Jackson Kowar</t>
  </si>
  <si>
    <t>Hunter Barco</t>
  </si>
  <si>
    <t>Chase Petty</t>
  </si>
  <si>
    <t>J.P. France</t>
  </si>
  <si>
    <t>Hunter Bigge</t>
  </si>
  <si>
    <t>Ryan Burr</t>
  </si>
  <si>
    <t>PJ Poulin</t>
  </si>
  <si>
    <t>McCade Brown</t>
  </si>
  <si>
    <t>Jaden Hill</t>
  </si>
  <si>
    <t>Will Klein</t>
  </si>
  <si>
    <t>José Fermin</t>
  </si>
  <si>
    <t>Zach Thompson</t>
  </si>
  <si>
    <t>Jose Espada</t>
  </si>
  <si>
    <t>Jayden Murray</t>
  </si>
  <si>
    <t>Seth Johnson</t>
  </si>
  <si>
    <t>Connor Gillispie</t>
  </si>
  <si>
    <t>Erasmo Ramírez</t>
  </si>
  <si>
    <t>Lou Trivino</t>
  </si>
  <si>
    <t>Dauri Moreta</t>
  </si>
  <si>
    <t>Julian Fernández</t>
  </si>
  <si>
    <t>Konnor Pilkington</t>
  </si>
  <si>
    <t>Grant Holman</t>
  </si>
  <si>
    <t>Joey Gerber</t>
  </si>
  <si>
    <t>Chase Silseth</t>
  </si>
  <si>
    <t>Evan Sisk</t>
  </si>
  <si>
    <t>Christian Montes De Oca</t>
  </si>
  <si>
    <t>Joe Rock</t>
  </si>
  <si>
    <t>Nick Burdi</t>
  </si>
  <si>
    <t>Randy Dobnak</t>
  </si>
  <si>
    <t>Tristan Beck</t>
  </si>
  <si>
    <t>Luis Mey</t>
  </si>
  <si>
    <t>Mason Englert</t>
  </si>
  <si>
    <t>Nick Raquet</t>
  </si>
  <si>
    <t>Christian Roa</t>
  </si>
  <si>
    <t>Tom Cosgrove</t>
  </si>
  <si>
    <t>Colin Selby</t>
  </si>
  <si>
    <t>Randy Wynne</t>
  </si>
  <si>
    <t>Justin Hagenman</t>
  </si>
  <si>
    <t>Alan Rangel</t>
  </si>
  <si>
    <t>Didier Fuentes</t>
  </si>
  <si>
    <t>Jhonathan Díaz</t>
  </si>
  <si>
    <t>Ty Adcock</t>
  </si>
  <si>
    <t>Bailey Horn</t>
  </si>
  <si>
    <t>Austin Pope</t>
  </si>
  <si>
    <t>Joey Lucchesi</t>
  </si>
  <si>
    <t>Kevin Herget</t>
  </si>
  <si>
    <t>Yosver Zulueta</t>
  </si>
  <si>
    <t>Casey Kelly</t>
  </si>
  <si>
    <t>Carl Edwards Jr.</t>
  </si>
  <si>
    <t>José Quijada</t>
  </si>
  <si>
    <t>Garrett Acton</t>
  </si>
  <si>
    <t>Reiver Sanmartin</t>
  </si>
  <si>
    <t>Taylor Rashi</t>
  </si>
  <si>
    <t>Brady Basso</t>
  </si>
  <si>
    <t>JT Brubaker</t>
  </si>
  <si>
    <t>Lucas Gilbreath</t>
  </si>
  <si>
    <t>Brandon Waddell</t>
  </si>
  <si>
    <t>Sauryn Lao</t>
  </si>
  <si>
    <t>Fraser Ellard</t>
  </si>
  <si>
    <t>Andre Granillo</t>
  </si>
  <si>
    <t>Dugan Darnell</t>
  </si>
  <si>
    <t>Ethan Roberts</t>
  </si>
  <si>
    <t>Alex Lange</t>
  </si>
  <si>
    <t>Kaleb Ort</t>
  </si>
  <si>
    <t>Logan Gillaspie</t>
  </si>
  <si>
    <t>John Rooney</t>
  </si>
  <si>
    <t>Dom Hamel</t>
  </si>
  <si>
    <t>Zach Maxwell</t>
  </si>
  <si>
    <t>Dedniel Núñez</t>
  </si>
  <si>
    <t>Brandon Eisert</t>
  </si>
  <si>
    <t>Brian Van Belle</t>
  </si>
  <si>
    <t>Ryan Borucki</t>
  </si>
  <si>
    <t>Zak Kent</t>
  </si>
  <si>
    <t>Brandon Young</t>
  </si>
  <si>
    <t>Tyler Owens</t>
  </si>
  <si>
    <t>Brett de Geus</t>
  </si>
  <si>
    <t>Codi Heuer</t>
  </si>
  <si>
    <t>Angel Perdomo</t>
  </si>
  <si>
    <t>Michael Petersen</t>
  </si>
  <si>
    <t>Justin Topa</t>
  </si>
  <si>
    <t>Jack Little</t>
  </si>
  <si>
    <t>Ben Bowden</t>
  </si>
  <si>
    <t>Jesse Scholtens</t>
  </si>
  <si>
    <t>Andrew Walters</t>
  </si>
  <si>
    <t>Kyle Nelson</t>
  </si>
  <si>
    <t>Hayden Harris</t>
  </si>
  <si>
    <t>Anthony DeSclafani</t>
  </si>
  <si>
    <t>Matt Krook</t>
  </si>
  <si>
    <t>Caleb Freeman</t>
  </si>
  <si>
    <t>Michael Fulmer</t>
  </si>
  <si>
    <t>Omar Cruz</t>
  </si>
  <si>
    <t>Ryan Brasier</t>
  </si>
  <si>
    <t>Yaramil Hiraldo</t>
  </si>
  <si>
    <t>Luke Little</t>
  </si>
  <si>
    <t>Touki Toussaint</t>
  </si>
  <si>
    <t>Matt Gage</t>
  </si>
  <si>
    <t>Daniel Robert</t>
  </si>
  <si>
    <t>Luis Guerrero</t>
  </si>
  <si>
    <t>Justin Garza</t>
  </si>
  <si>
    <t>Philip Abner</t>
  </si>
  <si>
    <t>Paul Gervase</t>
  </si>
  <si>
    <t>Marc Church</t>
  </si>
  <si>
    <t>Connor Brogdon</t>
  </si>
  <si>
    <t>Luis Curvelo</t>
  </si>
  <si>
    <t>Jovani Morán</t>
  </si>
  <si>
    <t>Jake Palisch</t>
  </si>
  <si>
    <t>Casey Lawrence</t>
  </si>
  <si>
    <t>Cole Henry</t>
  </si>
  <si>
    <t>Paxton Schultz</t>
  </si>
  <si>
    <t>Michael Darrell-Hicks</t>
  </si>
  <si>
    <t>Cody Bolton</t>
  </si>
  <si>
    <t>Jake Eder</t>
  </si>
  <si>
    <t>Jayvien Sandridge</t>
  </si>
  <si>
    <t>Sean Guenther</t>
  </si>
  <si>
    <t>Kyle Backhus</t>
  </si>
  <si>
    <t>Robinson Piña</t>
  </si>
  <si>
    <t>José Castillo</t>
  </si>
  <si>
    <t>Blas Castaño</t>
  </si>
  <si>
    <t>Josh Walker</t>
  </si>
  <si>
    <t>Gavin Hollowell</t>
  </si>
  <si>
    <t>José Urquidy</t>
  </si>
  <si>
    <t>Connor Seabold</t>
  </si>
  <si>
    <t>Corbin Martin</t>
  </si>
  <si>
    <t>Jesse Hahn</t>
  </si>
  <si>
    <t>Yilber Díaz</t>
  </si>
  <si>
    <t>Max Lazar</t>
  </si>
  <si>
    <t>Jonathan Pintaro</t>
  </si>
  <si>
    <t>Jose Corniell</t>
  </si>
  <si>
    <t>Gregory Santos</t>
  </si>
  <si>
    <t>Nolan Hoffman</t>
  </si>
  <si>
    <t>Jeff Brigham</t>
  </si>
  <si>
    <t>Easton McGee</t>
  </si>
  <si>
    <t>Miguel Castro</t>
  </si>
  <si>
    <t>Nathan Wiles</t>
  </si>
  <si>
    <t>Yerry De los Santos</t>
  </si>
  <si>
    <t>Casey Legumina</t>
  </si>
  <si>
    <t>Lazaro Estrada</t>
  </si>
  <si>
    <t>Sam Bachman</t>
  </si>
  <si>
    <t>Lance McCullers Jr.</t>
  </si>
  <si>
    <t>Tyler Matzek</t>
  </si>
  <si>
    <t>Ian Gibaut</t>
  </si>
  <si>
    <t>Logan VanWey</t>
  </si>
  <si>
    <t>Jonathan Loáisiga</t>
  </si>
  <si>
    <t>Carson Seymour</t>
  </si>
  <si>
    <t>Anthony Misiewicz</t>
  </si>
  <si>
    <t>Carlos Duran</t>
  </si>
  <si>
    <t>Robert Stock</t>
  </si>
  <si>
    <t>Andrew Hoffmann</t>
  </si>
  <si>
    <t>Nick Hernandez</t>
  </si>
  <si>
    <t>Juan Burgos</t>
  </si>
  <si>
    <t>Liam Hendriks</t>
  </si>
  <si>
    <t>Luis Contreras</t>
  </si>
  <si>
    <t>Cole Wilcox</t>
  </si>
  <si>
    <t>Patrick Monteverde</t>
  </si>
  <si>
    <t>Sean Reynolds</t>
  </si>
  <si>
    <t>Rolddy Muñoz</t>
  </si>
  <si>
    <t>Grant Wolfram</t>
  </si>
  <si>
    <t>Anthony Veneziano</t>
  </si>
  <si>
    <t>Scott Blewett</t>
  </si>
  <si>
    <t>Carlos Rodriguez</t>
  </si>
  <si>
    <t>Isaiah Campbell</t>
  </si>
  <si>
    <t>Justin Bruihl</t>
  </si>
  <si>
    <t>Alex Carrillo</t>
  </si>
  <si>
    <t>Mike Clevinger</t>
  </si>
  <si>
    <t>Matt Sauer</t>
  </si>
  <si>
    <t>Cam Sanders</t>
  </si>
  <si>
    <t>J.P. Feyereisen</t>
  </si>
  <si>
    <t>Cody Poteet</t>
  </si>
  <si>
    <t>Eduarniel Núñez</t>
  </si>
  <si>
    <t>Craig Yoho</t>
  </si>
  <si>
    <t>Brandyn Garcia</t>
  </si>
  <si>
    <t>Scott McGough</t>
  </si>
  <si>
    <t>Michael Mercado</t>
  </si>
  <si>
    <t>Gerson Garabito</t>
  </si>
  <si>
    <t>Garrett McDaniels</t>
  </si>
  <si>
    <t>Richard Lovelady</t>
  </si>
  <si>
    <t>Allan Winans</t>
  </si>
  <si>
    <t>Juan Morillo</t>
  </si>
  <si>
    <t>Drew Sommers</t>
  </si>
  <si>
    <t>Pierson Ohl</t>
  </si>
  <si>
    <t>Alek Jacob</t>
  </si>
  <si>
    <t>Gordon Graceffo</t>
  </si>
  <si>
    <t>Ryan Johnson</t>
  </si>
  <si>
    <t>Carson Ragsdale</t>
  </si>
  <si>
    <t>Wander Suero</t>
  </si>
  <si>
    <t>Michel Otañez</t>
  </si>
  <si>
    <t>Owen White</t>
  </si>
  <si>
    <t>Sammy Peralta</t>
  </si>
  <si>
    <t>Anthony Maldonado</t>
  </si>
  <si>
    <t>Scott Effross</t>
  </si>
  <si>
    <t>Lyon Richardson</t>
  </si>
  <si>
    <t>Joe La Sorsa</t>
  </si>
  <si>
    <t>Penn Murfee</t>
  </si>
  <si>
    <t>Zach Agnos</t>
  </si>
  <si>
    <t>Julian Merryweather</t>
  </si>
  <si>
    <t>Shaun Anderson</t>
  </si>
  <si>
    <t>Matt Bowman</t>
  </si>
  <si>
    <t>Josh Simpson</t>
  </si>
  <si>
    <t>Geoff Hartlieb</t>
  </si>
  <si>
    <t>Troy Taylor</t>
  </si>
  <si>
    <t>Thomas Hatch</t>
  </si>
  <si>
    <t>Sawyer Gipson-Long</t>
  </si>
  <si>
    <t>Mason Montgomery</t>
  </si>
  <si>
    <t>Carson Palmquist</t>
  </si>
  <si>
    <t>Kendall Graveman</t>
  </si>
  <si>
    <t>Tyler Zuber</t>
  </si>
  <si>
    <t>Luarbert Arias</t>
  </si>
  <si>
    <t>Brooks Kriske</t>
  </si>
  <si>
    <t>Connor Thomas</t>
  </si>
  <si>
    <t>Chris Roycroft</t>
  </si>
  <si>
    <t>Ian Anderson</t>
  </si>
  <si>
    <t>Mason Thompson</t>
  </si>
  <si>
    <t>Orlando Ribalta</t>
  </si>
  <si>
    <t>Elvin Rodríguez</t>
  </si>
  <si>
    <t>Jake Woodford</t>
  </si>
  <si>
    <t>Caleb Boushley</t>
  </si>
  <si>
    <t>Jackson Rutledge</t>
  </si>
  <si>
    <t>Austin Cox</t>
  </si>
  <si>
    <t>Ryan Loutos</t>
  </si>
  <si>
    <t>Andry Lara</t>
  </si>
  <si>
    <t>Zach Brzykcy</t>
  </si>
  <si>
    <t>Shinnosuke Ogasawara</t>
  </si>
  <si>
    <t>Chayce McDermott</t>
  </si>
  <si>
    <t>Thomas Harrington</t>
  </si>
  <si>
    <t>Carlos Hernández</t>
  </si>
  <si>
    <t>Travis Adams</t>
  </si>
  <si>
    <t>Forrest Whitley</t>
  </si>
  <si>
    <t>Luis Peralta</t>
  </si>
  <si>
    <t>George Soriano</t>
  </si>
  <si>
    <t>Noah Davis</t>
  </si>
  <si>
    <t>Ryan Rolison</t>
  </si>
  <si>
    <t>Noah Murdock</t>
  </si>
  <si>
    <t>Eduardo Salazar</t>
  </si>
  <si>
    <t>Bradley Blalock</t>
  </si>
  <si>
    <t>Germán Márquez</t>
  </si>
  <si>
    <t>Antonio Senzatela</t>
  </si>
  <si>
    <t>Cristopher Sanchez</t>
  </si>
  <si>
    <t>Suarez, Ranger</t>
  </si>
  <si>
    <t>Luzardo, Jesus</t>
  </si>
  <si>
    <t>Rodon, Carlos</t>
  </si>
  <si>
    <t>Soriano, Jose</t>
  </si>
  <si>
    <t>Jose Soriano</t>
  </si>
  <si>
    <t>Ranger Suarez</t>
  </si>
  <si>
    <t>Jesus Luzardo</t>
  </si>
  <si>
    <t>Carlos Rodon</t>
  </si>
  <si>
    <t>Ramon Laureano</t>
  </si>
  <si>
    <t>Heriberto Hernandez</t>
  </si>
  <si>
    <t>Jasson Dominguez</t>
  </si>
  <si>
    <t>Garcia, Adolis</t>
  </si>
  <si>
    <t>Adolis Garcia</t>
  </si>
  <si>
    <t>Wenceel Perez</t>
  </si>
  <si>
    <t>Vlad Guerreo Jr</t>
  </si>
  <si>
    <t>Fernando Tatis Jr</t>
  </si>
  <si>
    <t>Back Up 3</t>
  </si>
  <si>
    <t>Jacob DeGrom</t>
  </si>
  <si>
    <t>Shea Langiliers</t>
  </si>
  <si>
    <t>Augustin Ramirez</t>
  </si>
  <si>
    <t>Ben Rice/Shea Langeliers</t>
  </si>
  <si>
    <t>Pete Alonso/Vlad Jr</t>
  </si>
  <si>
    <t>Matt Olson/Bryce Harper</t>
  </si>
  <si>
    <t>Marcus Seimen</t>
  </si>
  <si>
    <t>Jordan Westberg</t>
  </si>
  <si>
    <t>Julio Rodriguez/Fernando Tatis Jr.</t>
  </si>
  <si>
    <t>James Wood/Pete Crow-Armstrong</t>
  </si>
  <si>
    <t>Chris Sale/Jacob DeGrom/Bryan Woo</t>
  </si>
  <si>
    <t>Ezequiel Tovar/Konnor Griffin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</si>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</sst>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164" formatCode="#,##0%"/>
    <numFmt numFmtId="165" formatCode="#,##0.0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Aptos Narrow"/>
      <family val="2"/>
    </font>
    <font>
      <b/>
      <sz val="12"/>
      <color rgb="FFFFFFFF"/>
      <name val="Arial"/>
      <family val="2"/>
    </font>
    <font>
      <sz val="12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3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7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4" fontId="0" fillId="0" borderId="0" xfId="0" applyNumberFormat="1"/>
    <xf numFmtId="4" fontId="1" fillId="0" borderId="2" xfId="0" applyNumberFormat="1" applyFont="1" applyBorder="1" applyAlignment="1">
      <alignment horizontal="right"/>
    </xf>
    <xf numFmtId="3" fontId="1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3" fontId="2" fillId="0" borderId="2" xfId="0" applyNumberFormat="1" applyFont="1" applyBorder="1" applyAlignment="1">
      <alignment horizontal="left"/>
    </xf>
    <xf numFmtId="165" fontId="2" fillId="0" borderId="2" xfId="0" applyNumberFormat="1" applyFont="1" applyBorder="1" applyAlignment="1">
      <alignment horizontal="left"/>
    </xf>
    <xf numFmtId="165" fontId="0" fillId="0" borderId="0" xfId="0" applyNumberFormat="1" applyAlignment="1">
      <alignment horizontal="right"/>
    </xf>
    <xf numFmtId="165" fontId="1" fillId="0" borderId="2" xfId="0" applyNumberFormat="1" applyFont="1" applyBorder="1" applyAlignment="1">
      <alignment horizontal="right"/>
    </xf>
    <xf numFmtId="3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165" fontId="1" fillId="2" borderId="1" xfId="0" applyNumberFormat="1" applyFont="1" applyFill="1" applyBorder="1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0" xfId="1"/>
    <xf numFmtId="9" fontId="4" fillId="0" borderId="0" xfId="0" applyNumberFormat="1" applyFont="1"/>
    <xf numFmtId="8" fontId="4" fillId="0" borderId="0" xfId="0" applyNumberFormat="1" applyFont="1"/>
    <xf numFmtId="0" fontId="6" fillId="3" borderId="0" xfId="0" applyFont="1" applyFill="1"/>
    <xf numFmtId="165" fontId="0" fillId="4" borderId="0" xfId="0" applyNumberFormat="1" applyFill="1" applyAlignment="1">
      <alignment horizontal="right"/>
    </xf>
    <xf numFmtId="3" fontId="0" fillId="4" borderId="0" xfId="0" applyNumberFormat="1" applyFill="1" applyAlignment="1">
      <alignment horizontal="right"/>
    </xf>
    <xf numFmtId="0" fontId="0" fillId="0" borderId="0" xfId="0" applyFill="1"/>
    <xf numFmtId="3" fontId="1" fillId="0" borderId="2" xfId="0" applyNumberFormat="1" applyFont="1" applyFill="1" applyBorder="1" applyAlignment="1">
      <alignment horizontal="right"/>
    </xf>
    <xf numFmtId="165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fangraphs.com/teams/angels" TargetMode="External"/><Relationship Id="rId170" Type="http://schemas.openxmlformats.org/officeDocument/2006/relationships/hyperlink" Target="https://www.fangraphs.com/teams/athletics" TargetMode="External"/><Relationship Id="rId987" Type="http://schemas.openxmlformats.org/officeDocument/2006/relationships/hyperlink" Target="https://www.fangraphs.com/teams/blue-jays" TargetMode="External"/><Relationship Id="rId2668" Type="http://schemas.openxmlformats.org/officeDocument/2006/relationships/hyperlink" Target="https://www.fangraphs.com/players/alex-freeland/31665/stats" TargetMode="External"/><Relationship Id="rId2875" Type="http://schemas.openxmlformats.org/officeDocument/2006/relationships/hyperlink" Target="https://www.fangraphs.com/teams/athletics" TargetMode="External"/><Relationship Id="rId847" Type="http://schemas.openxmlformats.org/officeDocument/2006/relationships/hyperlink" Target="https://www.fangraphs.com/players/mark-leiter-jr/15551/stats" TargetMode="External"/><Relationship Id="rId1477" Type="http://schemas.openxmlformats.org/officeDocument/2006/relationships/hyperlink" Target="https://www.fangraphs.com/players/drew-millas/25643/stats" TargetMode="External"/><Relationship Id="rId1684" Type="http://schemas.openxmlformats.org/officeDocument/2006/relationships/hyperlink" Target="https://www.fangraphs.com/teams/tigers" TargetMode="External"/><Relationship Id="rId1891" Type="http://schemas.openxmlformats.org/officeDocument/2006/relationships/hyperlink" Target="https://www.fangraphs.com/players/jose-iglesias/10231/stats" TargetMode="External"/><Relationship Id="rId2528" Type="http://schemas.openxmlformats.org/officeDocument/2006/relationships/hyperlink" Target="https://www.fangraphs.com/players/lucas-sims/13470/stats" TargetMode="External"/><Relationship Id="rId2735" Type="http://schemas.openxmlformats.org/officeDocument/2006/relationships/hyperlink" Target="https://www.fangraphs.com/teams/padres" TargetMode="External"/><Relationship Id="rId707" Type="http://schemas.openxmlformats.org/officeDocument/2006/relationships/hyperlink" Target="https://www.fangraphs.com/players/josh-smith/26396/stats" TargetMode="External"/><Relationship Id="rId914" Type="http://schemas.openxmlformats.org/officeDocument/2006/relationships/hyperlink" Target="https://www.fangraphs.com/teams/giants" TargetMode="External"/><Relationship Id="rId1337" Type="http://schemas.openxmlformats.org/officeDocument/2006/relationships/hyperlink" Target="https://www.fangraphs.com/teams/dodgers" TargetMode="External"/><Relationship Id="rId1544" Type="http://schemas.openxmlformats.org/officeDocument/2006/relationships/hyperlink" Target="https://www.fangraphs.com/players/dietrich-enns/13932/stats" TargetMode="External"/><Relationship Id="rId1751" Type="http://schemas.openxmlformats.org/officeDocument/2006/relationships/hyperlink" Target="https://www.fangraphs.com/teams/red-sox" TargetMode="External"/><Relationship Id="rId2802" Type="http://schemas.openxmlformats.org/officeDocument/2006/relationships/hyperlink" Target="https://www.fangraphs.com/players/owen-miller/24655/stats" TargetMode="External"/><Relationship Id="rId43" Type="http://schemas.openxmlformats.org/officeDocument/2006/relationships/hyperlink" Target="https://www.fangraphs.com/players/jazz-chisholm-jr/20454/stats" TargetMode="External"/><Relationship Id="rId1404" Type="http://schemas.openxmlformats.org/officeDocument/2006/relationships/hyperlink" Target="https://www.fangraphs.com/players/reed-garrett/16866/stats" TargetMode="External"/><Relationship Id="rId1611" Type="http://schemas.openxmlformats.org/officeDocument/2006/relationships/hyperlink" Target="https://www.fangraphs.com/players/michael-conforto/16376/stats" TargetMode="External"/><Relationship Id="rId497" Type="http://schemas.openxmlformats.org/officeDocument/2006/relationships/hyperlink" Target="https://www.fangraphs.com/players/dillon-dingler/27464/stats" TargetMode="External"/><Relationship Id="rId2178" Type="http://schemas.openxmlformats.org/officeDocument/2006/relationships/hyperlink" Target="https://www.fangraphs.com/players/carson-fulmer/18311/stats" TargetMode="External"/><Relationship Id="rId2385" Type="http://schemas.openxmlformats.org/officeDocument/2006/relationships/hyperlink" Target="https://www.fangraphs.com/players/sawyer-gipson-long/26048/stats" TargetMode="External"/><Relationship Id="rId357" Type="http://schemas.openxmlformats.org/officeDocument/2006/relationships/hyperlink" Target="https://www.fangraphs.com/players/alec-burleson/27615/stats" TargetMode="External"/><Relationship Id="rId1194" Type="http://schemas.openxmlformats.org/officeDocument/2006/relationships/hyperlink" Target="https://www.fangraphs.com/teams/reds" TargetMode="External"/><Relationship Id="rId2038" Type="http://schemas.openxmlformats.org/officeDocument/2006/relationships/hyperlink" Target="https://www.fangraphs.com/teams/braves" TargetMode="External"/><Relationship Id="rId2592" Type="http://schemas.openxmlformats.org/officeDocument/2006/relationships/hyperlink" Target="https://www.fangraphs.com/players/carson-williams/30038/stats" TargetMode="External"/><Relationship Id="rId217" Type="http://schemas.openxmlformats.org/officeDocument/2006/relationships/hyperlink" Target="https://www.fangraphs.com/players/michael-busch/26319/stats" TargetMode="External"/><Relationship Id="rId564" Type="http://schemas.openxmlformats.org/officeDocument/2006/relationships/hyperlink" Target="https://www.fangraphs.com/teams/rays" TargetMode="External"/><Relationship Id="rId771" Type="http://schemas.openxmlformats.org/officeDocument/2006/relationships/hyperlink" Target="https://www.fangraphs.com/teams/twins" TargetMode="External"/><Relationship Id="rId2245" Type="http://schemas.openxmlformats.org/officeDocument/2006/relationships/hyperlink" Target="https://www.fangraphs.com/teams/dodgers" TargetMode="External"/><Relationship Id="rId2452" Type="http://schemas.openxmlformats.org/officeDocument/2006/relationships/hyperlink" Target="https://www.fangraphs.com/players/enrique-hernandez/10472/stats" TargetMode="External"/><Relationship Id="rId424" Type="http://schemas.openxmlformats.org/officeDocument/2006/relationships/hyperlink" Target="https://www.fangraphs.com/teams/phillies" TargetMode="External"/><Relationship Id="rId631" Type="http://schemas.openxmlformats.org/officeDocument/2006/relationships/hyperlink" Target="https://www.fangraphs.com/players/hurston-waldrep/33527/stats" TargetMode="External"/><Relationship Id="rId1054" Type="http://schemas.openxmlformats.org/officeDocument/2006/relationships/hyperlink" Target="https://www.fangraphs.com/teams/cubs" TargetMode="External"/><Relationship Id="rId1261" Type="http://schemas.openxmlformats.org/officeDocument/2006/relationships/hyperlink" Target="https://www.fangraphs.com/players/yoendrys-gomez/22872/stats" TargetMode="External"/><Relationship Id="rId2105" Type="http://schemas.openxmlformats.org/officeDocument/2006/relationships/hyperlink" Target="https://www.fangraphs.com/players/sam-bachman/29754/stats" TargetMode="External"/><Relationship Id="rId2312" Type="http://schemas.openxmlformats.org/officeDocument/2006/relationships/hyperlink" Target="https://www.fangraphs.com/teams/pirates" TargetMode="External"/><Relationship Id="rId1121" Type="http://schemas.openxmlformats.org/officeDocument/2006/relationships/hyperlink" Target="https://www.fangraphs.com/players/aj-blubaugh/31764/stats" TargetMode="External"/><Relationship Id="rId1938" Type="http://schemas.openxmlformats.org/officeDocument/2006/relationships/hyperlink" Target="https://www.fangraphs.com/teams/rangers" TargetMode="External"/><Relationship Id="rId281" Type="http://schemas.openxmlformats.org/officeDocument/2006/relationships/hyperlink" Target="https://www.fangraphs.com/players/gavin-williams/30122/stats" TargetMode="External"/><Relationship Id="rId141" Type="http://schemas.openxmlformats.org/officeDocument/2006/relationships/hyperlink" Target="https://www.fangraphs.com/players/byron-buxton/14161/stats" TargetMode="External"/><Relationship Id="rId7" Type="http://schemas.openxmlformats.org/officeDocument/2006/relationships/hyperlink" Target="https://www.fangraphs.com/players/bobby-witt-jr/25764/stats" TargetMode="External"/><Relationship Id="rId2779" Type="http://schemas.openxmlformats.org/officeDocument/2006/relationships/hyperlink" Target="https://www.fangraphs.com/teams/padres" TargetMode="External"/><Relationship Id="rId958" Type="http://schemas.openxmlformats.org/officeDocument/2006/relationships/hyperlink" Target="https://www.fangraphs.com/players/clarke-schmidt/19899/stats" TargetMode="External"/><Relationship Id="rId1588" Type="http://schemas.openxmlformats.org/officeDocument/2006/relationships/hyperlink" Target="https://www.fangraphs.com/teams/yankees" TargetMode="External"/><Relationship Id="rId1795" Type="http://schemas.openxmlformats.org/officeDocument/2006/relationships/hyperlink" Target="https://www.fangraphs.com/teams/rockies" TargetMode="External"/><Relationship Id="rId2639" Type="http://schemas.openxmlformats.org/officeDocument/2006/relationships/hyperlink" Target="https://www.fangraphs.com/players/jack-suwinski/22244/stats" TargetMode="External"/><Relationship Id="rId2846" Type="http://schemas.openxmlformats.org/officeDocument/2006/relationships/hyperlink" Target="https://www.fangraphs.com/teams/pirates" TargetMode="External"/><Relationship Id="rId87" Type="http://schemas.openxmlformats.org/officeDocument/2006/relationships/hyperlink" Target="https://www.fangraphs.com/players/wyatt-langford/33333/stats" TargetMode="External"/><Relationship Id="rId818" Type="http://schemas.openxmlformats.org/officeDocument/2006/relationships/hyperlink" Target="https://www.fangraphs.com/players/justin-verlander/8700/stats" TargetMode="External"/><Relationship Id="rId1448" Type="http://schemas.openxmlformats.org/officeDocument/2006/relationships/hyperlink" Target="https://www.fangraphs.com/players/kade-strowd/26191/stats" TargetMode="External"/><Relationship Id="rId1655" Type="http://schemas.openxmlformats.org/officeDocument/2006/relationships/hyperlink" Target="https://www.fangraphs.com/teams/mariners" TargetMode="External"/><Relationship Id="rId2706" Type="http://schemas.openxmlformats.org/officeDocument/2006/relationships/hyperlink" Target="https://www.fangraphs.com/teams/rangers" TargetMode="External"/><Relationship Id="rId1308" Type="http://schemas.openxmlformats.org/officeDocument/2006/relationships/hyperlink" Target="https://www.fangraphs.com/teams/blue-jays" TargetMode="External"/><Relationship Id="rId1862" Type="http://schemas.openxmlformats.org/officeDocument/2006/relationships/hyperlink" Target="https://www.fangraphs.com/teams/tigers" TargetMode="External"/><Relationship Id="rId2913" Type="http://schemas.openxmlformats.org/officeDocument/2006/relationships/hyperlink" Target="https://www.fangraphs.com/players/kris-bryant/15429/stats" TargetMode="External"/><Relationship Id="rId1515" Type="http://schemas.openxmlformats.org/officeDocument/2006/relationships/hyperlink" Target="https://www.fangraphs.com/teams/athletics" TargetMode="External"/><Relationship Id="rId1722" Type="http://schemas.openxmlformats.org/officeDocument/2006/relationships/hyperlink" Target="https://www.fangraphs.com/players/luke-williams/19931/stats" TargetMode="External"/><Relationship Id="rId14" Type="http://schemas.openxmlformats.org/officeDocument/2006/relationships/hyperlink" Target="https://www.fangraphs.com/teams/braves" TargetMode="External"/><Relationship Id="rId2289" Type="http://schemas.openxmlformats.org/officeDocument/2006/relationships/hyperlink" Target="https://www.fangraphs.com/players/sammy-peralta/25589/stats" TargetMode="External"/><Relationship Id="rId2496" Type="http://schemas.openxmlformats.org/officeDocument/2006/relationships/hyperlink" Target="https://www.fangraphs.com/players/austin-cox/24604/stats" TargetMode="External"/><Relationship Id="rId468" Type="http://schemas.openxmlformats.org/officeDocument/2006/relationships/hyperlink" Target="https://www.fangraphs.com/teams/diamondbacks" TargetMode="External"/><Relationship Id="rId675" Type="http://schemas.openxmlformats.org/officeDocument/2006/relationships/hyperlink" Target="https://www.fangraphs.com/players/zach-mckinstry/19392/stats" TargetMode="External"/><Relationship Id="rId882" Type="http://schemas.openxmlformats.org/officeDocument/2006/relationships/hyperlink" Target="https://www.fangraphs.com/teams/brewers" TargetMode="External"/><Relationship Id="rId1098" Type="http://schemas.openxmlformats.org/officeDocument/2006/relationships/hyperlink" Target="https://www.fangraphs.com/players/anthony-bender/19742/stats" TargetMode="External"/><Relationship Id="rId2149" Type="http://schemas.openxmlformats.org/officeDocument/2006/relationships/hyperlink" Target="https://www.fangraphs.com/teams/diamondbacks" TargetMode="External"/><Relationship Id="rId2356" Type="http://schemas.openxmlformats.org/officeDocument/2006/relationships/hyperlink" Target="https://www.fangraphs.com/teams/mariners" TargetMode="External"/><Relationship Id="rId2563" Type="http://schemas.openxmlformats.org/officeDocument/2006/relationships/hyperlink" Target="https://www.fangraphs.com/teams/guardians" TargetMode="External"/><Relationship Id="rId2770" Type="http://schemas.openxmlformats.org/officeDocument/2006/relationships/hyperlink" Target="https://www.fangraphs.com/teams/mariners" TargetMode="External"/><Relationship Id="rId328" Type="http://schemas.openxmlformats.org/officeDocument/2006/relationships/hyperlink" Target="https://www.fangraphs.com/teams/guardians" TargetMode="External"/><Relationship Id="rId535" Type="http://schemas.openxmlformats.org/officeDocument/2006/relationships/hyperlink" Target="https://www.fangraphs.com/players/casey-mize/20492/stats" TargetMode="External"/><Relationship Id="rId742" Type="http://schemas.openxmlformats.org/officeDocument/2006/relationships/hyperlink" Target="https://www.fangraphs.com/players/bo-naylor/21865/stats" TargetMode="External"/><Relationship Id="rId1165" Type="http://schemas.openxmlformats.org/officeDocument/2006/relationships/hyperlink" Target="https://www.fangraphs.com/players/aaron-civale/19479/stats" TargetMode="External"/><Relationship Id="rId1372" Type="http://schemas.openxmlformats.org/officeDocument/2006/relationships/hyperlink" Target="https://www.fangraphs.com/teams/rockies" TargetMode="External"/><Relationship Id="rId2009" Type="http://schemas.openxmlformats.org/officeDocument/2006/relationships/hyperlink" Target="https://www.fangraphs.com/players/cj-stubbs/25814/stats" TargetMode="External"/><Relationship Id="rId2216" Type="http://schemas.openxmlformats.org/officeDocument/2006/relationships/hyperlink" Target="https://www.fangraphs.com/players/matt-sauer/22284/stats" TargetMode="External"/><Relationship Id="rId2423" Type="http://schemas.openxmlformats.org/officeDocument/2006/relationships/hyperlink" Target="https://www.fangraphs.com/teams/tigers" TargetMode="External"/><Relationship Id="rId2630" Type="http://schemas.openxmlformats.org/officeDocument/2006/relationships/hyperlink" Target="https://www.fangraphs.com/players/chas-mccormick/19599/stats" TargetMode="External"/><Relationship Id="rId602" Type="http://schemas.openxmlformats.org/officeDocument/2006/relationships/hyperlink" Target="https://www.fangraphs.com/teams/twins" TargetMode="External"/><Relationship Id="rId1025" Type="http://schemas.openxmlformats.org/officeDocument/2006/relationships/hyperlink" Target="https://www.fangraphs.com/teams/cubs" TargetMode="External"/><Relationship Id="rId1232" Type="http://schemas.openxmlformats.org/officeDocument/2006/relationships/hyperlink" Target="https://www.fangraphs.com/teams/guardians" TargetMode="External"/><Relationship Id="rId185" Type="http://schemas.openxmlformats.org/officeDocument/2006/relationships/hyperlink" Target="https://www.fangraphs.com/players/salvador-perez/7304/stats" TargetMode="External"/><Relationship Id="rId1909" Type="http://schemas.openxmlformats.org/officeDocument/2006/relationships/hyperlink" Target="https://www.fangraphs.com/players/logan-porter/20626/stats" TargetMode="External"/><Relationship Id="rId392" Type="http://schemas.openxmlformats.org/officeDocument/2006/relationships/hyperlink" Target="https://www.fangraphs.com/teams/nationals" TargetMode="External"/><Relationship Id="rId2073" Type="http://schemas.openxmlformats.org/officeDocument/2006/relationships/hyperlink" Target="https://www.fangraphs.com/players/rowdy-tellez/15679/stats" TargetMode="External"/><Relationship Id="rId2280" Type="http://schemas.openxmlformats.org/officeDocument/2006/relationships/hyperlink" Target="https://www.fangraphs.com/teams/athletics" TargetMode="External"/><Relationship Id="rId252" Type="http://schemas.openxmlformats.org/officeDocument/2006/relationships/hyperlink" Target="https://www.fangraphs.com/teams/yankees" TargetMode="External"/><Relationship Id="rId2140" Type="http://schemas.openxmlformats.org/officeDocument/2006/relationships/hyperlink" Target="https://www.fangraphs.com/players/andrew-hoffmann/29633/stats" TargetMode="External"/><Relationship Id="rId112" Type="http://schemas.openxmlformats.org/officeDocument/2006/relationships/hyperlink" Target="https://www.fangraphs.com/teams/red-sox" TargetMode="External"/><Relationship Id="rId1699" Type="http://schemas.openxmlformats.org/officeDocument/2006/relationships/hyperlink" Target="https://www.fangraphs.com/players/randy-wynne/25804/stats" TargetMode="External"/><Relationship Id="rId2000" Type="http://schemas.openxmlformats.org/officeDocument/2006/relationships/hyperlink" Target="https://www.fangraphs.com/teams/mariners" TargetMode="External"/><Relationship Id="rId929" Type="http://schemas.openxmlformats.org/officeDocument/2006/relationships/hyperlink" Target="https://www.fangraphs.com/players/jose-a-ferrer/24017/stats" TargetMode="External"/><Relationship Id="rId1559" Type="http://schemas.openxmlformats.org/officeDocument/2006/relationships/hyperlink" Target="https://www.fangraphs.com/players/jonathan-bowlan/24607/stats" TargetMode="External"/><Relationship Id="rId1766" Type="http://schemas.openxmlformats.org/officeDocument/2006/relationships/hyperlink" Target="https://www.fangraphs.com/teams/pirates" TargetMode="External"/><Relationship Id="rId1973" Type="http://schemas.openxmlformats.org/officeDocument/2006/relationships/hyperlink" Target="https://www.fangraphs.com/teams/giants" TargetMode="External"/><Relationship Id="rId2817" Type="http://schemas.openxmlformats.org/officeDocument/2006/relationships/hyperlink" Target="https://www.fangraphs.com/players/steward-berroa/22766/stats" TargetMode="External"/><Relationship Id="rId58" Type="http://schemas.openxmlformats.org/officeDocument/2006/relationships/hyperlink" Target="https://www.fangraphs.com/teams/phillies" TargetMode="External"/><Relationship Id="rId1419" Type="http://schemas.openxmlformats.org/officeDocument/2006/relationships/hyperlink" Target="https://www.fangraphs.com/teams/braves" TargetMode="External"/><Relationship Id="rId1626" Type="http://schemas.openxmlformats.org/officeDocument/2006/relationships/hyperlink" Target="https://www.fangraphs.com/teams/marlins" TargetMode="External"/><Relationship Id="rId1833" Type="http://schemas.openxmlformats.org/officeDocument/2006/relationships/hyperlink" Target="https://www.fangraphs.com/teams/phillies" TargetMode="External"/><Relationship Id="rId1900" Type="http://schemas.openxmlformats.org/officeDocument/2006/relationships/hyperlink" Target="https://www.fangraphs.com/players/zack-kelly/20349/stats" TargetMode="External"/><Relationship Id="rId579" Type="http://schemas.openxmlformats.org/officeDocument/2006/relationships/hyperlink" Target="https://www.fangraphs.com/players/edwin-uceta/20539/stats" TargetMode="External"/><Relationship Id="rId786" Type="http://schemas.openxmlformats.org/officeDocument/2006/relationships/hyperlink" Target="https://www.fangraphs.com/players/coby-mayo/28312/stats" TargetMode="External"/><Relationship Id="rId993" Type="http://schemas.openxmlformats.org/officeDocument/2006/relationships/hyperlink" Target="https://www.fangraphs.com/teams/guardians" TargetMode="External"/><Relationship Id="rId2467" Type="http://schemas.openxmlformats.org/officeDocument/2006/relationships/hyperlink" Target="https://www.fangraphs.com/players/darell-hernaiz/26224/stats" TargetMode="External"/><Relationship Id="rId2674" Type="http://schemas.openxmlformats.org/officeDocument/2006/relationships/hyperlink" Target="https://www.fangraphs.com/players/victor-mesa-jr/25999/stats" TargetMode="External"/><Relationship Id="rId439" Type="http://schemas.openxmlformats.org/officeDocument/2006/relationships/hyperlink" Target="https://www.fangraphs.com/players/adolis-garcia/19287/stats" TargetMode="External"/><Relationship Id="rId646" Type="http://schemas.openxmlformats.org/officeDocument/2006/relationships/hyperlink" Target="https://www.fangraphs.com/teams/athletics" TargetMode="External"/><Relationship Id="rId1069" Type="http://schemas.openxmlformats.org/officeDocument/2006/relationships/hyperlink" Target="https://www.fangraphs.com/players/davis-martin/21448/stats" TargetMode="External"/><Relationship Id="rId1276" Type="http://schemas.openxmlformats.org/officeDocument/2006/relationships/hyperlink" Target="https://www.fangraphs.com/players/tommy-nance/19178/stats" TargetMode="External"/><Relationship Id="rId1483" Type="http://schemas.openxmlformats.org/officeDocument/2006/relationships/hyperlink" Target="https://www.fangraphs.com/players/luke-jackson/11752/stats" TargetMode="External"/><Relationship Id="rId2327" Type="http://schemas.openxmlformats.org/officeDocument/2006/relationships/hyperlink" Target="https://www.fangraphs.com/teams/royals" TargetMode="External"/><Relationship Id="rId2881" Type="http://schemas.openxmlformats.org/officeDocument/2006/relationships/hyperlink" Target="https://www.fangraphs.com/teams/orioles" TargetMode="External"/><Relationship Id="rId506" Type="http://schemas.openxmlformats.org/officeDocument/2006/relationships/hyperlink" Target="https://www.fangraphs.com/teams/yankees" TargetMode="External"/><Relationship Id="rId853" Type="http://schemas.openxmlformats.org/officeDocument/2006/relationships/hyperlink" Target="https://www.fangraphs.com/players/louis-varland/27691/stats" TargetMode="External"/><Relationship Id="rId1136" Type="http://schemas.openxmlformats.org/officeDocument/2006/relationships/hyperlink" Target="https://www.fangraphs.com/players/kyle-harrison/27758/stats" TargetMode="External"/><Relationship Id="rId1690" Type="http://schemas.openxmlformats.org/officeDocument/2006/relationships/hyperlink" Target="https://www.fangraphs.com/teams/rays" TargetMode="External"/><Relationship Id="rId2534" Type="http://schemas.openxmlformats.org/officeDocument/2006/relationships/hyperlink" Target="https://www.fangraphs.com/players/genesis-cabrera/17490/stats" TargetMode="External"/><Relationship Id="rId2741" Type="http://schemas.openxmlformats.org/officeDocument/2006/relationships/hyperlink" Target="https://www.fangraphs.com/players/denzer-guzman/28816/stats" TargetMode="External"/><Relationship Id="rId713" Type="http://schemas.openxmlformats.org/officeDocument/2006/relationships/hyperlink" Target="https://www.fangraphs.com/teams/red-sox" TargetMode="External"/><Relationship Id="rId920" Type="http://schemas.openxmlformats.org/officeDocument/2006/relationships/hyperlink" Target="https://www.fangraphs.com/teams/cubs" TargetMode="External"/><Relationship Id="rId1343" Type="http://schemas.openxmlformats.org/officeDocument/2006/relationships/hyperlink" Target="https://www.fangraphs.com/teams/reds" TargetMode="External"/><Relationship Id="rId1550" Type="http://schemas.openxmlformats.org/officeDocument/2006/relationships/hyperlink" Target="https://www.fangraphs.com/players/aj-puk/19343/stats" TargetMode="External"/><Relationship Id="rId2601" Type="http://schemas.openxmlformats.org/officeDocument/2006/relationships/hyperlink" Target="https://www.fangraphs.com/teams/tigers" TargetMode="External"/><Relationship Id="rId1203" Type="http://schemas.openxmlformats.org/officeDocument/2006/relationships/hyperlink" Target="https://www.fangraphs.com/players/taylor-clarke/17611/stats" TargetMode="External"/><Relationship Id="rId1410" Type="http://schemas.openxmlformats.org/officeDocument/2006/relationships/hyperlink" Target="https://www.fangraphs.com/players/rhys-hoskins/16472/stats" TargetMode="External"/><Relationship Id="rId296" Type="http://schemas.openxmlformats.org/officeDocument/2006/relationships/hyperlink" Target="https://www.fangraphs.com/teams/athletics" TargetMode="External"/><Relationship Id="rId2184" Type="http://schemas.openxmlformats.org/officeDocument/2006/relationships/hyperlink" Target="https://www.fangraphs.com/teams/orioles" TargetMode="External"/><Relationship Id="rId2391" Type="http://schemas.openxmlformats.org/officeDocument/2006/relationships/hyperlink" Target="https://www.fangraphs.com/players/christian-moore/34979/stats" TargetMode="External"/><Relationship Id="rId156" Type="http://schemas.openxmlformats.org/officeDocument/2006/relationships/hyperlink" Target="https://www.fangraphs.com/teams/yankees" TargetMode="External"/><Relationship Id="rId363" Type="http://schemas.openxmlformats.org/officeDocument/2006/relationships/hyperlink" Target="https://www.fangraphs.com/players/xavier-edwards/22266/stats" TargetMode="External"/><Relationship Id="rId570" Type="http://schemas.openxmlformats.org/officeDocument/2006/relationships/hyperlink" Target="https://www.fangraphs.com/teams/angels" TargetMode="External"/><Relationship Id="rId2044" Type="http://schemas.openxmlformats.org/officeDocument/2006/relationships/hyperlink" Target="https://www.fangraphs.com/players/cam-booser/16061/stats" TargetMode="External"/><Relationship Id="rId2251" Type="http://schemas.openxmlformats.org/officeDocument/2006/relationships/hyperlink" Target="https://www.fangraphs.com/teams/astros" TargetMode="External"/><Relationship Id="rId223" Type="http://schemas.openxmlformats.org/officeDocument/2006/relationships/hyperlink" Target="https://www.fangraphs.com/players/jeff-hoffman/17432/stats" TargetMode="External"/><Relationship Id="rId430" Type="http://schemas.openxmlformats.org/officeDocument/2006/relationships/hyperlink" Target="https://www.fangraphs.com/teams/red-sox" TargetMode="External"/><Relationship Id="rId1060" Type="http://schemas.openxmlformats.org/officeDocument/2006/relationships/hyperlink" Target="https://www.fangraphs.com/teams/yankees" TargetMode="External"/><Relationship Id="rId2111" Type="http://schemas.openxmlformats.org/officeDocument/2006/relationships/hyperlink" Target="https://www.fangraphs.com/players/gary-sanchez/11442/stats" TargetMode="External"/><Relationship Id="rId1877" Type="http://schemas.openxmlformats.org/officeDocument/2006/relationships/hyperlink" Target="https://www.fangraphs.com/teams/guardians" TargetMode="External"/><Relationship Id="rId2928" Type="http://schemas.openxmlformats.org/officeDocument/2006/relationships/hyperlink" Target="https://www.fangraphs.com/teams/angels" TargetMode="External"/><Relationship Id="rId1737" Type="http://schemas.openxmlformats.org/officeDocument/2006/relationships/hyperlink" Target="https://www.fangraphs.com/teams/tigers" TargetMode="External"/><Relationship Id="rId1944" Type="http://schemas.openxmlformats.org/officeDocument/2006/relationships/hyperlink" Target="https://www.fangraphs.com/teams/braves" TargetMode="External"/><Relationship Id="rId29" Type="http://schemas.openxmlformats.org/officeDocument/2006/relationships/hyperlink" Target="https://www.fangraphs.com/players/kyle-tucker/18345/stats" TargetMode="External"/><Relationship Id="rId1804" Type="http://schemas.openxmlformats.org/officeDocument/2006/relationships/hyperlink" Target="https://www.fangraphs.com/teams/diamondbacks" TargetMode="External"/><Relationship Id="rId897" Type="http://schemas.openxmlformats.org/officeDocument/2006/relationships/hyperlink" Target="https://www.fangraphs.com/players/jared-triolo/25807/stats" TargetMode="External"/><Relationship Id="rId2578" Type="http://schemas.openxmlformats.org/officeDocument/2006/relationships/hyperlink" Target="https://www.fangraphs.com/players/tayler-scott/13652/stats" TargetMode="External"/><Relationship Id="rId2785" Type="http://schemas.openxmlformats.org/officeDocument/2006/relationships/hyperlink" Target="https://www.fangraphs.com/players/trenton-brooks/19384/stats" TargetMode="External"/><Relationship Id="rId757" Type="http://schemas.openxmlformats.org/officeDocument/2006/relationships/hyperlink" Target="https://www.fangraphs.com/teams/athletics" TargetMode="External"/><Relationship Id="rId964" Type="http://schemas.openxmlformats.org/officeDocument/2006/relationships/hyperlink" Target="https://www.fangraphs.com/players/trevor-larnach/21501/stats" TargetMode="External"/><Relationship Id="rId1387" Type="http://schemas.openxmlformats.org/officeDocument/2006/relationships/hyperlink" Target="https://www.fangraphs.com/players/justin-wilson/4301/stats" TargetMode="External"/><Relationship Id="rId1594" Type="http://schemas.openxmlformats.org/officeDocument/2006/relationships/hyperlink" Target="https://www.fangraphs.com/players/evan-phillips/17734/stats" TargetMode="External"/><Relationship Id="rId2438" Type="http://schemas.openxmlformats.org/officeDocument/2006/relationships/hyperlink" Target="https://www.fangraphs.com/teams/rangers" TargetMode="External"/><Relationship Id="rId2645" Type="http://schemas.openxmlformats.org/officeDocument/2006/relationships/hyperlink" Target="https://www.fangraphs.com/players/brendan-rodgers/17907/stats" TargetMode="External"/><Relationship Id="rId2852" Type="http://schemas.openxmlformats.org/officeDocument/2006/relationships/hyperlink" Target="https://www.fangraphs.com/teams/rockies" TargetMode="External"/><Relationship Id="rId93" Type="http://schemas.openxmlformats.org/officeDocument/2006/relationships/hyperlink" Target="https://www.fangraphs.com/players/jacob-degrom/10954/stats" TargetMode="External"/><Relationship Id="rId617" Type="http://schemas.openxmlformats.org/officeDocument/2006/relationships/hyperlink" Target="https://www.fangraphs.com/players/jordan-lawlar/29976/stats" TargetMode="External"/><Relationship Id="rId824" Type="http://schemas.openxmlformats.org/officeDocument/2006/relationships/hyperlink" Target="https://www.fangraphs.com/players/freddy-fermin/21840/stats" TargetMode="External"/><Relationship Id="rId1247" Type="http://schemas.openxmlformats.org/officeDocument/2006/relationships/hyperlink" Target="https://www.fangraphs.com/teams/nationals" TargetMode="External"/><Relationship Id="rId1454" Type="http://schemas.openxmlformats.org/officeDocument/2006/relationships/hyperlink" Target="https://www.fangraphs.com/players/justin-slaten/25648/stats" TargetMode="External"/><Relationship Id="rId1661" Type="http://schemas.openxmlformats.org/officeDocument/2006/relationships/hyperlink" Target="https://www.fangraphs.com/teams/orioles" TargetMode="External"/><Relationship Id="rId2505" Type="http://schemas.openxmlformats.org/officeDocument/2006/relationships/hyperlink" Target="https://www.fangraphs.com/teams/angels" TargetMode="External"/><Relationship Id="rId2712" Type="http://schemas.openxmlformats.org/officeDocument/2006/relationships/hyperlink" Target="https://www.fangraphs.com/players/bob-seymour/30028/stats" TargetMode="External"/><Relationship Id="rId1107" Type="http://schemas.openxmlformats.org/officeDocument/2006/relationships/hyperlink" Target="https://www.fangraphs.com/teams/royals" TargetMode="External"/><Relationship Id="rId1314" Type="http://schemas.openxmlformats.org/officeDocument/2006/relationships/hyperlink" Target="https://www.fangraphs.com/teams/royals" TargetMode="External"/><Relationship Id="rId1521" Type="http://schemas.openxmlformats.org/officeDocument/2006/relationships/hyperlink" Target="https://www.fangraphs.com/players/cristian-mena/27974/stats" TargetMode="External"/><Relationship Id="rId20" Type="http://schemas.openxmlformats.org/officeDocument/2006/relationships/hyperlink" Target="https://www.fangraphs.com/teams/pirates" TargetMode="External"/><Relationship Id="rId2088" Type="http://schemas.openxmlformats.org/officeDocument/2006/relationships/hyperlink" Target="https://www.fangraphs.com/players/easton-mcgee/22176/stats" TargetMode="External"/><Relationship Id="rId2295" Type="http://schemas.openxmlformats.org/officeDocument/2006/relationships/hyperlink" Target="https://www.fangraphs.com/teams/astros" TargetMode="External"/><Relationship Id="rId267" Type="http://schemas.openxmlformats.org/officeDocument/2006/relationships/hyperlink" Target="https://www.fangraphs.com/players/yandy-diaz/16578/stats" TargetMode="External"/><Relationship Id="rId474" Type="http://schemas.openxmlformats.org/officeDocument/2006/relationships/hyperlink" Target="https://www.fangraphs.com/teams/yankees" TargetMode="External"/><Relationship Id="rId2155" Type="http://schemas.openxmlformats.org/officeDocument/2006/relationships/hyperlink" Target="https://www.fangraphs.com/players/luis-contreras/25839/stats" TargetMode="External"/><Relationship Id="rId127" Type="http://schemas.openxmlformats.org/officeDocument/2006/relationships/hyperlink" Target="https://www.fangraphs.com/players/devin-williams/15816/stats" TargetMode="External"/><Relationship Id="rId681" Type="http://schemas.openxmlformats.org/officeDocument/2006/relationships/hyperlink" Target="https://www.fangraphs.com/players/max-meyer/27474/stats" TargetMode="External"/><Relationship Id="rId2362" Type="http://schemas.openxmlformats.org/officeDocument/2006/relationships/hyperlink" Target="https://www.fangraphs.com/players/michael-toglia/25845/stats" TargetMode="External"/><Relationship Id="rId334" Type="http://schemas.openxmlformats.org/officeDocument/2006/relationships/hyperlink" Target="https://www.fangraphs.com/teams/rangers" TargetMode="External"/><Relationship Id="rId541" Type="http://schemas.openxmlformats.org/officeDocument/2006/relationships/hyperlink" Target="https://www.fangraphs.com/players/willi-castro/17338/stats" TargetMode="External"/><Relationship Id="rId1171" Type="http://schemas.openxmlformats.org/officeDocument/2006/relationships/hyperlink" Target="https://www.fangraphs.com/players/carson-whisenhunt/31676/stats" TargetMode="External"/><Relationship Id="rId2015" Type="http://schemas.openxmlformats.org/officeDocument/2006/relationships/hyperlink" Target="https://www.fangraphs.com/players/cody-bolton/23265/stats" TargetMode="External"/><Relationship Id="rId2222" Type="http://schemas.openxmlformats.org/officeDocument/2006/relationships/hyperlink" Target="https://www.fangraphs.com/teams/pirates" TargetMode="External"/><Relationship Id="rId401" Type="http://schemas.openxmlformats.org/officeDocument/2006/relationships/hyperlink" Target="https://www.fangraphs.com/players/bryan-reynolds/19326/stats" TargetMode="External"/><Relationship Id="rId1031" Type="http://schemas.openxmlformats.org/officeDocument/2006/relationships/hyperlink" Target="https://www.fangraphs.com/players/ronel-blanco/19407/stats" TargetMode="External"/><Relationship Id="rId1988" Type="http://schemas.openxmlformats.org/officeDocument/2006/relationships/hyperlink" Target="https://www.fangraphs.com/players/jake-palisch/31598/stats" TargetMode="External"/><Relationship Id="rId1848" Type="http://schemas.openxmlformats.org/officeDocument/2006/relationships/hyperlink" Target="https://www.fangraphs.com/teams/cardinals" TargetMode="External"/><Relationship Id="rId191" Type="http://schemas.openxmlformats.org/officeDocument/2006/relationships/hyperlink" Target="https://www.fangraphs.com/players/nick-pivetta/15454/stats" TargetMode="External"/><Relationship Id="rId1708" Type="http://schemas.openxmlformats.org/officeDocument/2006/relationships/hyperlink" Target="https://www.fangraphs.com/players/michael-stefanic/25353/stats" TargetMode="External"/><Relationship Id="rId1915" Type="http://schemas.openxmlformats.org/officeDocument/2006/relationships/hyperlink" Target="https://www.fangraphs.com/players/hayden-harris/31913/stats" TargetMode="External"/><Relationship Id="rId2689" Type="http://schemas.openxmlformats.org/officeDocument/2006/relationships/hyperlink" Target="https://www.fangraphs.com/players/blake-dunn/29487/stats" TargetMode="External"/><Relationship Id="rId2896" Type="http://schemas.openxmlformats.org/officeDocument/2006/relationships/hyperlink" Target="https://www.fangraphs.com/players/greg-allen/16623/stats" TargetMode="External"/><Relationship Id="rId868" Type="http://schemas.openxmlformats.org/officeDocument/2006/relationships/hyperlink" Target="https://www.fangraphs.com/teams/nationals" TargetMode="External"/><Relationship Id="rId1498" Type="http://schemas.openxmlformats.org/officeDocument/2006/relationships/hyperlink" Target="https://www.fangraphs.com/players/kody-funderburk/24993/stats" TargetMode="External"/><Relationship Id="rId2549" Type="http://schemas.openxmlformats.org/officeDocument/2006/relationships/hyperlink" Target="https://www.fangraphs.com/teams/marlins" TargetMode="External"/><Relationship Id="rId2756" Type="http://schemas.openxmlformats.org/officeDocument/2006/relationships/hyperlink" Target="https://www.fangraphs.com/players/michael-siani/22557/stats" TargetMode="External"/><Relationship Id="rId728" Type="http://schemas.openxmlformats.org/officeDocument/2006/relationships/hyperlink" Target="https://www.fangraphs.com/players/garrett-cleavinger/17897/stats" TargetMode="External"/><Relationship Id="rId935" Type="http://schemas.openxmlformats.org/officeDocument/2006/relationships/hyperlink" Target="https://www.fangraphs.com/players/jose-berrios/14168/stats" TargetMode="External"/><Relationship Id="rId1358" Type="http://schemas.openxmlformats.org/officeDocument/2006/relationships/hyperlink" Target="https://www.fangraphs.com/players/mason-barnett/31741/stats" TargetMode="External"/><Relationship Id="rId1565" Type="http://schemas.openxmlformats.org/officeDocument/2006/relationships/hyperlink" Target="https://www.fangraphs.com/players/ian-hamilton/19261/stats" TargetMode="External"/><Relationship Id="rId1772" Type="http://schemas.openxmlformats.org/officeDocument/2006/relationships/hyperlink" Target="https://www.fangraphs.com/teams/giants" TargetMode="External"/><Relationship Id="rId2409" Type="http://schemas.openxmlformats.org/officeDocument/2006/relationships/hyperlink" Target="https://www.fangraphs.com/players/bryce-johnson/20002/stats" TargetMode="External"/><Relationship Id="rId2616" Type="http://schemas.openxmlformats.org/officeDocument/2006/relationships/hyperlink" Target="https://www.fangraphs.com/players/kevin-newman/17696/stats" TargetMode="External"/><Relationship Id="rId64" Type="http://schemas.openxmlformats.org/officeDocument/2006/relationships/hyperlink" Target="https://www.fangraphs.com/teams/diamondbacks" TargetMode="External"/><Relationship Id="rId1218" Type="http://schemas.openxmlformats.org/officeDocument/2006/relationships/hyperlink" Target="https://www.fangraphs.com/teams/guardians" TargetMode="External"/><Relationship Id="rId1425" Type="http://schemas.openxmlformats.org/officeDocument/2006/relationships/hyperlink" Target="https://www.fangraphs.com/teams/marlins" TargetMode="External"/><Relationship Id="rId2823" Type="http://schemas.openxmlformats.org/officeDocument/2006/relationships/hyperlink" Target="https://www.fangraphs.com/players/jacob-hurtubise/27599/stats" TargetMode="External"/><Relationship Id="rId1632" Type="http://schemas.openxmlformats.org/officeDocument/2006/relationships/hyperlink" Target="https://www.fangraphs.com/teams/nationals" TargetMode="External"/><Relationship Id="rId2199" Type="http://schemas.openxmlformats.org/officeDocument/2006/relationships/hyperlink" Target="https://www.fangraphs.com/players/jacob-barnes/12323/stats" TargetMode="External"/><Relationship Id="rId378" Type="http://schemas.openxmlformats.org/officeDocument/2006/relationships/hyperlink" Target="https://www.fangraphs.com/teams/rays" TargetMode="External"/><Relationship Id="rId585" Type="http://schemas.openxmlformats.org/officeDocument/2006/relationships/hyperlink" Target="https://www.fangraphs.com/players/ernie-clement/20352/stats" TargetMode="External"/><Relationship Id="rId792" Type="http://schemas.openxmlformats.org/officeDocument/2006/relationships/hyperlink" Target="https://www.fangraphs.com/players/brandon-marsh/20202/stats" TargetMode="External"/><Relationship Id="rId2059" Type="http://schemas.openxmlformats.org/officeDocument/2006/relationships/hyperlink" Target="https://www.fangraphs.com/players/corbin-martin/19884/stats" TargetMode="External"/><Relationship Id="rId2266" Type="http://schemas.openxmlformats.org/officeDocument/2006/relationships/hyperlink" Target="https://www.fangraphs.com/teams/mariners" TargetMode="External"/><Relationship Id="rId2473" Type="http://schemas.openxmlformats.org/officeDocument/2006/relationships/hyperlink" Target="https://www.fangraphs.com/players/david-fry/24934/stats" TargetMode="External"/><Relationship Id="rId2680" Type="http://schemas.openxmlformats.org/officeDocument/2006/relationships/hyperlink" Target="https://www.fangraphs.com/teams/braves" TargetMode="External"/><Relationship Id="rId238" Type="http://schemas.openxmlformats.org/officeDocument/2006/relationships/hyperlink" Target="https://www.fangraphs.com/teams/blue-jays" TargetMode="External"/><Relationship Id="rId445" Type="http://schemas.openxmlformats.org/officeDocument/2006/relationships/hyperlink" Target="https://www.fangraphs.com/players/colson-montgomery/29712/stats" TargetMode="External"/><Relationship Id="rId652" Type="http://schemas.openxmlformats.org/officeDocument/2006/relationships/hyperlink" Target="https://www.fangraphs.com/teams/orioles" TargetMode="External"/><Relationship Id="rId1075" Type="http://schemas.openxmlformats.org/officeDocument/2006/relationships/hyperlink" Target="https://www.fangraphs.com/players/tyler-heineman/13897/stats" TargetMode="External"/><Relationship Id="rId1282" Type="http://schemas.openxmlformats.org/officeDocument/2006/relationships/hyperlink" Target="https://www.fangraphs.com/players/jakob-junis/13619/stats" TargetMode="External"/><Relationship Id="rId2126" Type="http://schemas.openxmlformats.org/officeDocument/2006/relationships/hyperlink" Target="https://www.fangraphs.com/teams/giants" TargetMode="External"/><Relationship Id="rId2333" Type="http://schemas.openxmlformats.org/officeDocument/2006/relationships/hyperlink" Target="https://www.fangraphs.com/teams/twins" TargetMode="External"/><Relationship Id="rId2540" Type="http://schemas.openxmlformats.org/officeDocument/2006/relationships/hyperlink" Target="https://www.fangraphs.com/players/chayce-mcdermott/29866/stats" TargetMode="External"/><Relationship Id="rId305" Type="http://schemas.openxmlformats.org/officeDocument/2006/relationships/hyperlink" Target="https://www.fangraphs.com/players/taylor-ward/17548/stats" TargetMode="External"/><Relationship Id="rId512" Type="http://schemas.openxmlformats.org/officeDocument/2006/relationships/hyperlink" Target="https://www.fangraphs.com/teams/orioles" TargetMode="External"/><Relationship Id="rId1142" Type="http://schemas.openxmlformats.org/officeDocument/2006/relationships/hyperlink" Target="https://www.fangraphs.com/players/tobias-myers/22191/stats" TargetMode="External"/><Relationship Id="rId2400" Type="http://schemas.openxmlformats.org/officeDocument/2006/relationships/hyperlink" Target="https://www.fangraphs.com/players/ildemaro-vargas/13324/stats" TargetMode="External"/><Relationship Id="rId1002" Type="http://schemas.openxmlformats.org/officeDocument/2006/relationships/hyperlink" Target="https://www.fangraphs.com/players/danny-jansen/16535/stats" TargetMode="External"/><Relationship Id="rId1959" Type="http://schemas.openxmlformats.org/officeDocument/2006/relationships/hyperlink" Target="https://www.fangraphs.com/teams/giants" TargetMode="External"/><Relationship Id="rId1819" Type="http://schemas.openxmlformats.org/officeDocument/2006/relationships/hyperlink" Target="https://www.fangraphs.com/players/dedniel-nunez/23055/stats" TargetMode="External"/><Relationship Id="rId2190" Type="http://schemas.openxmlformats.org/officeDocument/2006/relationships/hyperlink" Target="https://www.fangraphs.com/teams/royals" TargetMode="External"/><Relationship Id="rId162" Type="http://schemas.openxmlformats.org/officeDocument/2006/relationships/hyperlink" Target="https://www.fangraphs.com/teams/blue-jays" TargetMode="External"/><Relationship Id="rId2050" Type="http://schemas.openxmlformats.org/officeDocument/2006/relationships/hyperlink" Target="https://www.fangraphs.com/players/dillon-tate/17796/stats" TargetMode="External"/><Relationship Id="rId979" Type="http://schemas.openxmlformats.org/officeDocument/2006/relationships/hyperlink" Target="https://www.fangraphs.com/teams/rockies" TargetMode="External"/><Relationship Id="rId839" Type="http://schemas.openxmlformats.org/officeDocument/2006/relationships/hyperlink" Target="https://www.fangraphs.com/players/romy-gonzalez/21562/stats" TargetMode="External"/><Relationship Id="rId1469" Type="http://schemas.openxmlformats.org/officeDocument/2006/relationships/hyperlink" Target="https://www.fangraphs.com/teams/giants" TargetMode="External"/><Relationship Id="rId2867" Type="http://schemas.openxmlformats.org/officeDocument/2006/relationships/hyperlink" Target="https://www.fangraphs.com/teams/rays" TargetMode="External"/><Relationship Id="rId1676" Type="http://schemas.openxmlformats.org/officeDocument/2006/relationships/hyperlink" Target="https://www.fangraphs.com/teams/padres" TargetMode="External"/><Relationship Id="rId1883" Type="http://schemas.openxmlformats.org/officeDocument/2006/relationships/hyperlink" Target="https://www.fangraphs.com/players/angel-perdomo/17759/stats" TargetMode="External"/><Relationship Id="rId2727" Type="http://schemas.openxmlformats.org/officeDocument/2006/relationships/hyperlink" Target="https://www.fangraphs.com/players/petey-halpin/27931/stats" TargetMode="External"/><Relationship Id="rId906" Type="http://schemas.openxmlformats.org/officeDocument/2006/relationships/hyperlink" Target="https://www.fangraphs.com/teams/yankees" TargetMode="External"/><Relationship Id="rId1329" Type="http://schemas.openxmlformats.org/officeDocument/2006/relationships/hyperlink" Target="https://www.fangraphs.com/teams/guardians" TargetMode="External"/><Relationship Id="rId1536" Type="http://schemas.openxmlformats.org/officeDocument/2006/relationships/hyperlink" Target="https://www.fangraphs.com/players/aj-minter/18655/stats" TargetMode="External"/><Relationship Id="rId1743" Type="http://schemas.openxmlformats.org/officeDocument/2006/relationships/hyperlink" Target="https://www.fangraphs.com/teams/royals" TargetMode="External"/><Relationship Id="rId1950" Type="http://schemas.openxmlformats.org/officeDocument/2006/relationships/hyperlink" Target="https://www.fangraphs.com/teams/yankees" TargetMode="External"/><Relationship Id="rId35" Type="http://schemas.openxmlformats.org/officeDocument/2006/relationships/hyperlink" Target="https://www.fangraphs.com/players/nick-kurtz/35110/stats" TargetMode="External"/><Relationship Id="rId1603" Type="http://schemas.openxmlformats.org/officeDocument/2006/relationships/hyperlink" Target="https://www.fangraphs.com/players/jose-fermin/33908/stats" TargetMode="External"/><Relationship Id="rId1810" Type="http://schemas.openxmlformats.org/officeDocument/2006/relationships/hyperlink" Target="https://www.fangraphs.com/teams/rays" TargetMode="External"/><Relationship Id="rId489" Type="http://schemas.openxmlformats.org/officeDocument/2006/relationships/hyperlink" Target="https://www.fangraphs.com/players/shane-smith/31687/stats" TargetMode="External"/><Relationship Id="rId696" Type="http://schemas.openxmlformats.org/officeDocument/2006/relationships/hyperlink" Target="https://www.fangraphs.com/teams/braves" TargetMode="External"/><Relationship Id="rId2377" Type="http://schemas.openxmlformats.org/officeDocument/2006/relationships/hyperlink" Target="https://www.fangraphs.com/teams/mariners" TargetMode="External"/><Relationship Id="rId2584" Type="http://schemas.openxmlformats.org/officeDocument/2006/relationships/hyperlink" Target="https://www.fangraphs.com/players/gustavo-campero/22707/stats" TargetMode="External"/><Relationship Id="rId2791" Type="http://schemas.openxmlformats.org/officeDocument/2006/relationships/hyperlink" Target="https://www.fangraphs.com/teams/tigers" TargetMode="External"/><Relationship Id="rId349" Type="http://schemas.openxmlformats.org/officeDocument/2006/relationships/hyperlink" Target="https://www.fangraphs.com/players/ranger-suarez/17277/stats" TargetMode="External"/><Relationship Id="rId556" Type="http://schemas.openxmlformats.org/officeDocument/2006/relationships/hyperlink" Target="https://www.fangraphs.com/teams/angels" TargetMode="External"/><Relationship Id="rId763" Type="http://schemas.openxmlformats.org/officeDocument/2006/relationships/hyperlink" Target="https://www.fangraphs.com/teams/royals" TargetMode="External"/><Relationship Id="rId1186" Type="http://schemas.openxmlformats.org/officeDocument/2006/relationships/hyperlink" Target="https://www.fangraphs.com/teams/rays" TargetMode="External"/><Relationship Id="rId1393" Type="http://schemas.openxmlformats.org/officeDocument/2006/relationships/hyperlink" Target="https://www.fangraphs.com/players/jose-urena/11589/stats" TargetMode="External"/><Relationship Id="rId2237" Type="http://schemas.openxmlformats.org/officeDocument/2006/relationships/hyperlink" Target="https://www.fangraphs.com/players/brandyn-garcia/33568/stats" TargetMode="External"/><Relationship Id="rId2444" Type="http://schemas.openxmlformats.org/officeDocument/2006/relationships/hyperlink" Target="https://www.fangraphs.com/teams/phillies" TargetMode="External"/><Relationship Id="rId209" Type="http://schemas.openxmlformats.org/officeDocument/2006/relationships/hyperlink" Target="https://www.fangraphs.com/players/luis-robert-jr/20043/stats" TargetMode="External"/><Relationship Id="rId416" Type="http://schemas.openxmlformats.org/officeDocument/2006/relationships/hyperlink" Target="https://www.fangraphs.com/teams/blue-jays" TargetMode="External"/><Relationship Id="rId970" Type="http://schemas.openxmlformats.org/officeDocument/2006/relationships/hyperlink" Target="https://www.fangraphs.com/players/liam-hicks/29844/stats" TargetMode="External"/><Relationship Id="rId1046" Type="http://schemas.openxmlformats.org/officeDocument/2006/relationships/hyperlink" Target="https://www.fangraphs.com/teams/guardians" TargetMode="External"/><Relationship Id="rId1253" Type="http://schemas.openxmlformats.org/officeDocument/2006/relationships/hyperlink" Target="https://www.fangraphs.com/players/wade-miley/8779/stats" TargetMode="External"/><Relationship Id="rId2651" Type="http://schemas.openxmlformats.org/officeDocument/2006/relationships/hyperlink" Target="https://www.fangraphs.com/teams/guardians" TargetMode="External"/><Relationship Id="rId623" Type="http://schemas.openxmlformats.org/officeDocument/2006/relationships/hyperlink" Target="https://www.fangraphs.com/players/taylor-rogers/13449/stats" TargetMode="External"/><Relationship Id="rId830" Type="http://schemas.openxmlformats.org/officeDocument/2006/relationships/hyperlink" Target="https://www.fangraphs.com/players/lars-nootbaar/21454/stats" TargetMode="External"/><Relationship Id="rId1460" Type="http://schemas.openxmlformats.org/officeDocument/2006/relationships/hyperlink" Target="https://www.fangraphs.com/players/aaron-bummer/16258/stats" TargetMode="External"/><Relationship Id="rId2304" Type="http://schemas.openxmlformats.org/officeDocument/2006/relationships/hyperlink" Target="https://www.fangraphs.com/teams/mariners" TargetMode="External"/><Relationship Id="rId2511" Type="http://schemas.openxmlformats.org/officeDocument/2006/relationships/hyperlink" Target="https://www.fangraphs.com/players/justyn-henry-malloy/29606/stats" TargetMode="External"/><Relationship Id="rId1113" Type="http://schemas.openxmlformats.org/officeDocument/2006/relationships/hyperlink" Target="https://www.fangraphs.com/teams/mariners" TargetMode="External"/><Relationship Id="rId1320" Type="http://schemas.openxmlformats.org/officeDocument/2006/relationships/hyperlink" Target="https://www.fangraphs.com/teams/guardians" TargetMode="External"/><Relationship Id="rId2094" Type="http://schemas.openxmlformats.org/officeDocument/2006/relationships/hyperlink" Target="https://www.fangraphs.com/players/casey-legumina/25921/stats" TargetMode="External"/><Relationship Id="rId273" Type="http://schemas.openxmlformats.org/officeDocument/2006/relationships/hyperlink" Target="https://www.fangraphs.com/players/noelvi-marte/26517/stats" TargetMode="External"/><Relationship Id="rId480" Type="http://schemas.openxmlformats.org/officeDocument/2006/relationships/hyperlink" Target="https://www.fangraphs.com/teams/tigers" TargetMode="External"/><Relationship Id="rId2161" Type="http://schemas.openxmlformats.org/officeDocument/2006/relationships/hyperlink" Target="https://www.fangraphs.com/teams/white-sox" TargetMode="External"/><Relationship Id="rId133" Type="http://schemas.openxmlformats.org/officeDocument/2006/relationships/hyperlink" Target="https://www.fangraphs.com/players/austin-riley/18360/stats" TargetMode="External"/><Relationship Id="rId340" Type="http://schemas.openxmlformats.org/officeDocument/2006/relationships/hyperlink" Target="https://www.fangraphs.com/teams/mariners" TargetMode="External"/><Relationship Id="rId2021" Type="http://schemas.openxmlformats.org/officeDocument/2006/relationships/hyperlink" Target="https://www.fangraphs.com/players/sean-guenther/20045/stats" TargetMode="External"/><Relationship Id="rId200" Type="http://schemas.openxmlformats.org/officeDocument/2006/relationships/hyperlink" Target="https://www.fangraphs.com/teams/rangers" TargetMode="External"/><Relationship Id="rId1787" Type="http://schemas.openxmlformats.org/officeDocument/2006/relationships/hyperlink" Target="https://www.fangraphs.com/players/austin-slater/16153/stats" TargetMode="External"/><Relationship Id="rId1994" Type="http://schemas.openxmlformats.org/officeDocument/2006/relationships/hyperlink" Target="https://www.fangraphs.com/teams/pirates" TargetMode="External"/><Relationship Id="rId2838" Type="http://schemas.openxmlformats.org/officeDocument/2006/relationships/hyperlink" Target="https://www.fangraphs.com/players/jordyn-adams/23788/stats" TargetMode="External"/><Relationship Id="rId79" Type="http://schemas.openxmlformats.org/officeDocument/2006/relationships/hyperlink" Target="https://www.fangraphs.com/players/manny-machado/11493/stats" TargetMode="External"/><Relationship Id="rId1647" Type="http://schemas.openxmlformats.org/officeDocument/2006/relationships/hyperlink" Target="https://www.fangraphs.com/teams/pirates" TargetMode="External"/><Relationship Id="rId1854" Type="http://schemas.openxmlformats.org/officeDocument/2006/relationships/hyperlink" Target="https://www.fangraphs.com/teams/giants" TargetMode="External"/><Relationship Id="rId2905" Type="http://schemas.openxmlformats.org/officeDocument/2006/relationships/hyperlink" Target="https://www.fangraphs.com/teams/blue-jays" TargetMode="External"/><Relationship Id="rId1507" Type="http://schemas.openxmlformats.org/officeDocument/2006/relationships/hyperlink" Target="https://www.fangraphs.com/teams/twins" TargetMode="External"/><Relationship Id="rId1714" Type="http://schemas.openxmlformats.org/officeDocument/2006/relationships/hyperlink" Target="https://www.fangraphs.com/players/jake-fraley/19260/stats" TargetMode="External"/><Relationship Id="rId1921" Type="http://schemas.openxmlformats.org/officeDocument/2006/relationships/hyperlink" Target="https://www.fangraphs.com/players/kyle-farmer/14813/stats" TargetMode="External"/><Relationship Id="rId2488" Type="http://schemas.openxmlformats.org/officeDocument/2006/relationships/hyperlink" Target="https://www.fangraphs.com/players/christian-encarnacion-strand/30011/stats" TargetMode="External"/><Relationship Id="rId1297" Type="http://schemas.openxmlformats.org/officeDocument/2006/relationships/hyperlink" Target="https://www.fangraphs.com/players/colton-gordon/31312/stats" TargetMode="External"/><Relationship Id="rId2695" Type="http://schemas.openxmlformats.org/officeDocument/2006/relationships/hyperlink" Target="https://www.fangraphs.com/players/everson-pereira/23695/stats" TargetMode="External"/><Relationship Id="rId667" Type="http://schemas.openxmlformats.org/officeDocument/2006/relationships/hyperlink" Target="https://www.fangraphs.com/players/luisangel-acuna/26548/stats" TargetMode="External"/><Relationship Id="rId874" Type="http://schemas.openxmlformats.org/officeDocument/2006/relationships/hyperlink" Target="https://www.fangraphs.com/teams/braves" TargetMode="External"/><Relationship Id="rId2348" Type="http://schemas.openxmlformats.org/officeDocument/2006/relationships/hyperlink" Target="https://www.fangraphs.com/teams/orioles" TargetMode="External"/><Relationship Id="rId2555" Type="http://schemas.openxmlformats.org/officeDocument/2006/relationships/hyperlink" Target="https://www.fangraphs.com/players/yanquiel-fernandez/28552/stats" TargetMode="External"/><Relationship Id="rId2762" Type="http://schemas.openxmlformats.org/officeDocument/2006/relationships/hyperlink" Target="https://www.fangraphs.com/teams/rockies" TargetMode="External"/><Relationship Id="rId527" Type="http://schemas.openxmlformats.org/officeDocument/2006/relationships/hyperlink" Target="https://www.fangraphs.com/players/mike-burrows/24728/stats" TargetMode="External"/><Relationship Id="rId734" Type="http://schemas.openxmlformats.org/officeDocument/2006/relationships/hyperlink" Target="https://www.fangraphs.com/players/taj-bradley/22543/stats" TargetMode="External"/><Relationship Id="rId941" Type="http://schemas.openxmlformats.org/officeDocument/2006/relationships/hyperlink" Target="https://www.fangraphs.com/players/matt-strahm/13799/stats" TargetMode="External"/><Relationship Id="rId1157" Type="http://schemas.openxmlformats.org/officeDocument/2006/relationships/hyperlink" Target="https://www.fangraphs.com/players/angel-martinez/26540/stats" TargetMode="External"/><Relationship Id="rId1364" Type="http://schemas.openxmlformats.org/officeDocument/2006/relationships/hyperlink" Target="https://www.fangraphs.com/players/marcus-stroman/13431/stats" TargetMode="External"/><Relationship Id="rId1571" Type="http://schemas.openxmlformats.org/officeDocument/2006/relationships/hyperlink" Target="https://www.fangraphs.com/players/hunter-barco/33174/stats" TargetMode="External"/><Relationship Id="rId2208" Type="http://schemas.openxmlformats.org/officeDocument/2006/relationships/hyperlink" Target="https://www.fangraphs.com/teams/pirates" TargetMode="External"/><Relationship Id="rId2415" Type="http://schemas.openxmlformats.org/officeDocument/2006/relationships/hyperlink" Target="https://www.fangraphs.com/teams/rangers" TargetMode="External"/><Relationship Id="rId2622" Type="http://schemas.openxmlformats.org/officeDocument/2006/relationships/hyperlink" Target="https://www.fangraphs.com/teams/pirates" TargetMode="External"/><Relationship Id="rId70" Type="http://schemas.openxmlformats.org/officeDocument/2006/relationships/hyperlink" Target="https://www.fangraphs.com/teams/mariners" TargetMode="External"/><Relationship Id="rId801" Type="http://schemas.openxmlformats.org/officeDocument/2006/relationships/hyperlink" Target="https://www.fangraphs.com/teams/diamondbacks" TargetMode="External"/><Relationship Id="rId1017" Type="http://schemas.openxmlformats.org/officeDocument/2006/relationships/hyperlink" Target="https://www.fangraphs.com/teams/astros" TargetMode="External"/><Relationship Id="rId1224" Type="http://schemas.openxmlformats.org/officeDocument/2006/relationships/hyperlink" Target="https://www.fangraphs.com/players/isaac-mattson/20385/stats" TargetMode="External"/><Relationship Id="rId1431" Type="http://schemas.openxmlformats.org/officeDocument/2006/relationships/hyperlink" Target="https://www.fangraphs.com/teams/guardians" TargetMode="External"/><Relationship Id="rId177" Type="http://schemas.openxmlformats.org/officeDocument/2006/relationships/hyperlink" Target="https://www.fangraphs.com/players/josh-hader/14212/stats" TargetMode="External"/><Relationship Id="rId384" Type="http://schemas.openxmlformats.org/officeDocument/2006/relationships/hyperlink" Target="https://www.fangraphs.com/teams/rays" TargetMode="External"/><Relationship Id="rId591" Type="http://schemas.openxmlformats.org/officeDocument/2006/relationships/hyperlink" Target="https://www.fangraphs.com/players/tyler-mahle/16358/stats" TargetMode="External"/><Relationship Id="rId2065" Type="http://schemas.openxmlformats.org/officeDocument/2006/relationships/hyperlink" Target="https://www.fangraphs.com/players/luis-urias/16622/stats" TargetMode="External"/><Relationship Id="rId2272" Type="http://schemas.openxmlformats.org/officeDocument/2006/relationships/hyperlink" Target="https://www.fangraphs.com/teams/padres" TargetMode="External"/><Relationship Id="rId244" Type="http://schemas.openxmlformats.org/officeDocument/2006/relationships/hyperlink" Target="https://www.fangraphs.com/teams/angels" TargetMode="External"/><Relationship Id="rId1081" Type="http://schemas.openxmlformats.org/officeDocument/2006/relationships/hyperlink" Target="https://www.fangraphs.com/players/adam-frazier/15223/stats" TargetMode="External"/><Relationship Id="rId451" Type="http://schemas.openxmlformats.org/officeDocument/2006/relationships/hyperlink" Target="https://www.fangraphs.com/players/matthew-boyd/15440/stats" TargetMode="External"/><Relationship Id="rId2132" Type="http://schemas.openxmlformats.org/officeDocument/2006/relationships/hyperlink" Target="https://www.fangraphs.com/players/carlos-duran/24458/stats" TargetMode="External"/><Relationship Id="rId104" Type="http://schemas.openxmlformats.org/officeDocument/2006/relationships/hyperlink" Target="https://www.fangraphs.com/teams/brewers" TargetMode="External"/><Relationship Id="rId311" Type="http://schemas.openxmlformats.org/officeDocument/2006/relationships/hyperlink" Target="https://www.fangraphs.com/players/abner-uribe/25327/stats" TargetMode="External"/><Relationship Id="rId1898" Type="http://schemas.openxmlformats.org/officeDocument/2006/relationships/hyperlink" Target="https://www.fangraphs.com/players/jack-little/26152/stats" TargetMode="External"/><Relationship Id="rId1758" Type="http://schemas.openxmlformats.org/officeDocument/2006/relationships/hyperlink" Target="https://www.fangraphs.com/teams/orioles" TargetMode="External"/><Relationship Id="rId2809" Type="http://schemas.openxmlformats.org/officeDocument/2006/relationships/hyperlink" Target="https://www.fangraphs.com/players/shay-whitcomb/27789/stats" TargetMode="External"/><Relationship Id="rId1965" Type="http://schemas.openxmlformats.org/officeDocument/2006/relationships/hyperlink" Target="https://www.fangraphs.com/teams/mets" TargetMode="External"/><Relationship Id="rId1618" Type="http://schemas.openxmlformats.org/officeDocument/2006/relationships/hyperlink" Target="https://www.fangraphs.com/teams/phillies" TargetMode="External"/><Relationship Id="rId1825" Type="http://schemas.openxmlformats.org/officeDocument/2006/relationships/hyperlink" Target="https://www.fangraphs.com/teams/phillies" TargetMode="External"/><Relationship Id="rId2599" Type="http://schemas.openxmlformats.org/officeDocument/2006/relationships/hyperlink" Target="https://www.fangraphs.com/teams/blue-jays" TargetMode="External"/><Relationship Id="rId778" Type="http://schemas.openxmlformats.org/officeDocument/2006/relationships/hyperlink" Target="https://www.fangraphs.com/players/michael-soroka/18383/stats" TargetMode="External"/><Relationship Id="rId985" Type="http://schemas.openxmlformats.org/officeDocument/2006/relationships/hyperlink" Target="https://www.fangraphs.com/teams/marlins" TargetMode="External"/><Relationship Id="rId2459" Type="http://schemas.openxmlformats.org/officeDocument/2006/relationships/hyperlink" Target="https://www.fangraphs.com/teams/astros" TargetMode="External"/><Relationship Id="rId2666" Type="http://schemas.openxmlformats.org/officeDocument/2006/relationships/hyperlink" Target="https://www.fangraphs.com/players/brett-wisely/27735/stats" TargetMode="External"/><Relationship Id="rId2873" Type="http://schemas.openxmlformats.org/officeDocument/2006/relationships/hyperlink" Target="https://www.fangraphs.com/players/carson-mccusker/33098/stats" TargetMode="External"/><Relationship Id="rId638" Type="http://schemas.openxmlformats.org/officeDocument/2006/relationships/hyperlink" Target="https://www.fangraphs.com/teams/cubs" TargetMode="External"/><Relationship Id="rId845" Type="http://schemas.openxmlformats.org/officeDocument/2006/relationships/hyperlink" Target="https://www.fangraphs.com/players/jacob-latz/21306/stats" TargetMode="External"/><Relationship Id="rId1268" Type="http://schemas.openxmlformats.org/officeDocument/2006/relationships/hyperlink" Target="https://www.fangraphs.com/teams/mets" TargetMode="External"/><Relationship Id="rId1475" Type="http://schemas.openxmlformats.org/officeDocument/2006/relationships/hyperlink" Target="https://www.fangraphs.com/teams/angels" TargetMode="External"/><Relationship Id="rId1682" Type="http://schemas.openxmlformats.org/officeDocument/2006/relationships/hyperlink" Target="https://www.fangraphs.com/teams/astros" TargetMode="External"/><Relationship Id="rId2319" Type="http://schemas.openxmlformats.org/officeDocument/2006/relationships/hyperlink" Target="https://www.fangraphs.com/players/nate-eaton/25055/stats" TargetMode="External"/><Relationship Id="rId2526" Type="http://schemas.openxmlformats.org/officeDocument/2006/relationships/hyperlink" Target="https://www.fangraphs.com/players/andry-lara/27967/stats" TargetMode="External"/><Relationship Id="rId2733" Type="http://schemas.openxmlformats.org/officeDocument/2006/relationships/hyperlink" Target="https://www.fangraphs.com/teams/dodgers" TargetMode="External"/><Relationship Id="rId705" Type="http://schemas.openxmlformats.org/officeDocument/2006/relationships/hyperlink" Target="https://www.fangraphs.com/players/brooks-lee/31595/stats" TargetMode="External"/><Relationship Id="rId1128" Type="http://schemas.openxmlformats.org/officeDocument/2006/relationships/hyperlink" Target="https://www.fangraphs.com/players/landon-knack/27487/stats" TargetMode="External"/><Relationship Id="rId1335" Type="http://schemas.openxmlformats.org/officeDocument/2006/relationships/hyperlink" Target="https://www.fangraphs.com/teams/giants" TargetMode="External"/><Relationship Id="rId1542" Type="http://schemas.openxmlformats.org/officeDocument/2006/relationships/hyperlink" Target="https://www.fangraphs.com/players/spencer-bivens/30226/stats" TargetMode="External"/><Relationship Id="rId912" Type="http://schemas.openxmlformats.org/officeDocument/2006/relationships/hyperlink" Target="https://www.fangraphs.com/teams/nationals" TargetMode="External"/><Relationship Id="rId2800" Type="http://schemas.openxmlformats.org/officeDocument/2006/relationships/hyperlink" Target="https://www.fangraphs.com/players/coco-montes/21547/stats" TargetMode="External"/><Relationship Id="rId41" Type="http://schemas.openxmlformats.org/officeDocument/2006/relationships/hyperlink" Target="https://www.fangraphs.com/players/jackson-chourio/28806/stats" TargetMode="External"/><Relationship Id="rId1402" Type="http://schemas.openxmlformats.org/officeDocument/2006/relationships/hyperlink" Target="https://www.fangraphs.com/players/casey-schmitt/27577/stats" TargetMode="External"/><Relationship Id="rId288" Type="http://schemas.openxmlformats.org/officeDocument/2006/relationships/hyperlink" Target="https://www.fangraphs.com/teams/pirates" TargetMode="External"/><Relationship Id="rId495" Type="http://schemas.openxmlformats.org/officeDocument/2006/relationships/hyperlink" Target="https://www.fangraphs.com/players/kodai-senga/31838/stats" TargetMode="External"/><Relationship Id="rId2176" Type="http://schemas.openxmlformats.org/officeDocument/2006/relationships/hyperlink" Target="https://www.fangraphs.com/players/scott-blewett/16427/stats" TargetMode="External"/><Relationship Id="rId2383" Type="http://schemas.openxmlformats.org/officeDocument/2006/relationships/hyperlink" Target="https://www.fangraphs.com/players/thomas-hatch/19264/stats" TargetMode="External"/><Relationship Id="rId2590" Type="http://schemas.openxmlformats.org/officeDocument/2006/relationships/hyperlink" Target="https://www.fangraphs.com/players/chris-taylor/13757/stats" TargetMode="External"/><Relationship Id="rId148" Type="http://schemas.openxmlformats.org/officeDocument/2006/relationships/hyperlink" Target="https://www.fangraphs.com/teams/red-sox" TargetMode="External"/><Relationship Id="rId355" Type="http://schemas.openxmlformats.org/officeDocument/2006/relationships/hyperlink" Target="https://www.fangraphs.com/players/alec-burleson/27615/stats" TargetMode="External"/><Relationship Id="rId562" Type="http://schemas.openxmlformats.org/officeDocument/2006/relationships/hyperlink" Target="https://www.fangraphs.com/teams/twins" TargetMode="External"/><Relationship Id="rId1192" Type="http://schemas.openxmlformats.org/officeDocument/2006/relationships/hyperlink" Target="https://www.fangraphs.com/teams/rockies" TargetMode="External"/><Relationship Id="rId2036" Type="http://schemas.openxmlformats.org/officeDocument/2006/relationships/hyperlink" Target="https://www.fangraphs.com/teams/orioles" TargetMode="External"/><Relationship Id="rId2243" Type="http://schemas.openxmlformats.org/officeDocument/2006/relationships/hyperlink" Target="https://www.fangraphs.com/teams/brewers" TargetMode="External"/><Relationship Id="rId2450" Type="http://schemas.openxmlformats.org/officeDocument/2006/relationships/hyperlink" Target="https://www.fangraphs.com/players/weston-wilson/19358/stats" TargetMode="External"/><Relationship Id="rId215" Type="http://schemas.openxmlformats.org/officeDocument/2006/relationships/hyperlink" Target="https://www.fangraphs.com/players/nico-hoerner/21479/stats" TargetMode="External"/><Relationship Id="rId422" Type="http://schemas.openxmlformats.org/officeDocument/2006/relationships/hyperlink" Target="https://www.fangraphs.com/teams/brewers" TargetMode="External"/><Relationship Id="rId1052" Type="http://schemas.openxmlformats.org/officeDocument/2006/relationships/hyperlink" Target="https://www.fangraphs.com/teams/white-sox" TargetMode="External"/><Relationship Id="rId2103" Type="http://schemas.openxmlformats.org/officeDocument/2006/relationships/hyperlink" Target="https://www.fangraphs.com/players/lazaro-estrada/24914/stats" TargetMode="External"/><Relationship Id="rId2310" Type="http://schemas.openxmlformats.org/officeDocument/2006/relationships/hyperlink" Target="https://www.fangraphs.com/teams/reds" TargetMode="External"/><Relationship Id="rId1869" Type="http://schemas.openxmlformats.org/officeDocument/2006/relationships/hyperlink" Target="https://www.fangraphs.com/teams/royals" TargetMode="External"/><Relationship Id="rId1729" Type="http://schemas.openxmlformats.org/officeDocument/2006/relationships/hyperlink" Target="https://www.fangraphs.com/teams/mets" TargetMode="External"/><Relationship Id="rId1936" Type="http://schemas.openxmlformats.org/officeDocument/2006/relationships/hyperlink" Target="https://www.fangraphs.com/teams/pirates" TargetMode="External"/><Relationship Id="rId5" Type="http://schemas.openxmlformats.org/officeDocument/2006/relationships/hyperlink" Target="https://www.fangraphs.com/players/aaron-judge/15640/stats" TargetMode="External"/><Relationship Id="rId889" Type="http://schemas.openxmlformats.org/officeDocument/2006/relationships/hyperlink" Target="https://www.fangraphs.com/players/jeffrey-springs/17677/stats" TargetMode="External"/><Relationship Id="rId2777" Type="http://schemas.openxmlformats.org/officeDocument/2006/relationships/hyperlink" Target="https://www.fangraphs.com/teams/pirates" TargetMode="External"/><Relationship Id="rId749" Type="http://schemas.openxmlformats.org/officeDocument/2006/relationships/hyperlink" Target="https://www.fangraphs.com/teams/red-sox" TargetMode="External"/><Relationship Id="rId1379" Type="http://schemas.openxmlformats.org/officeDocument/2006/relationships/hyperlink" Target="https://www.fangraphs.com/teams/angels" TargetMode="External"/><Relationship Id="rId1586" Type="http://schemas.openxmlformats.org/officeDocument/2006/relationships/hyperlink" Target="https://www.fangraphs.com/teams/rays" TargetMode="External"/><Relationship Id="rId609" Type="http://schemas.openxmlformats.org/officeDocument/2006/relationships/hyperlink" Target="https://www.fangraphs.com/players/marcell-ozuna/10324/stats" TargetMode="External"/><Relationship Id="rId956" Type="http://schemas.openxmlformats.org/officeDocument/2006/relationships/hyperlink" Target="https://www.fangraphs.com/players/colin-rea/12317/stats" TargetMode="External"/><Relationship Id="rId1239" Type="http://schemas.openxmlformats.org/officeDocument/2006/relationships/hyperlink" Target="https://www.fangraphs.com/players/cade-gibson/31815/stats" TargetMode="External"/><Relationship Id="rId1793" Type="http://schemas.openxmlformats.org/officeDocument/2006/relationships/hyperlink" Target="https://www.fangraphs.com/teams/tigers" TargetMode="External"/><Relationship Id="rId2637" Type="http://schemas.openxmlformats.org/officeDocument/2006/relationships/hyperlink" Target="https://www.fangraphs.com/players/johnathan-rodriguez/22530/stats" TargetMode="External"/><Relationship Id="rId2844" Type="http://schemas.openxmlformats.org/officeDocument/2006/relationships/hyperlink" Target="https://www.fangraphs.com/teams/nationals" TargetMode="External"/><Relationship Id="rId85" Type="http://schemas.openxmlformats.org/officeDocument/2006/relationships/hyperlink" Target="https://www.fangraphs.com/players/cade-smith/27867/stats" TargetMode="External"/><Relationship Id="rId816" Type="http://schemas.openxmlformats.org/officeDocument/2006/relationships/hyperlink" Target="https://www.fangraphs.com/players/kody-clemens/20572/stats" TargetMode="External"/><Relationship Id="rId1446" Type="http://schemas.openxmlformats.org/officeDocument/2006/relationships/hyperlink" Target="https://www.fangraphs.com/players/sam-aldegheri/26443/stats" TargetMode="External"/><Relationship Id="rId1653" Type="http://schemas.openxmlformats.org/officeDocument/2006/relationships/hyperlink" Target="https://www.fangraphs.com/teams/mets" TargetMode="External"/><Relationship Id="rId1860" Type="http://schemas.openxmlformats.org/officeDocument/2006/relationships/hyperlink" Target="https://www.fangraphs.com/teams/mariners" TargetMode="External"/><Relationship Id="rId2704" Type="http://schemas.openxmlformats.org/officeDocument/2006/relationships/hyperlink" Target="https://www.fangraphs.com/teams/braves" TargetMode="External"/><Relationship Id="rId2911" Type="http://schemas.openxmlformats.org/officeDocument/2006/relationships/hyperlink" Target="https://www.fangraphs.com/players/nicky-lopez/19339/stats" TargetMode="External"/><Relationship Id="rId1306" Type="http://schemas.openxmlformats.org/officeDocument/2006/relationships/hyperlink" Target="https://www.fangraphs.com/teams/blue-jays" TargetMode="External"/><Relationship Id="rId1513" Type="http://schemas.openxmlformats.org/officeDocument/2006/relationships/hyperlink" Target="https://www.fangraphs.com/teams/pirates" TargetMode="External"/><Relationship Id="rId1720" Type="http://schemas.openxmlformats.org/officeDocument/2006/relationships/hyperlink" Target="https://www.fangraphs.com/players/jhonathan-diaz/20298/stats" TargetMode="External"/><Relationship Id="rId12" Type="http://schemas.openxmlformats.org/officeDocument/2006/relationships/hyperlink" Target="https://www.fangraphs.com/teams/guardians" TargetMode="External"/><Relationship Id="rId399" Type="http://schemas.openxmlformats.org/officeDocument/2006/relationships/hyperlink" Target="https://www.fangraphs.com/players/seranthony-dominguez/19249/stats" TargetMode="External"/><Relationship Id="rId2287" Type="http://schemas.openxmlformats.org/officeDocument/2006/relationships/hyperlink" Target="https://www.fangraphs.com/players/kristian-campbell/33644/stats" TargetMode="External"/><Relationship Id="rId2494" Type="http://schemas.openxmlformats.org/officeDocument/2006/relationships/hyperlink" Target="https://www.fangraphs.com/teams/nationals" TargetMode="External"/><Relationship Id="rId259" Type="http://schemas.openxmlformats.org/officeDocument/2006/relationships/hyperlink" Target="https://www.fangraphs.com/players/ryan-pepiot/26221/stats" TargetMode="External"/><Relationship Id="rId466" Type="http://schemas.openxmlformats.org/officeDocument/2006/relationships/hyperlink" Target="https://www.fangraphs.com/teams/nationals" TargetMode="External"/><Relationship Id="rId673" Type="http://schemas.openxmlformats.org/officeDocument/2006/relationships/hyperlink" Target="https://www.fangraphs.com/players/zach-mckinstry/19392/stats" TargetMode="External"/><Relationship Id="rId880" Type="http://schemas.openxmlformats.org/officeDocument/2006/relationships/hyperlink" Target="https://www.fangraphs.com/teams/reds" TargetMode="External"/><Relationship Id="rId1096" Type="http://schemas.openxmlformats.org/officeDocument/2006/relationships/hyperlink" Target="https://www.fangraphs.com/players/lake-bachar/19222/stats" TargetMode="External"/><Relationship Id="rId2147" Type="http://schemas.openxmlformats.org/officeDocument/2006/relationships/hyperlink" Target="https://www.fangraphs.com/teams/brewers" TargetMode="External"/><Relationship Id="rId2354" Type="http://schemas.openxmlformats.org/officeDocument/2006/relationships/hyperlink" Target="https://www.fangraphs.com/teams/giants" TargetMode="External"/><Relationship Id="rId2561" Type="http://schemas.openxmlformats.org/officeDocument/2006/relationships/hyperlink" Target="https://www.fangraphs.com/teams/mets" TargetMode="External"/><Relationship Id="rId119" Type="http://schemas.openxmlformats.org/officeDocument/2006/relationships/hyperlink" Target="https://www.fangraphs.com/players/david-bednar/19569/stats" TargetMode="External"/><Relationship Id="rId326" Type="http://schemas.openxmlformats.org/officeDocument/2006/relationships/hyperlink" Target="https://www.fangraphs.com/teams/giants" TargetMode="External"/><Relationship Id="rId533" Type="http://schemas.openxmlformats.org/officeDocument/2006/relationships/hyperlink" Target="https://www.fangraphs.com/players/sean-manaea/15873/stats" TargetMode="External"/><Relationship Id="rId1163" Type="http://schemas.openxmlformats.org/officeDocument/2006/relationships/hyperlink" Target="https://www.fangraphs.com/players/david-festa/30056/stats" TargetMode="External"/><Relationship Id="rId1370" Type="http://schemas.openxmlformats.org/officeDocument/2006/relationships/hyperlink" Target="https://www.fangraphs.com/teams/twins" TargetMode="External"/><Relationship Id="rId2007" Type="http://schemas.openxmlformats.org/officeDocument/2006/relationships/hyperlink" Target="https://www.fangraphs.com/players/paxton-schultz/25501/stats" TargetMode="External"/><Relationship Id="rId2214" Type="http://schemas.openxmlformats.org/officeDocument/2006/relationships/hyperlink" Target="https://www.fangraphs.com/players/roddery-munoz/25311/stats" TargetMode="External"/><Relationship Id="rId740" Type="http://schemas.openxmlformats.org/officeDocument/2006/relationships/hyperlink" Target="https://www.fangraphs.com/players/nick-castellanos/11737/stats" TargetMode="External"/><Relationship Id="rId1023" Type="http://schemas.openxmlformats.org/officeDocument/2006/relationships/hyperlink" Target="https://www.fangraphs.com/teams/cubs" TargetMode="External"/><Relationship Id="rId2421" Type="http://schemas.openxmlformats.org/officeDocument/2006/relationships/hyperlink" Target="https://www.fangraphs.com/teams/marlins" TargetMode="External"/><Relationship Id="rId600" Type="http://schemas.openxmlformats.org/officeDocument/2006/relationships/hyperlink" Target="https://www.fangraphs.com/teams/angels" TargetMode="External"/><Relationship Id="rId1230" Type="http://schemas.openxmlformats.org/officeDocument/2006/relationships/hyperlink" Target="https://www.fangraphs.com/teams/guardians" TargetMode="External"/><Relationship Id="rId183" Type="http://schemas.openxmlformats.org/officeDocument/2006/relationships/hyperlink" Target="https://www.fangraphs.com/players/oneil-cruz/21711/stats" TargetMode="External"/><Relationship Id="rId390" Type="http://schemas.openxmlformats.org/officeDocument/2006/relationships/hyperlink" Target="https://www.fangraphs.com/teams/reds" TargetMode="External"/><Relationship Id="rId1907" Type="http://schemas.openxmlformats.org/officeDocument/2006/relationships/hyperlink" Target="https://www.fangraphs.com/players/jesse-scholtens/19205/stats" TargetMode="External"/><Relationship Id="rId2071" Type="http://schemas.openxmlformats.org/officeDocument/2006/relationships/hyperlink" Target="https://www.fangraphs.com/teams/royals" TargetMode="External"/><Relationship Id="rId250" Type="http://schemas.openxmlformats.org/officeDocument/2006/relationships/hyperlink" Target="https://www.fangraphs.com/teams/padres" TargetMode="External"/><Relationship Id="rId110" Type="http://schemas.openxmlformats.org/officeDocument/2006/relationships/hyperlink" Target="https://www.fangraphs.com/teams/athletics" TargetMode="External"/><Relationship Id="rId2888" Type="http://schemas.openxmlformats.org/officeDocument/2006/relationships/hyperlink" Target="https://www.fangraphs.com/players/aaron-schunk/25524/stats" TargetMode="External"/><Relationship Id="rId1697" Type="http://schemas.openxmlformats.org/officeDocument/2006/relationships/hyperlink" Target="https://www.fangraphs.com/players/colin-selby/24986/stats" TargetMode="External"/><Relationship Id="rId2748" Type="http://schemas.openxmlformats.org/officeDocument/2006/relationships/hyperlink" Target="https://www.fangraphs.com/teams/yankees" TargetMode="External"/><Relationship Id="rId927" Type="http://schemas.openxmlformats.org/officeDocument/2006/relationships/hyperlink" Target="https://www.fangraphs.com/players/ronny-henriquez/24094/stats" TargetMode="External"/><Relationship Id="rId1557" Type="http://schemas.openxmlformats.org/officeDocument/2006/relationships/hyperlink" Target="https://www.fangraphs.com/players/luke-maile/13355/stats" TargetMode="External"/><Relationship Id="rId1764" Type="http://schemas.openxmlformats.org/officeDocument/2006/relationships/hyperlink" Target="https://www.fangraphs.com/players/jose-quijada/19200/stats" TargetMode="External"/><Relationship Id="rId1971" Type="http://schemas.openxmlformats.org/officeDocument/2006/relationships/hyperlink" Target="https://www.fangraphs.com/teams/dodgers" TargetMode="External"/><Relationship Id="rId2608" Type="http://schemas.openxmlformats.org/officeDocument/2006/relationships/hyperlink" Target="https://www.fangraphs.com/players/tristan-gray/19877/stats" TargetMode="External"/><Relationship Id="rId2815" Type="http://schemas.openxmlformats.org/officeDocument/2006/relationships/hyperlink" Target="https://www.fangraphs.com/players/bryan-ramos/25621/stats" TargetMode="External"/><Relationship Id="rId56" Type="http://schemas.openxmlformats.org/officeDocument/2006/relationships/hyperlink" Target="https://www.fangraphs.com/teams/dodgers" TargetMode="External"/><Relationship Id="rId1417" Type="http://schemas.openxmlformats.org/officeDocument/2006/relationships/hyperlink" Target="https://www.fangraphs.com/teams/angels" TargetMode="External"/><Relationship Id="rId1624" Type="http://schemas.openxmlformats.org/officeDocument/2006/relationships/hyperlink" Target="https://www.fangraphs.com/players/dauri-moreta/21101/stats" TargetMode="External"/><Relationship Id="rId1831" Type="http://schemas.openxmlformats.org/officeDocument/2006/relationships/hyperlink" Target="https://www.fangraphs.com/teams/angels" TargetMode="External"/><Relationship Id="rId2398" Type="http://schemas.openxmlformats.org/officeDocument/2006/relationships/hyperlink" Target="https://www.fangraphs.com/players/jordan-romano/16122/stats" TargetMode="External"/><Relationship Id="rId577" Type="http://schemas.openxmlformats.org/officeDocument/2006/relationships/hyperlink" Target="https://www.fangraphs.com/players/ian-seymour/27932/stats" TargetMode="External"/><Relationship Id="rId2258" Type="http://schemas.openxmlformats.org/officeDocument/2006/relationships/hyperlink" Target="https://www.fangraphs.com/teams/diamondbacks" TargetMode="External"/><Relationship Id="rId784" Type="http://schemas.openxmlformats.org/officeDocument/2006/relationships/hyperlink" Target="https://www.fangraphs.com/players/nick-martinez/12730/stats" TargetMode="External"/><Relationship Id="rId991" Type="http://schemas.openxmlformats.org/officeDocument/2006/relationships/hyperlink" Target="https://www.fangraphs.com/teams/mariners" TargetMode="External"/><Relationship Id="rId1067" Type="http://schemas.openxmlformats.org/officeDocument/2006/relationships/hyperlink" Target="https://www.fangraphs.com/players/luis-garcia/23735/stats" TargetMode="External"/><Relationship Id="rId2465" Type="http://schemas.openxmlformats.org/officeDocument/2006/relationships/hyperlink" Target="https://www.fangraphs.com/teams/yankees" TargetMode="External"/><Relationship Id="rId2672" Type="http://schemas.openxmlformats.org/officeDocument/2006/relationships/hyperlink" Target="https://www.fangraphs.com/players/enmanuel-valdez/21716/stats" TargetMode="External"/><Relationship Id="rId437" Type="http://schemas.openxmlformats.org/officeDocument/2006/relationships/hyperlink" Target="https://www.fangraphs.com/players/jack-flaherty/17479/stats" TargetMode="External"/><Relationship Id="rId644" Type="http://schemas.openxmlformats.org/officeDocument/2006/relationships/hyperlink" Target="https://www.fangraphs.com/teams/rockies" TargetMode="External"/><Relationship Id="rId851" Type="http://schemas.openxmlformats.org/officeDocument/2006/relationships/hyperlink" Target="https://www.fangraphs.com/players/andrew-saalfrank/26203/stats" TargetMode="External"/><Relationship Id="rId1274" Type="http://schemas.openxmlformats.org/officeDocument/2006/relationships/hyperlink" Target="https://www.fangraphs.com/teams/reds" TargetMode="External"/><Relationship Id="rId1481" Type="http://schemas.openxmlformats.org/officeDocument/2006/relationships/hyperlink" Target="https://www.fangraphs.com/players/eric-haase/14111/stats" TargetMode="External"/><Relationship Id="rId2118" Type="http://schemas.openxmlformats.org/officeDocument/2006/relationships/hyperlink" Target="https://www.fangraphs.com/teams/twins" TargetMode="External"/><Relationship Id="rId2325" Type="http://schemas.openxmlformats.org/officeDocument/2006/relationships/hyperlink" Target="https://www.fangraphs.com/teams/white-sox" TargetMode="External"/><Relationship Id="rId2532" Type="http://schemas.openxmlformats.org/officeDocument/2006/relationships/hyperlink" Target="https://www.fangraphs.com/players/taylor-trammell/19960/stats" TargetMode="External"/><Relationship Id="rId504" Type="http://schemas.openxmlformats.org/officeDocument/2006/relationships/hyperlink" Target="https://www.fangraphs.com/teams/red-sox" TargetMode="External"/><Relationship Id="rId711" Type="http://schemas.openxmlformats.org/officeDocument/2006/relationships/hyperlink" Target="https://www.fangraphs.com/teams/pirates" TargetMode="External"/><Relationship Id="rId1134" Type="http://schemas.openxmlformats.org/officeDocument/2006/relationships/hyperlink" Target="https://www.fangraphs.com/players/jackson-jobe/30203/stats" TargetMode="External"/><Relationship Id="rId1341" Type="http://schemas.openxmlformats.org/officeDocument/2006/relationships/hyperlink" Target="https://www.fangraphs.com/teams/diamondbacks" TargetMode="External"/><Relationship Id="rId1201" Type="http://schemas.openxmlformats.org/officeDocument/2006/relationships/hyperlink" Target="https://www.fangraphs.com/players/anthony-banda/14706/stats" TargetMode="External"/><Relationship Id="rId294" Type="http://schemas.openxmlformats.org/officeDocument/2006/relationships/hyperlink" Target="https://www.fangraphs.com/teams/marlins" TargetMode="External"/><Relationship Id="rId2182" Type="http://schemas.openxmlformats.org/officeDocument/2006/relationships/hyperlink" Target="https://www.fangraphs.com/players/kenta-maeda/18498/stats" TargetMode="External"/><Relationship Id="rId154" Type="http://schemas.openxmlformats.org/officeDocument/2006/relationships/hyperlink" Target="https://www.fangraphs.com/teams/diamondbacks" TargetMode="External"/><Relationship Id="rId361" Type="http://schemas.openxmlformats.org/officeDocument/2006/relationships/hyperlink" Target="https://www.fangraphs.com/players/matt-mclain/29695/stats" TargetMode="External"/><Relationship Id="rId2042" Type="http://schemas.openxmlformats.org/officeDocument/2006/relationships/hyperlink" Target="https://www.fangraphs.com/teams/pirates" TargetMode="External"/><Relationship Id="rId221" Type="http://schemas.openxmlformats.org/officeDocument/2006/relationships/hyperlink" Target="https://www.fangraphs.com/players/emilio-pagan/14771/stats" TargetMode="External"/><Relationship Id="rId2859" Type="http://schemas.openxmlformats.org/officeDocument/2006/relationships/hyperlink" Target="https://www.fangraphs.com/players/nick-ahmed/12147/stats" TargetMode="External"/><Relationship Id="rId1668" Type="http://schemas.openxmlformats.org/officeDocument/2006/relationships/hyperlink" Target="https://www.fangraphs.com/players/nick-raquet/20333/stats" TargetMode="External"/><Relationship Id="rId1875" Type="http://schemas.openxmlformats.org/officeDocument/2006/relationships/hyperlink" Target="https://www.fangraphs.com/teams/braves" TargetMode="External"/><Relationship Id="rId2719" Type="http://schemas.openxmlformats.org/officeDocument/2006/relationships/hyperlink" Target="https://www.fangraphs.com/players/ryan-bliss/29547/stats" TargetMode="External"/><Relationship Id="rId1528" Type="http://schemas.openxmlformats.org/officeDocument/2006/relationships/hyperlink" Target="https://www.fangraphs.com/teams/phillies" TargetMode="External"/><Relationship Id="rId2926" Type="http://schemas.openxmlformats.org/officeDocument/2006/relationships/hyperlink" Target="https://www.fangraphs.com/teams/padres" TargetMode="External"/><Relationship Id="rId1735" Type="http://schemas.openxmlformats.org/officeDocument/2006/relationships/hyperlink" Target="https://www.fangraphs.com/teams/orioles" TargetMode="External"/><Relationship Id="rId1942" Type="http://schemas.openxmlformats.org/officeDocument/2006/relationships/hyperlink" Target="https://www.fangraphs.com/teams/cubs" TargetMode="External"/><Relationship Id="rId27" Type="http://schemas.openxmlformats.org/officeDocument/2006/relationships/hyperlink" Target="https://www.fangraphs.com/players/gunnar-henderson/26289/stats" TargetMode="External"/><Relationship Id="rId1802" Type="http://schemas.openxmlformats.org/officeDocument/2006/relationships/hyperlink" Target="https://www.fangraphs.com/players/adam-ottavino/1247/stats" TargetMode="External"/><Relationship Id="rId688" Type="http://schemas.openxmlformats.org/officeDocument/2006/relationships/hyperlink" Target="https://www.fangraphs.com/teams/angels" TargetMode="External"/><Relationship Id="rId895" Type="http://schemas.openxmlformats.org/officeDocument/2006/relationships/hyperlink" Target="https://www.fangraphs.com/players/denzel-clarke/29858/stats" TargetMode="External"/><Relationship Id="rId2369" Type="http://schemas.openxmlformats.org/officeDocument/2006/relationships/hyperlink" Target="https://www.fangraphs.com/teams/rockies" TargetMode="External"/><Relationship Id="rId2576" Type="http://schemas.openxmlformats.org/officeDocument/2006/relationships/hyperlink" Target="https://www.fangraphs.com/players/blaine-crim/25714/stats" TargetMode="External"/><Relationship Id="rId2783" Type="http://schemas.openxmlformats.org/officeDocument/2006/relationships/hyperlink" Target="https://www.fangraphs.com/players/trey-lipscomb/31567/stats" TargetMode="External"/><Relationship Id="rId548" Type="http://schemas.openxmlformats.org/officeDocument/2006/relationships/hyperlink" Target="https://www.fangraphs.com/teams/mets" TargetMode="External"/><Relationship Id="rId755" Type="http://schemas.openxmlformats.org/officeDocument/2006/relationships/hyperlink" Target="https://www.fangraphs.com/teams/diamondbacks" TargetMode="External"/><Relationship Id="rId962" Type="http://schemas.openxmlformats.org/officeDocument/2006/relationships/hyperlink" Target="https://www.fangraphs.com/players/kyle-higashioka/5517/stats" TargetMode="External"/><Relationship Id="rId1178" Type="http://schemas.openxmlformats.org/officeDocument/2006/relationships/hyperlink" Target="https://www.fangraphs.com/teams/cardinals" TargetMode="External"/><Relationship Id="rId1385" Type="http://schemas.openxmlformats.org/officeDocument/2006/relationships/hyperlink" Target="https://www.fangraphs.com/players/erik-sabrowski/24978/stats" TargetMode="External"/><Relationship Id="rId1592" Type="http://schemas.openxmlformats.org/officeDocument/2006/relationships/hyperlink" Target="https://www.fangraphs.com/players/mccade-brown/30004/stats" TargetMode="External"/><Relationship Id="rId2229" Type="http://schemas.openxmlformats.org/officeDocument/2006/relationships/hyperlink" Target="https://www.fangraphs.com/players/cody-poteet/18769/stats" TargetMode="External"/><Relationship Id="rId2436" Type="http://schemas.openxmlformats.org/officeDocument/2006/relationships/hyperlink" Target="https://www.fangraphs.com/teams/mariners" TargetMode="External"/><Relationship Id="rId2643" Type="http://schemas.openxmlformats.org/officeDocument/2006/relationships/hyperlink" Target="https://www.fangraphs.com/players/tyler-wade/15730/stats" TargetMode="External"/><Relationship Id="rId2850" Type="http://schemas.openxmlformats.org/officeDocument/2006/relationships/hyperlink" Target="https://www.fangraphs.com/teams/twins" TargetMode="External"/><Relationship Id="rId91" Type="http://schemas.openxmlformats.org/officeDocument/2006/relationships/hyperlink" Target="https://www.fangraphs.com/players/cole-ragans/21846/stats" TargetMode="External"/><Relationship Id="rId408" Type="http://schemas.openxmlformats.org/officeDocument/2006/relationships/hyperlink" Target="https://www.fangraphs.com/teams/royals" TargetMode="External"/><Relationship Id="rId615" Type="http://schemas.openxmlformats.org/officeDocument/2006/relationships/hyperlink" Target="https://www.fangraphs.com/players/robert-stephenson/13594/stats" TargetMode="External"/><Relationship Id="rId822" Type="http://schemas.openxmlformats.org/officeDocument/2006/relationships/hyperlink" Target="https://www.fangraphs.com/players/ryan-mcmahon/15112/stats" TargetMode="External"/><Relationship Id="rId1038" Type="http://schemas.openxmlformats.org/officeDocument/2006/relationships/hyperlink" Target="https://www.fangraphs.com/teams/astros" TargetMode="External"/><Relationship Id="rId1245" Type="http://schemas.openxmlformats.org/officeDocument/2006/relationships/hyperlink" Target="https://www.fangraphs.com/players/rich-hill/4806/stats" TargetMode="External"/><Relationship Id="rId1452" Type="http://schemas.openxmlformats.org/officeDocument/2006/relationships/hyperlink" Target="https://www.fangraphs.com/players/brenan-hanifee/22304/stats" TargetMode="External"/><Relationship Id="rId2503" Type="http://schemas.openxmlformats.org/officeDocument/2006/relationships/hyperlink" Target="https://www.fangraphs.com/teams/yankees" TargetMode="External"/><Relationship Id="rId1105" Type="http://schemas.openxmlformats.org/officeDocument/2006/relationships/hyperlink" Target="https://www.fangraphs.com/teams/braves" TargetMode="External"/><Relationship Id="rId1312" Type="http://schemas.openxmlformats.org/officeDocument/2006/relationships/hyperlink" Target="https://www.fangraphs.com/teams/marlins" TargetMode="External"/><Relationship Id="rId2710" Type="http://schemas.openxmlformats.org/officeDocument/2006/relationships/hyperlink" Target="https://www.fangraphs.com/players/cavan-biggio/19252/stats" TargetMode="External"/><Relationship Id="rId198" Type="http://schemas.openxmlformats.org/officeDocument/2006/relationships/hyperlink" Target="https://www.fangraphs.com/teams/braves" TargetMode="External"/><Relationship Id="rId2086" Type="http://schemas.openxmlformats.org/officeDocument/2006/relationships/hyperlink" Target="https://www.fangraphs.com/players/jeff-brigham/16631/stats" TargetMode="External"/><Relationship Id="rId2293" Type="http://schemas.openxmlformats.org/officeDocument/2006/relationships/hyperlink" Target="https://www.fangraphs.com/players/charlie-morton/4676/stats" TargetMode="External"/><Relationship Id="rId265" Type="http://schemas.openxmlformats.org/officeDocument/2006/relationships/hyperlink" Target="https://www.fangraphs.com/players/willy-adames/15986/stats" TargetMode="External"/><Relationship Id="rId472" Type="http://schemas.openxmlformats.org/officeDocument/2006/relationships/hyperlink" Target="https://www.fangraphs.com/teams/yankees" TargetMode="External"/><Relationship Id="rId2153" Type="http://schemas.openxmlformats.org/officeDocument/2006/relationships/hyperlink" Target="https://www.fangraphs.com/teams/twins" TargetMode="External"/><Relationship Id="rId2360" Type="http://schemas.openxmlformats.org/officeDocument/2006/relationships/hyperlink" Target="https://www.fangraphs.com/teams/mariners" TargetMode="External"/><Relationship Id="rId125" Type="http://schemas.openxmlformats.org/officeDocument/2006/relationships/hyperlink" Target="https://www.fangraphs.com/players/logan-webb/17995/stats" TargetMode="External"/><Relationship Id="rId332" Type="http://schemas.openxmlformats.org/officeDocument/2006/relationships/hyperlink" Target="https://www.fangraphs.com/teams/orioles" TargetMode="External"/><Relationship Id="rId2013" Type="http://schemas.openxmlformats.org/officeDocument/2006/relationships/hyperlink" Target="https://www.fangraphs.com/players/michael-darrell-hicks/31501/stats" TargetMode="External"/><Relationship Id="rId2220" Type="http://schemas.openxmlformats.org/officeDocument/2006/relationships/hyperlink" Target="https://www.fangraphs.com/teams/rays" TargetMode="External"/><Relationship Id="rId1779" Type="http://schemas.openxmlformats.org/officeDocument/2006/relationships/hyperlink" Target="https://www.fangraphs.com/players/lucas-gilbreath/21290/stats" TargetMode="External"/><Relationship Id="rId1986" Type="http://schemas.openxmlformats.org/officeDocument/2006/relationships/hyperlink" Target="https://www.fangraphs.com/players/mike-yastrzemski/14854/stats" TargetMode="External"/><Relationship Id="rId1639" Type="http://schemas.openxmlformats.org/officeDocument/2006/relationships/hyperlink" Target="https://www.fangraphs.com/players/michael-a-taylor/11489/stats" TargetMode="External"/><Relationship Id="rId1846" Type="http://schemas.openxmlformats.org/officeDocument/2006/relationships/hyperlink" Target="https://www.fangraphs.com/teams/mets" TargetMode="External"/><Relationship Id="rId1706" Type="http://schemas.openxmlformats.org/officeDocument/2006/relationships/hyperlink" Target="https://www.fangraphs.com/players/jacob-amaya/23296/stats" TargetMode="External"/><Relationship Id="rId1913" Type="http://schemas.openxmlformats.org/officeDocument/2006/relationships/hyperlink" Target="https://www.fangraphs.com/players/kyle-nelson/20515/stats" TargetMode="External"/><Relationship Id="rId799" Type="http://schemas.openxmlformats.org/officeDocument/2006/relationships/hyperlink" Target="https://www.fangraphs.com/teams/giants" TargetMode="External"/><Relationship Id="rId2687" Type="http://schemas.openxmlformats.org/officeDocument/2006/relationships/hyperlink" Target="https://www.fangraphs.com/players/tyler-locklear/31396/stats" TargetMode="External"/><Relationship Id="rId2894" Type="http://schemas.openxmlformats.org/officeDocument/2006/relationships/hyperlink" Target="https://www.fangraphs.com/players/jeimer-candelario/13621/stats" TargetMode="External"/><Relationship Id="rId659" Type="http://schemas.openxmlformats.org/officeDocument/2006/relationships/hyperlink" Target="https://www.fangraphs.com/players/will-vest/19769/stats" TargetMode="External"/><Relationship Id="rId866" Type="http://schemas.openxmlformats.org/officeDocument/2006/relationships/hyperlink" Target="https://www.fangraphs.com/teams/nationals" TargetMode="External"/><Relationship Id="rId1289" Type="http://schemas.openxmlformats.org/officeDocument/2006/relationships/hyperlink" Target="https://www.fangraphs.com/players/ryan-feltner/21446/stats" TargetMode="External"/><Relationship Id="rId1496" Type="http://schemas.openxmlformats.org/officeDocument/2006/relationships/hyperlink" Target="https://www.fangraphs.com/players/dl-hall/22207/stats" TargetMode="External"/><Relationship Id="rId2547" Type="http://schemas.openxmlformats.org/officeDocument/2006/relationships/hyperlink" Target="https://www.fangraphs.com/teams/pirates" TargetMode="External"/><Relationship Id="rId519" Type="http://schemas.openxmlformats.org/officeDocument/2006/relationships/hyperlink" Target="https://www.fangraphs.com/players/tyler-stephenson/17988/stats" TargetMode="External"/><Relationship Id="rId1149" Type="http://schemas.openxmlformats.org/officeDocument/2006/relationships/hyperlink" Target="https://www.fangraphs.com/teams/padres" TargetMode="External"/><Relationship Id="rId1356" Type="http://schemas.openxmlformats.org/officeDocument/2006/relationships/hyperlink" Target="https://www.fangraphs.com/players/michael-kelly/12791/stats" TargetMode="External"/><Relationship Id="rId2754" Type="http://schemas.openxmlformats.org/officeDocument/2006/relationships/hyperlink" Target="https://www.fangraphs.com/teams/padres" TargetMode="External"/><Relationship Id="rId726" Type="http://schemas.openxmlformats.org/officeDocument/2006/relationships/hyperlink" Target="https://www.fangraphs.com/players/jeremiah-estrada/22210/stats" TargetMode="External"/><Relationship Id="rId933" Type="http://schemas.openxmlformats.org/officeDocument/2006/relationships/hyperlink" Target="https://www.fangraphs.com/players/tyler-wells/20000/stats" TargetMode="External"/><Relationship Id="rId1009" Type="http://schemas.openxmlformats.org/officeDocument/2006/relationships/hyperlink" Target="https://www.fangraphs.com/teams/braves" TargetMode="External"/><Relationship Id="rId1563" Type="http://schemas.openxmlformats.org/officeDocument/2006/relationships/hyperlink" Target="https://www.fangraphs.com/players/ben-brown/23590/stats" TargetMode="External"/><Relationship Id="rId1770" Type="http://schemas.openxmlformats.org/officeDocument/2006/relationships/hyperlink" Target="https://www.fangraphs.com/teams/marlins" TargetMode="External"/><Relationship Id="rId2407" Type="http://schemas.openxmlformats.org/officeDocument/2006/relationships/hyperlink" Target="https://www.fangraphs.com/teams/marlins" TargetMode="External"/><Relationship Id="rId2614" Type="http://schemas.openxmlformats.org/officeDocument/2006/relationships/hyperlink" Target="https://www.fangraphs.com/players/erick-fedde/17425/stats" TargetMode="External"/><Relationship Id="rId2821" Type="http://schemas.openxmlformats.org/officeDocument/2006/relationships/hyperlink" Target="https://www.fangraphs.com/players/keston-hiura/20003/stats" TargetMode="External"/><Relationship Id="rId62" Type="http://schemas.openxmlformats.org/officeDocument/2006/relationships/hyperlink" Target="https://www.fangraphs.com/teams/cubs" TargetMode="External"/><Relationship Id="rId1216" Type="http://schemas.openxmlformats.org/officeDocument/2006/relationships/hyperlink" Target="https://www.fangraphs.com/players/easton-lucas/26058/stats" TargetMode="External"/><Relationship Id="rId1423" Type="http://schemas.openxmlformats.org/officeDocument/2006/relationships/hyperlink" Target="https://www.fangraphs.com/teams/athletics" TargetMode="External"/><Relationship Id="rId1630" Type="http://schemas.openxmlformats.org/officeDocument/2006/relationships/hyperlink" Target="https://www.fangraphs.com/teams/braves" TargetMode="External"/><Relationship Id="rId2197" Type="http://schemas.openxmlformats.org/officeDocument/2006/relationships/hyperlink" Target="https://www.fangraphs.com/players/justin-bruihl/23779/stats" TargetMode="External"/><Relationship Id="rId169" Type="http://schemas.openxmlformats.org/officeDocument/2006/relationships/hyperlink" Target="https://www.fangraphs.com/players/tyler-soderstrom/27467/stats" TargetMode="External"/><Relationship Id="rId376" Type="http://schemas.openxmlformats.org/officeDocument/2006/relationships/hyperlink" Target="https://www.fangraphs.com/teams/guardians" TargetMode="External"/><Relationship Id="rId583" Type="http://schemas.openxmlformats.org/officeDocument/2006/relationships/hyperlink" Target="https://www.fangraphs.com/players/chad-patrick/30113/stats" TargetMode="External"/><Relationship Id="rId790" Type="http://schemas.openxmlformats.org/officeDocument/2006/relationships/hyperlink" Target="https://www.fangraphs.com/players/triston-casas/22514/stats" TargetMode="External"/><Relationship Id="rId2057" Type="http://schemas.openxmlformats.org/officeDocument/2006/relationships/hyperlink" Target="https://www.fangraphs.com/players/will-banfield/23790/stats" TargetMode="External"/><Relationship Id="rId2264" Type="http://schemas.openxmlformats.org/officeDocument/2006/relationships/hyperlink" Target="https://www.fangraphs.com/teams/athletics" TargetMode="External"/><Relationship Id="rId2471" Type="http://schemas.openxmlformats.org/officeDocument/2006/relationships/hyperlink" Target="https://www.fangraphs.com/players/mason-thompson/21850/stats" TargetMode="External"/><Relationship Id="rId236" Type="http://schemas.openxmlformats.org/officeDocument/2006/relationships/hyperlink" Target="https://www.fangraphs.com/teams/dodgers" TargetMode="External"/><Relationship Id="rId443" Type="http://schemas.openxmlformats.org/officeDocument/2006/relationships/hyperlink" Target="https://www.fangraphs.com/players/isaac-paredes/20036/stats" TargetMode="External"/><Relationship Id="rId650" Type="http://schemas.openxmlformats.org/officeDocument/2006/relationships/hyperlink" Target="https://www.fangraphs.com/teams/tigers" TargetMode="External"/><Relationship Id="rId1073" Type="http://schemas.openxmlformats.org/officeDocument/2006/relationships/hyperlink" Target="https://www.fangraphs.com/players/jacob-webb/19274/stats" TargetMode="External"/><Relationship Id="rId1280" Type="http://schemas.openxmlformats.org/officeDocument/2006/relationships/hyperlink" Target="https://www.fangraphs.com/players/kai-wei-teng/24282/stats" TargetMode="External"/><Relationship Id="rId2124" Type="http://schemas.openxmlformats.org/officeDocument/2006/relationships/hyperlink" Target="https://www.fangraphs.com/teams/diamondbacks" TargetMode="External"/><Relationship Id="rId2331" Type="http://schemas.openxmlformats.org/officeDocument/2006/relationships/hyperlink" Target="https://www.fangraphs.com/teams/rockies" TargetMode="External"/><Relationship Id="rId303" Type="http://schemas.openxmlformats.org/officeDocument/2006/relationships/hyperlink" Target="https://www.fangraphs.com/players/dansby-swanson/18314/stats" TargetMode="External"/><Relationship Id="rId1140" Type="http://schemas.openxmlformats.org/officeDocument/2006/relationships/hyperlink" Target="https://www.fangraphs.com/players/ty-france/17982/stats" TargetMode="External"/><Relationship Id="rId510" Type="http://schemas.openxmlformats.org/officeDocument/2006/relationships/hyperlink" Target="https://www.fangraphs.com/teams/angels" TargetMode="External"/><Relationship Id="rId1000" Type="http://schemas.openxmlformats.org/officeDocument/2006/relationships/hyperlink" Target="https://www.fangraphs.com/players/carmen-mlodzinski/27572/stats" TargetMode="External"/><Relationship Id="rId1957" Type="http://schemas.openxmlformats.org/officeDocument/2006/relationships/hyperlink" Target="https://www.fangraphs.com/teams/mets" TargetMode="External"/><Relationship Id="rId1817" Type="http://schemas.openxmlformats.org/officeDocument/2006/relationships/hyperlink" Target="https://www.fangraphs.com/players/zach-maxwell/31610/stats" TargetMode="External"/><Relationship Id="rId160" Type="http://schemas.openxmlformats.org/officeDocument/2006/relationships/hyperlink" Target="https://www.fangraphs.com/teams/royals" TargetMode="External"/><Relationship Id="rId2798" Type="http://schemas.openxmlformats.org/officeDocument/2006/relationships/hyperlink" Target="https://www.fangraphs.com/players/connor-joe/16572/stats" TargetMode="External"/><Relationship Id="rId977" Type="http://schemas.openxmlformats.org/officeDocument/2006/relationships/hyperlink" Target="https://www.fangraphs.com/teams/white-sox" TargetMode="External"/><Relationship Id="rId2658" Type="http://schemas.openxmlformats.org/officeDocument/2006/relationships/hyperlink" Target="https://www.fangraphs.com/players/sam-hilliard/17954/stats" TargetMode="External"/><Relationship Id="rId2865" Type="http://schemas.openxmlformats.org/officeDocument/2006/relationships/hyperlink" Target="https://www.fangraphs.com/teams/phillies" TargetMode="External"/><Relationship Id="rId837" Type="http://schemas.openxmlformats.org/officeDocument/2006/relationships/hyperlink" Target="https://www.fangraphs.com/players/seth-halvorsen/33294/stats" TargetMode="External"/><Relationship Id="rId1467" Type="http://schemas.openxmlformats.org/officeDocument/2006/relationships/hyperlink" Target="https://www.fangraphs.com/teams/tigers" TargetMode="External"/><Relationship Id="rId1674" Type="http://schemas.openxmlformats.org/officeDocument/2006/relationships/hyperlink" Target="https://www.fangraphs.com/teams/guardians" TargetMode="External"/><Relationship Id="rId1881" Type="http://schemas.openxmlformats.org/officeDocument/2006/relationships/hyperlink" Target="https://www.fangraphs.com/players/hayden-senger/21489/stats" TargetMode="External"/><Relationship Id="rId2518" Type="http://schemas.openxmlformats.org/officeDocument/2006/relationships/hyperlink" Target="https://www.fangraphs.com/teams/rays" TargetMode="External"/><Relationship Id="rId2725" Type="http://schemas.openxmlformats.org/officeDocument/2006/relationships/hyperlink" Target="https://www.fangraphs.com/players/brewer-hicklen/20450/stats" TargetMode="External"/><Relationship Id="rId2932" Type="http://schemas.openxmlformats.org/officeDocument/2006/relationships/hyperlink" Target="https://www.fangraphs.com/teams/rockies" TargetMode="External"/><Relationship Id="rId904" Type="http://schemas.openxmlformats.org/officeDocument/2006/relationships/hyperlink" Target="https://www.fangraphs.com/teams/cubs" TargetMode="External"/><Relationship Id="rId1327" Type="http://schemas.openxmlformats.org/officeDocument/2006/relationships/hyperlink" Target="https://www.fangraphs.com/teams/dodgers" TargetMode="External"/><Relationship Id="rId1534" Type="http://schemas.openxmlformats.org/officeDocument/2006/relationships/hyperlink" Target="https://www.fangraphs.com/players/andrew-chafin/12988/stats" TargetMode="External"/><Relationship Id="rId1741" Type="http://schemas.openxmlformats.org/officeDocument/2006/relationships/hyperlink" Target="https://www.fangraphs.com/teams/royals" TargetMode="External"/><Relationship Id="rId33" Type="http://schemas.openxmlformats.org/officeDocument/2006/relationships/hyperlink" Target="https://www.fangraphs.com/players/junior-caminero/28163/stats" TargetMode="External"/><Relationship Id="rId1601" Type="http://schemas.openxmlformats.org/officeDocument/2006/relationships/hyperlink" Target="https://www.fangraphs.com/players/will-klein/27787/stats" TargetMode="External"/><Relationship Id="rId487" Type="http://schemas.openxmlformats.org/officeDocument/2006/relationships/hyperlink" Target="https://www.fangraphs.com/players/max-muncy/13301/stats" TargetMode="External"/><Relationship Id="rId694" Type="http://schemas.openxmlformats.org/officeDocument/2006/relationships/hyperlink" Target="https://www.fangraphs.com/teams/mariners" TargetMode="External"/><Relationship Id="rId2168" Type="http://schemas.openxmlformats.org/officeDocument/2006/relationships/hyperlink" Target="https://www.fangraphs.com/players/sean-reynolds/22253/stats" TargetMode="External"/><Relationship Id="rId2375" Type="http://schemas.openxmlformats.org/officeDocument/2006/relationships/hyperlink" Target="https://www.fangraphs.com/teams/athletics" TargetMode="External"/><Relationship Id="rId347" Type="http://schemas.openxmlformats.org/officeDocument/2006/relationships/hyperlink" Target="https://www.fangraphs.com/players/samuel-basallo/28824/stats" TargetMode="External"/><Relationship Id="rId1184" Type="http://schemas.openxmlformats.org/officeDocument/2006/relationships/hyperlink" Target="https://www.fangraphs.com/teams/padres" TargetMode="External"/><Relationship Id="rId2028" Type="http://schemas.openxmlformats.org/officeDocument/2006/relationships/hyperlink" Target="https://www.fangraphs.com/players/jake-bauers/15194/stats" TargetMode="External"/><Relationship Id="rId2582" Type="http://schemas.openxmlformats.org/officeDocument/2006/relationships/hyperlink" Target="https://www.fangraphs.com/players/gio-urshela/10681/stats" TargetMode="External"/><Relationship Id="rId554" Type="http://schemas.openxmlformats.org/officeDocument/2006/relationships/hyperlink" Target="https://www.fangraphs.com/teams/guardians" TargetMode="External"/><Relationship Id="rId761" Type="http://schemas.openxmlformats.org/officeDocument/2006/relationships/hyperlink" Target="https://www.fangraphs.com/teams/rockies" TargetMode="External"/><Relationship Id="rId1391" Type="http://schemas.openxmlformats.org/officeDocument/2006/relationships/hyperlink" Target="https://www.fangraphs.com/teams/rays" TargetMode="External"/><Relationship Id="rId2235" Type="http://schemas.openxmlformats.org/officeDocument/2006/relationships/hyperlink" Target="https://www.fangraphs.com/players/craig-yoho/33248/stats" TargetMode="External"/><Relationship Id="rId2442" Type="http://schemas.openxmlformats.org/officeDocument/2006/relationships/hyperlink" Target="https://www.fangraphs.com/teams/braves" TargetMode="External"/><Relationship Id="rId207" Type="http://schemas.openxmlformats.org/officeDocument/2006/relationships/hyperlink" Target="https://www.fangraphs.com/players/will-smith/19197/stats" TargetMode="External"/><Relationship Id="rId414" Type="http://schemas.openxmlformats.org/officeDocument/2006/relationships/hyperlink" Target="https://www.fangraphs.com/teams/yankees" TargetMode="External"/><Relationship Id="rId621" Type="http://schemas.openxmlformats.org/officeDocument/2006/relationships/hyperlink" Target="https://www.fangraphs.com/players/mark-vientos/22184/stats" TargetMode="External"/><Relationship Id="rId1044" Type="http://schemas.openxmlformats.org/officeDocument/2006/relationships/hyperlink" Target="https://www.fangraphs.com/teams/cardinals" TargetMode="External"/><Relationship Id="rId1251" Type="http://schemas.openxmlformats.org/officeDocument/2006/relationships/hyperlink" Target="https://www.fangraphs.com/players/carson-spiers/27685/stats" TargetMode="External"/><Relationship Id="rId2302" Type="http://schemas.openxmlformats.org/officeDocument/2006/relationships/hyperlink" Target="https://www.fangraphs.com/teams/tigers" TargetMode="External"/><Relationship Id="rId1111" Type="http://schemas.openxmlformats.org/officeDocument/2006/relationships/hyperlink" Target="https://www.fangraphs.com/teams/red-sox" TargetMode="External"/><Relationship Id="rId1928" Type="http://schemas.openxmlformats.org/officeDocument/2006/relationships/hyperlink" Target="https://www.fangraphs.com/players/matt-krook/19315/stats" TargetMode="External"/><Relationship Id="rId2092" Type="http://schemas.openxmlformats.org/officeDocument/2006/relationships/hyperlink" Target="https://www.fangraphs.com/players/yerry-de-los-santos/21420/stats" TargetMode="External"/><Relationship Id="rId271" Type="http://schemas.openxmlformats.org/officeDocument/2006/relationships/hyperlink" Target="https://www.fangraphs.com/players/trevor-megill/17722/stats" TargetMode="External"/><Relationship Id="rId131" Type="http://schemas.openxmlformats.org/officeDocument/2006/relationships/hyperlink" Target="https://www.fangraphs.com/players/josh-naylor/18839/stats" TargetMode="External"/><Relationship Id="rId2769" Type="http://schemas.openxmlformats.org/officeDocument/2006/relationships/hyperlink" Target="https://www.fangraphs.com/players/rhylan-thomas/31793/stats" TargetMode="External"/><Relationship Id="rId948" Type="http://schemas.openxmlformats.org/officeDocument/2006/relationships/hyperlink" Target="https://www.fangraphs.com/teams/blue-jays" TargetMode="External"/><Relationship Id="rId1578" Type="http://schemas.openxmlformats.org/officeDocument/2006/relationships/hyperlink" Target="https://www.fangraphs.com/teams/mariners" TargetMode="External"/><Relationship Id="rId1785" Type="http://schemas.openxmlformats.org/officeDocument/2006/relationships/hyperlink" Target="https://www.fangraphs.com/teams/rangers" TargetMode="External"/><Relationship Id="rId1992" Type="http://schemas.openxmlformats.org/officeDocument/2006/relationships/hyperlink" Target="https://www.fangraphs.com/teams/rays" TargetMode="External"/><Relationship Id="rId2629" Type="http://schemas.openxmlformats.org/officeDocument/2006/relationships/hyperlink" Target="https://www.fangraphs.com/teams/cardinals" TargetMode="External"/><Relationship Id="rId2836" Type="http://schemas.openxmlformats.org/officeDocument/2006/relationships/hyperlink" Target="https://www.fangraphs.com/players/connor-kaiser/21535/stats" TargetMode="External"/><Relationship Id="rId77" Type="http://schemas.openxmlformats.org/officeDocument/2006/relationships/hyperlink" Target="https://www.fangraphs.com/players/chris-sale/10603/stats" TargetMode="External"/><Relationship Id="rId808" Type="http://schemas.openxmlformats.org/officeDocument/2006/relationships/hyperlink" Target="https://www.fangraphs.com/players/joe-boyle/29608/stats" TargetMode="External"/><Relationship Id="rId1438" Type="http://schemas.openxmlformats.org/officeDocument/2006/relationships/hyperlink" Target="https://www.fangraphs.com/players/steven-cruz/23165/stats" TargetMode="External"/><Relationship Id="rId1645" Type="http://schemas.openxmlformats.org/officeDocument/2006/relationships/hyperlink" Target="https://www.fangraphs.com/teams/angels" TargetMode="External"/><Relationship Id="rId1852" Type="http://schemas.openxmlformats.org/officeDocument/2006/relationships/hyperlink" Target="https://www.fangraphs.com/teams/red-sox" TargetMode="External"/><Relationship Id="rId2903" Type="http://schemas.openxmlformats.org/officeDocument/2006/relationships/hyperlink" Target="https://www.fangraphs.com/teams/marlins" TargetMode="External"/><Relationship Id="rId1505" Type="http://schemas.openxmlformats.org/officeDocument/2006/relationships/hyperlink" Target="https://www.fangraphs.com/teams/giants" TargetMode="External"/><Relationship Id="rId1712" Type="http://schemas.openxmlformats.org/officeDocument/2006/relationships/hyperlink" Target="https://www.fangraphs.com/players/didier-fuentes/30661/stats" TargetMode="External"/><Relationship Id="rId598" Type="http://schemas.openxmlformats.org/officeDocument/2006/relationships/hyperlink" Target="https://www.fangraphs.com/teams/cardinals" TargetMode="External"/><Relationship Id="rId2279" Type="http://schemas.openxmlformats.org/officeDocument/2006/relationships/hyperlink" Target="https://www.fangraphs.com/players/wander-suero/15855/stats" TargetMode="External"/><Relationship Id="rId2486" Type="http://schemas.openxmlformats.org/officeDocument/2006/relationships/hyperlink" Target="https://www.fangraphs.com/players/graham-pauley/31363/stats" TargetMode="External"/><Relationship Id="rId2693" Type="http://schemas.openxmlformats.org/officeDocument/2006/relationships/hyperlink" Target="https://www.fangraphs.com/players/daz-cameron/18353/stats" TargetMode="External"/><Relationship Id="rId458" Type="http://schemas.openxmlformats.org/officeDocument/2006/relationships/hyperlink" Target="https://www.fangraphs.com/teams/rockies" TargetMode="External"/><Relationship Id="rId665" Type="http://schemas.openxmlformats.org/officeDocument/2006/relationships/hyperlink" Target="https://www.fangraphs.com/players/yusei-kikuchi/20633/stats" TargetMode="External"/><Relationship Id="rId872" Type="http://schemas.openxmlformats.org/officeDocument/2006/relationships/hyperlink" Target="https://www.fangraphs.com/teams/athletics" TargetMode="External"/><Relationship Id="rId1088" Type="http://schemas.openxmlformats.org/officeDocument/2006/relationships/hyperlink" Target="https://www.fangraphs.com/teams/astros" TargetMode="External"/><Relationship Id="rId1295" Type="http://schemas.openxmlformats.org/officeDocument/2006/relationships/hyperlink" Target="https://www.fangraphs.com/players/yohel-pozo/18848/stats" TargetMode="External"/><Relationship Id="rId2139" Type="http://schemas.openxmlformats.org/officeDocument/2006/relationships/hyperlink" Target="https://www.fangraphs.com/teams/dodgers" TargetMode="External"/><Relationship Id="rId2346" Type="http://schemas.openxmlformats.org/officeDocument/2006/relationships/hyperlink" Target="https://www.fangraphs.com/teams/angels" TargetMode="External"/><Relationship Id="rId2553" Type="http://schemas.openxmlformats.org/officeDocument/2006/relationships/hyperlink" Target="https://www.fangraphs.com/teams/twins" TargetMode="External"/><Relationship Id="rId2760" Type="http://schemas.openxmlformats.org/officeDocument/2006/relationships/hyperlink" Target="https://www.fangraphs.com/players/billy-mckinney/15654/stats" TargetMode="External"/><Relationship Id="rId318" Type="http://schemas.openxmlformats.org/officeDocument/2006/relationships/hyperlink" Target="https://www.fangraphs.com/teams/rockies" TargetMode="External"/><Relationship Id="rId525" Type="http://schemas.openxmlformats.org/officeDocument/2006/relationships/hyperlink" Target="https://www.fangraphs.com/players/alec-bohm/21618/stats" TargetMode="External"/><Relationship Id="rId732" Type="http://schemas.openxmlformats.org/officeDocument/2006/relationships/hyperlink" Target="https://www.fangraphs.com/players/austin-hays/19363/stats" TargetMode="External"/><Relationship Id="rId1155" Type="http://schemas.openxmlformats.org/officeDocument/2006/relationships/hyperlink" Target="https://www.fangraphs.com/players/connor-phillips/27649/stats" TargetMode="External"/><Relationship Id="rId1362" Type="http://schemas.openxmlformats.org/officeDocument/2006/relationships/hyperlink" Target="https://www.fangraphs.com/players/miles-mikolas/9803/stats" TargetMode="External"/><Relationship Id="rId2206" Type="http://schemas.openxmlformats.org/officeDocument/2006/relationships/hyperlink" Target="https://www.fangraphs.com/players/chad-green/15552/stats" TargetMode="External"/><Relationship Id="rId2413" Type="http://schemas.openxmlformats.org/officeDocument/2006/relationships/hyperlink" Target="https://www.fangraphs.com/teams/mets" TargetMode="External"/><Relationship Id="rId2620" Type="http://schemas.openxmlformats.org/officeDocument/2006/relationships/hyperlink" Target="https://www.fangraphs.com/players/emmanuel-rivera/19890/stats" TargetMode="External"/><Relationship Id="rId2858" Type="http://schemas.openxmlformats.org/officeDocument/2006/relationships/hyperlink" Target="https://www.fangraphs.com/teams/guardians" TargetMode="External"/><Relationship Id="rId99" Type="http://schemas.openxmlformats.org/officeDocument/2006/relationships/hyperlink" Target="https://www.fangraphs.com/players/matt-olson/14344/stats" TargetMode="External"/><Relationship Id="rId1015" Type="http://schemas.openxmlformats.org/officeDocument/2006/relationships/hyperlink" Target="https://www.fangraphs.com/teams/blue-jays" TargetMode="External"/><Relationship Id="rId1222" Type="http://schemas.openxmlformats.org/officeDocument/2006/relationships/hyperlink" Target="https://www.fangraphs.com/teams/mets" TargetMode="External"/><Relationship Id="rId1667" Type="http://schemas.openxmlformats.org/officeDocument/2006/relationships/hyperlink" Target="https://www.fangraphs.com/teams/giants" TargetMode="External"/><Relationship Id="rId1874" Type="http://schemas.openxmlformats.org/officeDocument/2006/relationships/hyperlink" Target="https://www.fangraphs.com/players/sandy-leon/5273/stats" TargetMode="External"/><Relationship Id="rId2718" Type="http://schemas.openxmlformats.org/officeDocument/2006/relationships/hyperlink" Target="https://www.fangraphs.com/teams/cubs" TargetMode="External"/><Relationship Id="rId2925" Type="http://schemas.openxmlformats.org/officeDocument/2006/relationships/hyperlink" Target="https://www.fangraphs.com/players/luis-campusano/22217/stats" TargetMode="External"/><Relationship Id="rId1527" Type="http://schemas.openxmlformats.org/officeDocument/2006/relationships/hyperlink" Target="https://www.fangraphs.com/players/rafael-marchan/21646/stats" TargetMode="External"/><Relationship Id="rId1734" Type="http://schemas.openxmlformats.org/officeDocument/2006/relationships/hyperlink" Target="https://www.fangraphs.com/players/cade-povich/30055/stats" TargetMode="External"/><Relationship Id="rId1941" Type="http://schemas.openxmlformats.org/officeDocument/2006/relationships/hyperlink" Target="https://www.fangraphs.com/players/luke-little/28036/stats" TargetMode="External"/><Relationship Id="rId26" Type="http://schemas.openxmlformats.org/officeDocument/2006/relationships/hyperlink" Target="https://www.fangraphs.com/teams/diamondbacks" TargetMode="External"/><Relationship Id="rId175" Type="http://schemas.openxmlformats.org/officeDocument/2006/relationships/hyperlink" Target="https://www.fangraphs.com/players/framber-valdez/17295/stats" TargetMode="External"/><Relationship Id="rId1801" Type="http://schemas.openxmlformats.org/officeDocument/2006/relationships/hyperlink" Target="https://www.fangraphs.com/teams/royals" TargetMode="External"/><Relationship Id="rId382" Type="http://schemas.openxmlformats.org/officeDocument/2006/relationships/hyperlink" Target="https://www.fangraphs.com/teams/braves" TargetMode="External"/><Relationship Id="rId687" Type="http://schemas.openxmlformats.org/officeDocument/2006/relationships/hyperlink" Target="https://www.fangraphs.com/players/nolan-schanuel/33189/stats" TargetMode="External"/><Relationship Id="rId2063" Type="http://schemas.openxmlformats.org/officeDocument/2006/relationships/hyperlink" Target="https://www.fangraphs.com/players/jesse-hahn/13287/stats" TargetMode="External"/><Relationship Id="rId2270" Type="http://schemas.openxmlformats.org/officeDocument/2006/relationships/hyperlink" Target="https://www.fangraphs.com/teams/white-sox" TargetMode="External"/><Relationship Id="rId2368" Type="http://schemas.openxmlformats.org/officeDocument/2006/relationships/hyperlink" Target="https://www.fangraphs.com/players/ryan-ritter/31500/stats" TargetMode="External"/><Relationship Id="rId242" Type="http://schemas.openxmlformats.org/officeDocument/2006/relationships/hyperlink" Target="https://www.fangraphs.com/teams/dodgers" TargetMode="External"/><Relationship Id="rId894" Type="http://schemas.openxmlformats.org/officeDocument/2006/relationships/hyperlink" Target="https://www.fangraphs.com/teams/giants" TargetMode="External"/><Relationship Id="rId1177" Type="http://schemas.openxmlformats.org/officeDocument/2006/relationships/hyperlink" Target="https://www.fangraphs.com/players/richard-fitts/30160/stats" TargetMode="External"/><Relationship Id="rId2130" Type="http://schemas.openxmlformats.org/officeDocument/2006/relationships/hyperlink" Target="https://www.fangraphs.com/players/anthony-misiewicz/18152/stats" TargetMode="External"/><Relationship Id="rId2575" Type="http://schemas.openxmlformats.org/officeDocument/2006/relationships/hyperlink" Target="https://www.fangraphs.com/teams/nationals" TargetMode="External"/><Relationship Id="rId2782" Type="http://schemas.openxmlformats.org/officeDocument/2006/relationships/hyperlink" Target="https://www.fangraphs.com/teams/orioles" TargetMode="External"/><Relationship Id="rId102" Type="http://schemas.openxmlformats.org/officeDocument/2006/relationships/hyperlink" Target="https://www.fangraphs.com/teams/athletics" TargetMode="External"/><Relationship Id="rId547" Type="http://schemas.openxmlformats.org/officeDocument/2006/relationships/hyperlink" Target="https://www.fangraphs.com/players/brett-baty/26123/stats" TargetMode="External"/><Relationship Id="rId754" Type="http://schemas.openxmlformats.org/officeDocument/2006/relationships/hyperlink" Target="https://www.fangraphs.com/players/kevin-ginkel/19876/stats" TargetMode="External"/><Relationship Id="rId961" Type="http://schemas.openxmlformats.org/officeDocument/2006/relationships/hyperlink" Target="https://www.fangraphs.com/teams/orioles" TargetMode="External"/><Relationship Id="rId1384" Type="http://schemas.openxmlformats.org/officeDocument/2006/relationships/hyperlink" Target="https://www.fangraphs.com/teams/royals" TargetMode="External"/><Relationship Id="rId1591" Type="http://schemas.openxmlformats.org/officeDocument/2006/relationships/hyperlink" Target="https://www.fangraphs.com/teams/nationals" TargetMode="External"/><Relationship Id="rId1689" Type="http://schemas.openxmlformats.org/officeDocument/2006/relationships/hyperlink" Target="https://www.fangraphs.com/players/logan-davidson/25844/stats" TargetMode="External"/><Relationship Id="rId2228" Type="http://schemas.openxmlformats.org/officeDocument/2006/relationships/hyperlink" Target="https://www.fangraphs.com/teams/nationals" TargetMode="External"/><Relationship Id="rId2435" Type="http://schemas.openxmlformats.org/officeDocument/2006/relationships/hyperlink" Target="https://www.fangraphs.com/players/luke-raley/19354/stats" TargetMode="External"/><Relationship Id="rId2642" Type="http://schemas.openxmlformats.org/officeDocument/2006/relationships/hyperlink" Target="https://www.fangraphs.com/teams/pirates" TargetMode="External"/><Relationship Id="rId90" Type="http://schemas.openxmlformats.org/officeDocument/2006/relationships/hyperlink" Target="https://www.fangraphs.com/teams/reds" TargetMode="External"/><Relationship Id="rId407" Type="http://schemas.openxmlformats.org/officeDocument/2006/relationships/hyperlink" Target="https://www.fangraphs.com/players/kris-bubic/21455/stats" TargetMode="External"/><Relationship Id="rId614" Type="http://schemas.openxmlformats.org/officeDocument/2006/relationships/hyperlink" Target="https://www.fangraphs.com/teams/astros" TargetMode="External"/><Relationship Id="rId821" Type="http://schemas.openxmlformats.org/officeDocument/2006/relationships/hyperlink" Target="https://www.fangraphs.com/teams/pirates" TargetMode="External"/><Relationship Id="rId1037" Type="http://schemas.openxmlformats.org/officeDocument/2006/relationships/hyperlink" Target="https://www.fangraphs.com/players/jake-meyers/20308/stats" TargetMode="External"/><Relationship Id="rId1244" Type="http://schemas.openxmlformats.org/officeDocument/2006/relationships/hyperlink" Target="https://www.fangraphs.com/teams/athletics" TargetMode="External"/><Relationship Id="rId1451" Type="http://schemas.openxmlformats.org/officeDocument/2006/relationships/hyperlink" Target="https://www.fangraphs.com/teams/orioles" TargetMode="External"/><Relationship Id="rId1896" Type="http://schemas.openxmlformats.org/officeDocument/2006/relationships/hyperlink" Target="https://www.fangraphs.com/players/keaton-winn/23499/stats" TargetMode="External"/><Relationship Id="rId2502" Type="http://schemas.openxmlformats.org/officeDocument/2006/relationships/hyperlink" Target="https://www.fangraphs.com/players/max-schuemann/24488/stats" TargetMode="External"/><Relationship Id="rId919" Type="http://schemas.openxmlformats.org/officeDocument/2006/relationships/hyperlink" Target="https://www.fangraphs.com/players/miguel-amaya/21693/stats" TargetMode="External"/><Relationship Id="rId1104" Type="http://schemas.openxmlformats.org/officeDocument/2006/relationships/hyperlink" Target="https://www.fangraphs.com/players/dylan-lee/19996/stats" TargetMode="External"/><Relationship Id="rId1311" Type="http://schemas.openxmlformats.org/officeDocument/2006/relationships/hyperlink" Target="https://www.fangraphs.com/players/adam-mazur/31900/stats" TargetMode="External"/><Relationship Id="rId1549" Type="http://schemas.openxmlformats.org/officeDocument/2006/relationships/hyperlink" Target="https://www.fangraphs.com/teams/angels" TargetMode="External"/><Relationship Id="rId1756" Type="http://schemas.openxmlformats.org/officeDocument/2006/relationships/hyperlink" Target="https://www.fangraphs.com/players/casey-kelly/9174/stats" TargetMode="External"/><Relationship Id="rId1963" Type="http://schemas.openxmlformats.org/officeDocument/2006/relationships/hyperlink" Target="https://www.fangraphs.com/teams/rays" TargetMode="External"/><Relationship Id="rId2807" Type="http://schemas.openxmlformats.org/officeDocument/2006/relationships/hyperlink" Target="https://www.fangraphs.com/players/luken-baker/21497/stats" TargetMode="External"/><Relationship Id="rId48" Type="http://schemas.openxmlformats.org/officeDocument/2006/relationships/hyperlink" Target="https://www.fangraphs.com/teams/phillies" TargetMode="External"/><Relationship Id="rId1409" Type="http://schemas.openxmlformats.org/officeDocument/2006/relationships/hyperlink" Target="https://www.fangraphs.com/teams/angels" TargetMode="External"/><Relationship Id="rId1616" Type="http://schemas.openxmlformats.org/officeDocument/2006/relationships/hyperlink" Target="https://www.fangraphs.com/teams/twins" TargetMode="External"/><Relationship Id="rId1823" Type="http://schemas.openxmlformats.org/officeDocument/2006/relationships/hyperlink" Target="https://www.fangraphs.com/players/michael-kopech/17282/stats" TargetMode="External"/><Relationship Id="rId197" Type="http://schemas.openxmlformats.org/officeDocument/2006/relationships/hyperlink" Target="https://www.fangraphs.com/players/spencer-strider/27498/stats" TargetMode="External"/><Relationship Id="rId2085" Type="http://schemas.openxmlformats.org/officeDocument/2006/relationships/hyperlink" Target="https://www.fangraphs.com/teams/phillies" TargetMode="External"/><Relationship Id="rId2292" Type="http://schemas.openxmlformats.org/officeDocument/2006/relationships/hyperlink" Target="https://www.fangraphs.com/teams/padres" TargetMode="External"/><Relationship Id="rId264" Type="http://schemas.openxmlformats.org/officeDocument/2006/relationships/hyperlink" Target="https://www.fangraphs.com/teams/red-sox" TargetMode="External"/><Relationship Id="rId471" Type="http://schemas.openxmlformats.org/officeDocument/2006/relationships/hyperlink" Target="https://www.fangraphs.com/players/austin-wells/27562/stats" TargetMode="External"/><Relationship Id="rId2152" Type="http://schemas.openxmlformats.org/officeDocument/2006/relationships/hyperlink" Target="https://www.fangraphs.com/players/liam-hendriks/3548/stats" TargetMode="External"/><Relationship Id="rId2597" Type="http://schemas.openxmlformats.org/officeDocument/2006/relationships/hyperlink" Target="https://www.fangraphs.com/teams/angels" TargetMode="External"/><Relationship Id="rId124" Type="http://schemas.openxmlformats.org/officeDocument/2006/relationships/hyperlink" Target="https://www.fangraphs.com/teams/red-sox" TargetMode="External"/><Relationship Id="rId569" Type="http://schemas.openxmlformats.org/officeDocument/2006/relationships/hyperlink" Target="https://www.fangraphs.com/players/reid-detmers/27468/stats" TargetMode="External"/><Relationship Id="rId776" Type="http://schemas.openxmlformats.org/officeDocument/2006/relationships/hyperlink" Target="https://www.fangraphs.com/players/chris-martin/11847/stats" TargetMode="External"/><Relationship Id="rId983" Type="http://schemas.openxmlformats.org/officeDocument/2006/relationships/hyperlink" Target="https://www.fangraphs.com/teams/cardinals" TargetMode="External"/><Relationship Id="rId1199" Type="http://schemas.openxmlformats.org/officeDocument/2006/relationships/hyperlink" Target="https://www.fangraphs.com/players/luis-torrens/15905/stats" TargetMode="External"/><Relationship Id="rId2457" Type="http://schemas.openxmlformats.org/officeDocument/2006/relationships/hyperlink" Target="https://www.fangraphs.com/teams/nationals" TargetMode="External"/><Relationship Id="rId2664" Type="http://schemas.openxmlformats.org/officeDocument/2006/relationships/hyperlink" Target="https://www.fangraphs.com/players/travis-jankowski/13768/stats" TargetMode="External"/><Relationship Id="rId331" Type="http://schemas.openxmlformats.org/officeDocument/2006/relationships/hyperlink" Target="https://www.fangraphs.com/players/jackson-holliday/31781/stats" TargetMode="External"/><Relationship Id="rId429" Type="http://schemas.openxmlformats.org/officeDocument/2006/relationships/hyperlink" Target="https://www.fangraphs.com/players/wilyer-abreu/23772/stats" TargetMode="External"/><Relationship Id="rId636" Type="http://schemas.openxmlformats.org/officeDocument/2006/relationships/hyperlink" Target="https://www.fangraphs.com/teams/orioles" TargetMode="External"/><Relationship Id="rId1059" Type="http://schemas.openxmlformats.org/officeDocument/2006/relationships/hyperlink" Target="https://www.fangraphs.com/players/ryan-yarbrough/16502/stats" TargetMode="External"/><Relationship Id="rId1266" Type="http://schemas.openxmlformats.org/officeDocument/2006/relationships/hyperlink" Target="https://www.fangraphs.com/teams/rays" TargetMode="External"/><Relationship Id="rId1473" Type="http://schemas.openxmlformats.org/officeDocument/2006/relationships/hyperlink" Target="https://www.fangraphs.com/teams/rangers" TargetMode="External"/><Relationship Id="rId2012" Type="http://schemas.openxmlformats.org/officeDocument/2006/relationships/hyperlink" Target="https://www.fangraphs.com/teams/white-sox" TargetMode="External"/><Relationship Id="rId2317" Type="http://schemas.openxmlformats.org/officeDocument/2006/relationships/hyperlink" Target="https://www.fangraphs.com/players/tayler-saucedo/17888/stats" TargetMode="External"/><Relationship Id="rId2871" Type="http://schemas.openxmlformats.org/officeDocument/2006/relationships/hyperlink" Target="https://www.fangraphs.com/teams/nationals" TargetMode="External"/><Relationship Id="rId843" Type="http://schemas.openxmlformats.org/officeDocument/2006/relationships/hyperlink" Target="https://www.fangraphs.com/players/adrian-morejon/20039/stats" TargetMode="External"/><Relationship Id="rId1126" Type="http://schemas.openxmlformats.org/officeDocument/2006/relationships/hyperlink" Target="https://www.fangraphs.com/teams/royals" TargetMode="External"/><Relationship Id="rId1680" Type="http://schemas.openxmlformats.org/officeDocument/2006/relationships/hyperlink" Target="https://www.fangraphs.com/teams/astros" TargetMode="External"/><Relationship Id="rId1778" Type="http://schemas.openxmlformats.org/officeDocument/2006/relationships/hyperlink" Target="https://www.fangraphs.com/teams/giants" TargetMode="External"/><Relationship Id="rId1985" Type="http://schemas.openxmlformats.org/officeDocument/2006/relationships/hyperlink" Target="https://www.fangraphs.com/teams/mets" TargetMode="External"/><Relationship Id="rId2524" Type="http://schemas.openxmlformats.org/officeDocument/2006/relationships/hyperlink" Target="https://www.fangraphs.com/teams/astros" TargetMode="External"/><Relationship Id="rId2731" Type="http://schemas.openxmlformats.org/officeDocument/2006/relationships/hyperlink" Target="https://www.fangraphs.com/teams/white-sox" TargetMode="External"/><Relationship Id="rId2829" Type="http://schemas.openxmlformats.org/officeDocument/2006/relationships/hyperlink" Target="https://www.fangraphs.com/teams/padres" TargetMode="External"/><Relationship Id="rId703" Type="http://schemas.openxmlformats.org/officeDocument/2006/relationships/hyperlink" Target="https://www.fangraphs.com/players/edgar-quero/28022/stats" TargetMode="External"/><Relationship Id="rId910" Type="http://schemas.openxmlformats.org/officeDocument/2006/relationships/hyperlink" Target="https://www.fangraphs.com/teams/rockies" TargetMode="External"/><Relationship Id="rId1333" Type="http://schemas.openxmlformats.org/officeDocument/2006/relationships/hyperlink" Target="https://www.fangraphs.com/teams/pirates" TargetMode="External"/><Relationship Id="rId1540" Type="http://schemas.openxmlformats.org/officeDocument/2006/relationships/hyperlink" Target="https://www.fangraphs.com/players/rico-garcia/20023/stats" TargetMode="External"/><Relationship Id="rId1638" Type="http://schemas.openxmlformats.org/officeDocument/2006/relationships/hyperlink" Target="https://www.fangraphs.com/teams/diamondbacks" TargetMode="External"/><Relationship Id="rId1400" Type="http://schemas.openxmlformats.org/officeDocument/2006/relationships/hyperlink" Target="https://www.fangraphs.com/players/enyel-de-los-santos/18403/stats" TargetMode="External"/><Relationship Id="rId1845" Type="http://schemas.openxmlformats.org/officeDocument/2006/relationships/hyperlink" Target="https://www.fangraphs.com/players/jared-young/20404/stats" TargetMode="External"/><Relationship Id="rId1705" Type="http://schemas.openxmlformats.org/officeDocument/2006/relationships/hyperlink" Target="https://www.fangraphs.com/teams/astros" TargetMode="External"/><Relationship Id="rId1912" Type="http://schemas.openxmlformats.org/officeDocument/2006/relationships/hyperlink" Target="https://www.fangraphs.com/teams/guardians" TargetMode="External"/><Relationship Id="rId286" Type="http://schemas.openxmlformats.org/officeDocument/2006/relationships/hyperlink" Target="https://www.fangraphs.com/teams/marlins" TargetMode="External"/><Relationship Id="rId493" Type="http://schemas.openxmlformats.org/officeDocument/2006/relationships/hyperlink" Target="https://www.fangraphs.com/players/jake-burger/22275/stats" TargetMode="External"/><Relationship Id="rId2174" Type="http://schemas.openxmlformats.org/officeDocument/2006/relationships/hyperlink" Target="https://www.fangraphs.com/teams/orioles" TargetMode="External"/><Relationship Id="rId2381" Type="http://schemas.openxmlformats.org/officeDocument/2006/relationships/hyperlink" Target="https://www.fangraphs.com/teams/mariners" TargetMode="External"/><Relationship Id="rId146" Type="http://schemas.openxmlformats.org/officeDocument/2006/relationships/hyperlink" Target="https://www.fangraphs.com/teams/padres" TargetMode="External"/><Relationship Id="rId353" Type="http://schemas.openxmlformats.org/officeDocument/2006/relationships/hyperlink" Target="https://www.fangraphs.com/players/gabriel-moreno/22664/stats" TargetMode="External"/><Relationship Id="rId560" Type="http://schemas.openxmlformats.org/officeDocument/2006/relationships/hyperlink" Target="https://www.fangraphs.com/teams/twins" TargetMode="External"/><Relationship Id="rId798" Type="http://schemas.openxmlformats.org/officeDocument/2006/relationships/hyperlink" Target="https://www.fangraphs.com/players/landen-roupp/30076/stats" TargetMode="External"/><Relationship Id="rId1190" Type="http://schemas.openxmlformats.org/officeDocument/2006/relationships/hyperlink" Target="https://www.fangraphs.com/teams/blue-jays" TargetMode="External"/><Relationship Id="rId2034" Type="http://schemas.openxmlformats.org/officeDocument/2006/relationships/hyperlink" Target="https://www.fangraphs.com/teams/diamondbacks" TargetMode="External"/><Relationship Id="rId2241" Type="http://schemas.openxmlformats.org/officeDocument/2006/relationships/hyperlink" Target="https://www.fangraphs.com/teams/phillies" TargetMode="External"/><Relationship Id="rId2479" Type="http://schemas.openxmlformats.org/officeDocument/2006/relationships/hyperlink" Target="https://www.fangraphs.com/teams/rangers" TargetMode="External"/><Relationship Id="rId2686" Type="http://schemas.openxmlformats.org/officeDocument/2006/relationships/hyperlink" Target="https://www.fangraphs.com/teams/twins" TargetMode="External"/><Relationship Id="rId2893" Type="http://schemas.openxmlformats.org/officeDocument/2006/relationships/hyperlink" Target="https://www.fangraphs.com/teams/orioles" TargetMode="External"/><Relationship Id="rId213" Type="http://schemas.openxmlformats.org/officeDocument/2006/relationships/hyperlink" Target="https://www.fangraphs.com/players/trevor-story/12564/stats" TargetMode="External"/><Relationship Id="rId420" Type="http://schemas.openxmlformats.org/officeDocument/2006/relationships/hyperlink" Target="https://www.fangraphs.com/teams/reds" TargetMode="External"/><Relationship Id="rId658" Type="http://schemas.openxmlformats.org/officeDocument/2006/relationships/hyperlink" Target="https://www.fangraphs.com/teams/mets" TargetMode="External"/><Relationship Id="rId865" Type="http://schemas.openxmlformats.org/officeDocument/2006/relationships/hyperlink" Target="https://www.fangraphs.com/players/brady-house/29993/stats" TargetMode="External"/><Relationship Id="rId1050" Type="http://schemas.openxmlformats.org/officeDocument/2006/relationships/hyperlink" Target="https://www.fangraphs.com/teams/astros" TargetMode="External"/><Relationship Id="rId1288" Type="http://schemas.openxmlformats.org/officeDocument/2006/relationships/hyperlink" Target="https://www.fangraphs.com/teams/guardians" TargetMode="External"/><Relationship Id="rId1495" Type="http://schemas.openxmlformats.org/officeDocument/2006/relationships/hyperlink" Target="https://www.fangraphs.com/teams/orioles" TargetMode="External"/><Relationship Id="rId2101" Type="http://schemas.openxmlformats.org/officeDocument/2006/relationships/hyperlink" Target="https://www.fangraphs.com/teams/braves" TargetMode="External"/><Relationship Id="rId2339" Type="http://schemas.openxmlformats.org/officeDocument/2006/relationships/hyperlink" Target="https://www.fangraphs.com/teams/astros" TargetMode="External"/><Relationship Id="rId2546" Type="http://schemas.openxmlformats.org/officeDocument/2006/relationships/hyperlink" Target="https://www.fangraphs.com/players/thomas-harrington/31989/stats" TargetMode="External"/><Relationship Id="rId2753" Type="http://schemas.openxmlformats.org/officeDocument/2006/relationships/hyperlink" Target="https://www.fangraphs.com/players/mason-mccoy/22232/stats" TargetMode="External"/><Relationship Id="rId518" Type="http://schemas.openxmlformats.org/officeDocument/2006/relationships/hyperlink" Target="https://www.fangraphs.com/teams/royals" TargetMode="External"/><Relationship Id="rId725" Type="http://schemas.openxmlformats.org/officeDocument/2006/relationships/hyperlink" Target="https://www.fangraphs.com/teams/red-sox" TargetMode="External"/><Relationship Id="rId932" Type="http://schemas.openxmlformats.org/officeDocument/2006/relationships/hyperlink" Target="https://www.fangraphs.com/teams/diamondbacks" TargetMode="External"/><Relationship Id="rId1148" Type="http://schemas.openxmlformats.org/officeDocument/2006/relationships/hyperlink" Target="https://www.fangraphs.com/players/kyle-hart/19646/stats" TargetMode="External"/><Relationship Id="rId1355" Type="http://schemas.openxmlformats.org/officeDocument/2006/relationships/hyperlink" Target="https://www.fangraphs.com/teams/white-sox" TargetMode="External"/><Relationship Id="rId1562" Type="http://schemas.openxmlformats.org/officeDocument/2006/relationships/hyperlink" Target="https://www.fangraphs.com/teams/rockies" TargetMode="External"/><Relationship Id="rId2406" Type="http://schemas.openxmlformats.org/officeDocument/2006/relationships/hyperlink" Target="https://www.fangraphs.com/players/john-king/22051/stats" TargetMode="External"/><Relationship Id="rId2613" Type="http://schemas.openxmlformats.org/officeDocument/2006/relationships/hyperlink" Target="https://www.fangraphs.com/teams/athletics" TargetMode="External"/><Relationship Id="rId1008" Type="http://schemas.openxmlformats.org/officeDocument/2006/relationships/hyperlink" Target="https://www.fangraphs.com/players/mike-yastrzemski/14854/stats" TargetMode="External"/><Relationship Id="rId1215" Type="http://schemas.openxmlformats.org/officeDocument/2006/relationships/hyperlink" Target="https://www.fangraphs.com/players/patrick-corbin/9323/stats" TargetMode="External"/><Relationship Id="rId1422" Type="http://schemas.openxmlformats.org/officeDocument/2006/relationships/hyperlink" Target="https://www.fangraphs.com/players/scott-barlow/14993/stats" TargetMode="External"/><Relationship Id="rId1867" Type="http://schemas.openxmlformats.org/officeDocument/2006/relationships/hyperlink" Target="https://www.fangraphs.com/players/brett-de-geus/23592/stats" TargetMode="External"/><Relationship Id="rId2820" Type="http://schemas.openxmlformats.org/officeDocument/2006/relationships/hyperlink" Target="https://www.fangraphs.com/teams/cardinals" TargetMode="External"/><Relationship Id="rId2918" Type="http://schemas.openxmlformats.org/officeDocument/2006/relationships/hyperlink" Target="https://www.fangraphs.com/teams/braves" TargetMode="External"/><Relationship Id="rId61" Type="http://schemas.openxmlformats.org/officeDocument/2006/relationships/hyperlink" Target="https://www.fangraphs.com/players/pete-crow-armstrong/27769/stats" TargetMode="External"/><Relationship Id="rId1727" Type="http://schemas.openxmlformats.org/officeDocument/2006/relationships/hyperlink" Target="https://www.fangraphs.com/teams/diamondbacks" TargetMode="External"/><Relationship Id="rId1934" Type="http://schemas.openxmlformats.org/officeDocument/2006/relationships/hyperlink" Target="https://www.fangraphs.com/teams/padres" TargetMode="External"/><Relationship Id="rId19" Type="http://schemas.openxmlformats.org/officeDocument/2006/relationships/hyperlink" Target="https://www.fangraphs.com/players/paul-skenes/33677/stats" TargetMode="External"/><Relationship Id="rId2196" Type="http://schemas.openxmlformats.org/officeDocument/2006/relationships/hyperlink" Target="https://www.fangraphs.com/teams/cubs" TargetMode="External"/><Relationship Id="rId168" Type="http://schemas.openxmlformats.org/officeDocument/2006/relationships/hyperlink" Target="https://www.fangraphs.com/teams/marlins" TargetMode="External"/><Relationship Id="rId375" Type="http://schemas.openxmlformats.org/officeDocument/2006/relationships/hyperlink" Target="https://www.fangraphs.com/players/tanner-bibee/30134/stats" TargetMode="External"/><Relationship Id="rId582" Type="http://schemas.openxmlformats.org/officeDocument/2006/relationships/hyperlink" Target="https://www.fangraphs.com/teams/reds" TargetMode="External"/><Relationship Id="rId2056" Type="http://schemas.openxmlformats.org/officeDocument/2006/relationships/hyperlink" Target="https://www.fangraphs.com/teams/pirates" TargetMode="External"/><Relationship Id="rId2263" Type="http://schemas.openxmlformats.org/officeDocument/2006/relationships/hyperlink" Target="https://www.fangraphs.com/players/colby-thomas/31855/stats" TargetMode="External"/><Relationship Id="rId2470" Type="http://schemas.openxmlformats.org/officeDocument/2006/relationships/hyperlink" Target="https://www.fangraphs.com/teams/royals" TargetMode="External"/><Relationship Id="rId3" Type="http://schemas.openxmlformats.org/officeDocument/2006/relationships/hyperlink" Target="https://www.fangraphs.com/players/shohei-ohtani/19755/stats" TargetMode="External"/><Relationship Id="rId235" Type="http://schemas.openxmlformats.org/officeDocument/2006/relationships/hyperlink" Target="https://www.fangraphs.com/players/tyler-glasnow/14374/stats" TargetMode="External"/><Relationship Id="rId442" Type="http://schemas.openxmlformats.org/officeDocument/2006/relationships/hyperlink" Target="https://www.fangraphs.com/teams/diamondbacks" TargetMode="External"/><Relationship Id="rId887" Type="http://schemas.openxmlformats.org/officeDocument/2006/relationships/hyperlink" Target="https://www.fangraphs.com/players/andrew-kittredge/12828/stats" TargetMode="External"/><Relationship Id="rId1072" Type="http://schemas.openxmlformats.org/officeDocument/2006/relationships/hyperlink" Target="https://www.fangraphs.com/teams/cardinals" TargetMode="External"/><Relationship Id="rId2123" Type="http://schemas.openxmlformats.org/officeDocument/2006/relationships/hyperlink" Target="https://www.fangraphs.com/players/jonathan-loaisiga/19753/stats" TargetMode="External"/><Relationship Id="rId2330" Type="http://schemas.openxmlformats.org/officeDocument/2006/relationships/hyperlink" Target="https://www.fangraphs.com/players/zach-agnos/31552/stats" TargetMode="External"/><Relationship Id="rId2568" Type="http://schemas.openxmlformats.org/officeDocument/2006/relationships/hyperlink" Target="https://www.fangraphs.com/players/jose-fermin/21746/stats" TargetMode="External"/><Relationship Id="rId2775" Type="http://schemas.openxmlformats.org/officeDocument/2006/relationships/hyperlink" Target="https://www.fangraphs.com/teams/brewers" TargetMode="External"/><Relationship Id="rId302" Type="http://schemas.openxmlformats.org/officeDocument/2006/relationships/hyperlink" Target="https://www.fangraphs.com/teams/rays" TargetMode="External"/><Relationship Id="rId747" Type="http://schemas.openxmlformats.org/officeDocument/2006/relationships/hyperlink" Target="https://www.fangraphs.com/teams/marlins" TargetMode="External"/><Relationship Id="rId954" Type="http://schemas.openxmlformats.org/officeDocument/2006/relationships/hyperlink" Target="https://www.fangraphs.com/players/tyler-holton/26231/stats" TargetMode="External"/><Relationship Id="rId1377" Type="http://schemas.openxmlformats.org/officeDocument/2006/relationships/hyperlink" Target="https://www.fangraphs.com/teams/padres" TargetMode="External"/><Relationship Id="rId1584" Type="http://schemas.openxmlformats.org/officeDocument/2006/relationships/hyperlink" Target="https://www.fangraphs.com/teams/astros" TargetMode="External"/><Relationship Id="rId1791" Type="http://schemas.openxmlformats.org/officeDocument/2006/relationships/hyperlink" Target="https://www.fangraphs.com/teams/nationals" TargetMode="External"/><Relationship Id="rId2428" Type="http://schemas.openxmlformats.org/officeDocument/2006/relationships/hyperlink" Target="https://www.fangraphs.com/teams/royals" TargetMode="External"/><Relationship Id="rId2635" Type="http://schemas.openxmlformats.org/officeDocument/2006/relationships/hyperlink" Target="https://www.fangraphs.com/players/will-wagner/29634/stats" TargetMode="External"/><Relationship Id="rId2842" Type="http://schemas.openxmlformats.org/officeDocument/2006/relationships/hyperlink" Target="https://www.fangraphs.com/players/luis-guillorme/16451/stats" TargetMode="External"/><Relationship Id="rId83" Type="http://schemas.openxmlformats.org/officeDocument/2006/relationships/hyperlink" Target="https://www.fangraphs.com/players/jhoan-duran/21029/stats" TargetMode="External"/><Relationship Id="rId607" Type="http://schemas.openxmlformats.org/officeDocument/2006/relationships/hyperlink" Target="https://www.fangraphs.com/players/jameson-taillon/11674/stats" TargetMode="External"/><Relationship Id="rId814" Type="http://schemas.openxmlformats.org/officeDocument/2006/relationships/hyperlink" Target="https://www.fangraphs.com/players/kody-clemens/20572/stats" TargetMode="External"/><Relationship Id="rId1237" Type="http://schemas.openxmlformats.org/officeDocument/2006/relationships/hyperlink" Target="https://www.fangraphs.com/players/hayden-birdsong/31635/stats" TargetMode="External"/><Relationship Id="rId1444" Type="http://schemas.openxmlformats.org/officeDocument/2006/relationships/hyperlink" Target="https://www.fangraphs.com/players/davis-schneider/23565/stats" TargetMode="External"/><Relationship Id="rId1651" Type="http://schemas.openxmlformats.org/officeDocument/2006/relationships/hyperlink" Target="https://www.fangraphs.com/teams/rays" TargetMode="External"/><Relationship Id="rId1889" Type="http://schemas.openxmlformats.org/officeDocument/2006/relationships/hyperlink" Target="https://www.fangraphs.com/players/josh-winckowski/22387/stats" TargetMode="External"/><Relationship Id="rId2702" Type="http://schemas.openxmlformats.org/officeDocument/2006/relationships/hyperlink" Target="https://www.fangraphs.com/teams/pirates" TargetMode="External"/><Relationship Id="rId1304" Type="http://schemas.openxmlformats.org/officeDocument/2006/relationships/hyperlink" Target="https://www.fangraphs.com/teams/royals" TargetMode="External"/><Relationship Id="rId1511" Type="http://schemas.openxmlformats.org/officeDocument/2006/relationships/hyperlink" Target="https://www.fangraphs.com/teams/braves" TargetMode="External"/><Relationship Id="rId1749" Type="http://schemas.openxmlformats.org/officeDocument/2006/relationships/hyperlink" Target="https://www.fangraphs.com/teams/guardians" TargetMode="External"/><Relationship Id="rId1956" Type="http://schemas.openxmlformats.org/officeDocument/2006/relationships/hyperlink" Target="https://www.fangraphs.com/players/ben-rortvedt/20287/stats" TargetMode="External"/><Relationship Id="rId1609" Type="http://schemas.openxmlformats.org/officeDocument/2006/relationships/hyperlink" Target="https://www.fangraphs.com/players/jayden-murray/26482/stats" TargetMode="External"/><Relationship Id="rId1816" Type="http://schemas.openxmlformats.org/officeDocument/2006/relationships/hyperlink" Target="https://www.fangraphs.com/teams/yankees" TargetMode="External"/><Relationship Id="rId10" Type="http://schemas.openxmlformats.org/officeDocument/2006/relationships/hyperlink" Target="https://www.fangraphs.com/teams/mets" TargetMode="External"/><Relationship Id="rId397" Type="http://schemas.openxmlformats.org/officeDocument/2006/relationships/hyperlink" Target="https://www.fangraphs.com/players/robert-suarez/30115/stats" TargetMode="External"/><Relationship Id="rId2078" Type="http://schemas.openxmlformats.org/officeDocument/2006/relationships/hyperlink" Target="https://www.fangraphs.com/players/jose-corniell/27984/stats" TargetMode="External"/><Relationship Id="rId2285" Type="http://schemas.openxmlformats.org/officeDocument/2006/relationships/hyperlink" Target="https://www.fangraphs.com/players/beau-brieske/26079/stats" TargetMode="External"/><Relationship Id="rId2492" Type="http://schemas.openxmlformats.org/officeDocument/2006/relationships/hyperlink" Target="https://www.fangraphs.com/teams/nationals" TargetMode="External"/><Relationship Id="rId257" Type="http://schemas.openxmlformats.org/officeDocument/2006/relationships/hyperlink" Target="https://www.fangraphs.com/players/kyle-stowers/26151/stats" TargetMode="External"/><Relationship Id="rId464" Type="http://schemas.openxmlformats.org/officeDocument/2006/relationships/hyperlink" Target="https://www.fangraphs.com/teams/tigers" TargetMode="External"/><Relationship Id="rId1094" Type="http://schemas.openxmlformats.org/officeDocument/2006/relationships/hyperlink" Target="https://www.fangraphs.com/teams/mariners" TargetMode="External"/><Relationship Id="rId2145" Type="http://schemas.openxmlformats.org/officeDocument/2006/relationships/hyperlink" Target="https://www.fangraphs.com/teams/rockies" TargetMode="External"/><Relationship Id="rId2797" Type="http://schemas.openxmlformats.org/officeDocument/2006/relationships/hyperlink" Target="https://www.fangraphs.com/teams/reds" TargetMode="External"/><Relationship Id="rId117" Type="http://schemas.openxmlformats.org/officeDocument/2006/relationships/hyperlink" Target="https://www.fangraphs.com/players/freddy-peralta/18679/stats" TargetMode="External"/><Relationship Id="rId671" Type="http://schemas.openxmlformats.org/officeDocument/2006/relationships/hyperlink" Target="https://www.fangraphs.com/players/jojo-romero/19574/stats" TargetMode="External"/><Relationship Id="rId769" Type="http://schemas.openxmlformats.org/officeDocument/2006/relationships/hyperlink" Target="https://www.fangraphs.com/teams/nationals" TargetMode="External"/><Relationship Id="rId976" Type="http://schemas.openxmlformats.org/officeDocument/2006/relationships/hyperlink" Target="https://www.fangraphs.com/players/andrew-benintendi/17901/stats" TargetMode="External"/><Relationship Id="rId1399" Type="http://schemas.openxmlformats.org/officeDocument/2006/relationships/hyperlink" Target="https://www.fangraphs.com/teams/athletics" TargetMode="External"/><Relationship Id="rId2352" Type="http://schemas.openxmlformats.org/officeDocument/2006/relationships/hyperlink" Target="https://www.fangraphs.com/teams/athletics" TargetMode="External"/><Relationship Id="rId2657" Type="http://schemas.openxmlformats.org/officeDocument/2006/relationships/hyperlink" Target="https://www.fangraphs.com/teams/marlins" TargetMode="External"/><Relationship Id="rId324" Type="http://schemas.openxmlformats.org/officeDocument/2006/relationships/hyperlink" Target="https://www.fangraphs.com/teams/orioles" TargetMode="External"/><Relationship Id="rId531" Type="http://schemas.openxmlformats.org/officeDocument/2006/relationships/hyperlink" Target="https://www.fangraphs.com/players/masyn-winn/27479/stats" TargetMode="External"/><Relationship Id="rId629" Type="http://schemas.openxmlformats.org/officeDocument/2006/relationships/hyperlink" Target="https://www.fangraphs.com/players/spencer-schwellenbach/31846/stats" TargetMode="External"/><Relationship Id="rId1161" Type="http://schemas.openxmlformats.org/officeDocument/2006/relationships/hyperlink" Target="https://www.fangraphs.com/players/michael-lorenzen/14843/stats" TargetMode="External"/><Relationship Id="rId1259" Type="http://schemas.openxmlformats.org/officeDocument/2006/relationships/hyperlink" Target="https://www.fangraphs.com/players/taijuan-walker/11836/stats" TargetMode="External"/><Relationship Id="rId1466" Type="http://schemas.openxmlformats.org/officeDocument/2006/relationships/hyperlink" Target="https://www.fangraphs.com/players/dylan-smith/30145/stats" TargetMode="External"/><Relationship Id="rId2005" Type="http://schemas.openxmlformats.org/officeDocument/2006/relationships/hyperlink" Target="https://www.fangraphs.com/players/rafael-montero/12760/stats" TargetMode="External"/><Relationship Id="rId2212" Type="http://schemas.openxmlformats.org/officeDocument/2006/relationships/hyperlink" Target="https://www.fangraphs.com/players/jake-bird/21267/stats" TargetMode="External"/><Relationship Id="rId2864" Type="http://schemas.openxmlformats.org/officeDocument/2006/relationships/hyperlink" Target="https://www.fangraphs.com/players/bryan-de-la-cruz/19600/stats" TargetMode="External"/><Relationship Id="rId836" Type="http://schemas.openxmlformats.org/officeDocument/2006/relationships/hyperlink" Target="https://www.fangraphs.com/teams/angels" TargetMode="External"/><Relationship Id="rId1021" Type="http://schemas.openxmlformats.org/officeDocument/2006/relationships/hyperlink" Target="https://www.fangraphs.com/teams/brewers" TargetMode="External"/><Relationship Id="rId1119" Type="http://schemas.openxmlformats.org/officeDocument/2006/relationships/hyperlink" Target="https://www.fangraphs.com/players/tommy-pham/2967/stats" TargetMode="External"/><Relationship Id="rId1673" Type="http://schemas.openxmlformats.org/officeDocument/2006/relationships/hyperlink" Target="https://www.fangraphs.com/players/austin-hedges/12976/stats" TargetMode="External"/><Relationship Id="rId1880" Type="http://schemas.openxmlformats.org/officeDocument/2006/relationships/hyperlink" Target="https://www.fangraphs.com/teams/cubs" TargetMode="External"/><Relationship Id="rId1978" Type="http://schemas.openxmlformats.org/officeDocument/2006/relationships/hyperlink" Target="https://www.fangraphs.com/players/connor-brogdon/21205/stats" TargetMode="External"/><Relationship Id="rId2517" Type="http://schemas.openxmlformats.org/officeDocument/2006/relationships/hyperlink" Target="https://www.fangraphs.com/players/jonny-deluca/26365/stats" TargetMode="External"/><Relationship Id="rId2724" Type="http://schemas.openxmlformats.org/officeDocument/2006/relationships/hyperlink" Target="https://www.fangraphs.com/teams/red-sox" TargetMode="External"/><Relationship Id="rId2931" Type="http://schemas.openxmlformats.org/officeDocument/2006/relationships/hyperlink" Target="https://www.fangraphs.com/players/antonio-senzatela/15488/stats" TargetMode="External"/><Relationship Id="rId903" Type="http://schemas.openxmlformats.org/officeDocument/2006/relationships/hyperlink" Target="https://www.fangraphs.com/players/phil-maton/18064/stats" TargetMode="External"/><Relationship Id="rId1326" Type="http://schemas.openxmlformats.org/officeDocument/2006/relationships/hyperlink" Target="https://www.fangraphs.com/players/dalton-rushing/31382/stats" TargetMode="External"/><Relationship Id="rId1533" Type="http://schemas.openxmlformats.org/officeDocument/2006/relationships/hyperlink" Target="https://www.fangraphs.com/teams/braves" TargetMode="External"/><Relationship Id="rId1740" Type="http://schemas.openxmlformats.org/officeDocument/2006/relationships/hyperlink" Target="https://www.fangraphs.com/players/tyler-tolbert/25779/stats" TargetMode="External"/><Relationship Id="rId32" Type="http://schemas.openxmlformats.org/officeDocument/2006/relationships/hyperlink" Target="https://www.fangraphs.com/teams/padres" TargetMode="External"/><Relationship Id="rId1600" Type="http://schemas.openxmlformats.org/officeDocument/2006/relationships/hyperlink" Target="https://www.fangraphs.com/teams/rockies" TargetMode="External"/><Relationship Id="rId1838" Type="http://schemas.openxmlformats.org/officeDocument/2006/relationships/hyperlink" Target="https://www.fangraphs.com/players/mason-black/30171/stats" TargetMode="External"/><Relationship Id="rId181" Type="http://schemas.openxmlformats.org/officeDocument/2006/relationships/hyperlink" Target="https://www.fangraphs.com/players/jeremy-pena/21636/stats" TargetMode="External"/><Relationship Id="rId1905" Type="http://schemas.openxmlformats.org/officeDocument/2006/relationships/hyperlink" Target="https://www.fangraphs.com/players/ben-bowden/20198/stats" TargetMode="External"/><Relationship Id="rId279" Type="http://schemas.openxmlformats.org/officeDocument/2006/relationships/hyperlink" Target="https://www.fangraphs.com/players/andy-pages/24816/stats" TargetMode="External"/><Relationship Id="rId486" Type="http://schemas.openxmlformats.org/officeDocument/2006/relationships/hyperlink" Target="https://www.fangraphs.com/teams/rockies" TargetMode="External"/><Relationship Id="rId693" Type="http://schemas.openxmlformats.org/officeDocument/2006/relationships/hyperlink" Target="https://www.fangraphs.com/players/dominic-canzone/26438/stats" TargetMode="External"/><Relationship Id="rId2167" Type="http://schemas.openxmlformats.org/officeDocument/2006/relationships/hyperlink" Target="https://www.fangraphs.com/players/jose-leclerc/14524/stats" TargetMode="External"/><Relationship Id="rId2374" Type="http://schemas.openxmlformats.org/officeDocument/2006/relationships/hyperlink" Target="https://www.fangraphs.com/players/geoff-hartlieb/19558/stats" TargetMode="External"/><Relationship Id="rId2581" Type="http://schemas.openxmlformats.org/officeDocument/2006/relationships/hyperlink" Target="https://www.fangraphs.com/teams/rockies" TargetMode="External"/><Relationship Id="rId139" Type="http://schemas.openxmlformats.org/officeDocument/2006/relationships/hyperlink" Target="https://www.fangraphs.com/players/freddie-freeman/5361/stats" TargetMode="External"/><Relationship Id="rId346" Type="http://schemas.openxmlformats.org/officeDocument/2006/relationships/hyperlink" Target="https://www.fangraphs.com/teams/cubs" TargetMode="External"/><Relationship Id="rId553" Type="http://schemas.openxmlformats.org/officeDocument/2006/relationships/hyperlink" Target="https://www.fangraphs.com/players/parker-messick/31986/stats" TargetMode="External"/><Relationship Id="rId760" Type="http://schemas.openxmlformats.org/officeDocument/2006/relationships/hyperlink" Target="https://www.fangraphs.com/players/jake-mccarthy/21622/stats" TargetMode="External"/><Relationship Id="rId998" Type="http://schemas.openxmlformats.org/officeDocument/2006/relationships/hyperlink" Target="https://www.fangraphs.com/players/javier-baez/12979/stats" TargetMode="External"/><Relationship Id="rId1183" Type="http://schemas.openxmlformats.org/officeDocument/2006/relationships/hyperlink" Target="https://www.fangraphs.com/players/jp-sears/23429/stats" TargetMode="External"/><Relationship Id="rId1390" Type="http://schemas.openxmlformats.org/officeDocument/2006/relationships/hyperlink" Target="https://www.fangraphs.com/players/cole-sulser/15256/stats" TargetMode="External"/><Relationship Id="rId2027" Type="http://schemas.openxmlformats.org/officeDocument/2006/relationships/hyperlink" Target="https://www.fangraphs.com/teams/pirates" TargetMode="External"/><Relationship Id="rId2234" Type="http://schemas.openxmlformats.org/officeDocument/2006/relationships/hyperlink" Target="https://www.fangraphs.com/teams/athletics" TargetMode="External"/><Relationship Id="rId2441" Type="http://schemas.openxmlformats.org/officeDocument/2006/relationships/hyperlink" Target="https://www.fangraphs.com/players/connor-thomas/25873/stats" TargetMode="External"/><Relationship Id="rId2679" Type="http://schemas.openxmlformats.org/officeDocument/2006/relationships/hyperlink" Target="https://www.fangraphs.com/players/luke-williams/19931/stats" TargetMode="External"/><Relationship Id="rId2886" Type="http://schemas.openxmlformats.org/officeDocument/2006/relationships/hyperlink" Target="https://www.fangraphs.com/teams/astros" TargetMode="External"/><Relationship Id="rId206" Type="http://schemas.openxmlformats.org/officeDocument/2006/relationships/hyperlink" Target="https://www.fangraphs.com/teams/reds" TargetMode="External"/><Relationship Id="rId413" Type="http://schemas.openxmlformats.org/officeDocument/2006/relationships/hyperlink" Target="https://www.fangraphs.com/players/jose-caballero/23401/stats" TargetMode="External"/><Relationship Id="rId858" Type="http://schemas.openxmlformats.org/officeDocument/2006/relationships/hyperlink" Target="https://www.fangraphs.com/teams/orioles" TargetMode="External"/><Relationship Id="rId1043" Type="http://schemas.openxmlformats.org/officeDocument/2006/relationships/hyperlink" Target="https://www.fangraphs.com/players/michael-mcgreevy/29869/stats" TargetMode="External"/><Relationship Id="rId1488" Type="http://schemas.openxmlformats.org/officeDocument/2006/relationships/hyperlink" Target="https://www.fangraphs.com/players/nick-gonzales/27490/stats" TargetMode="External"/><Relationship Id="rId1695" Type="http://schemas.openxmlformats.org/officeDocument/2006/relationships/hyperlink" Target="https://www.fangraphs.com/players/jorge-alfaro/12180/stats" TargetMode="External"/><Relationship Id="rId2539" Type="http://schemas.openxmlformats.org/officeDocument/2006/relationships/hyperlink" Target="https://www.fangraphs.com/teams/nationals" TargetMode="External"/><Relationship Id="rId2746" Type="http://schemas.openxmlformats.org/officeDocument/2006/relationships/hyperlink" Target="https://www.fangraphs.com/teams/yankees" TargetMode="External"/><Relationship Id="rId620" Type="http://schemas.openxmlformats.org/officeDocument/2006/relationships/hyperlink" Target="https://www.fangraphs.com/teams/tigers" TargetMode="External"/><Relationship Id="rId718" Type="http://schemas.openxmlformats.org/officeDocument/2006/relationships/hyperlink" Target="https://www.fangraphs.com/players/carson-kelly/13620/stats" TargetMode="External"/><Relationship Id="rId925" Type="http://schemas.openxmlformats.org/officeDocument/2006/relationships/hyperlink" Target="https://www.fangraphs.com/players/jp-crawford/15491/stats" TargetMode="External"/><Relationship Id="rId1250" Type="http://schemas.openxmlformats.org/officeDocument/2006/relationships/hyperlink" Target="https://www.fangraphs.com/players/danny-coulombe/13293/stats" TargetMode="External"/><Relationship Id="rId1348" Type="http://schemas.openxmlformats.org/officeDocument/2006/relationships/hyperlink" Target="https://www.fangraphs.com/players/alex-call/19296/stats" TargetMode="External"/><Relationship Id="rId1555" Type="http://schemas.openxmlformats.org/officeDocument/2006/relationships/hyperlink" Target="https://www.fangraphs.com/teams/white-sox" TargetMode="External"/><Relationship Id="rId1762" Type="http://schemas.openxmlformats.org/officeDocument/2006/relationships/hyperlink" Target="https://www.fangraphs.com/players/abraham-toro/19844/stats" TargetMode="External"/><Relationship Id="rId2301" Type="http://schemas.openxmlformats.org/officeDocument/2006/relationships/hyperlink" Target="https://www.fangraphs.com/players/scott-effross/18384/stats" TargetMode="External"/><Relationship Id="rId2606" Type="http://schemas.openxmlformats.org/officeDocument/2006/relationships/hyperlink" Target="https://www.fangraphs.com/players/edouard-julien/27534/stats" TargetMode="External"/><Relationship Id="rId1110" Type="http://schemas.openxmlformats.org/officeDocument/2006/relationships/hyperlink" Target="https://www.fangraphs.com/players/isiah-kiner-falefa/16512/stats" TargetMode="External"/><Relationship Id="rId1208" Type="http://schemas.openxmlformats.org/officeDocument/2006/relationships/hyperlink" Target="https://www.fangraphs.com/teams/diamondbacks" TargetMode="External"/><Relationship Id="rId1415" Type="http://schemas.openxmlformats.org/officeDocument/2006/relationships/hyperlink" Target="https://www.fangraphs.com/teams/royals" TargetMode="External"/><Relationship Id="rId2813" Type="http://schemas.openxmlformats.org/officeDocument/2006/relationships/hyperlink" Target="https://www.fangraphs.com/players/jacob-amaya/23296/stats" TargetMode="External"/><Relationship Id="rId54" Type="http://schemas.openxmlformats.org/officeDocument/2006/relationships/hyperlink" Target="https://www.fangraphs.com/teams/angels" TargetMode="External"/><Relationship Id="rId1622" Type="http://schemas.openxmlformats.org/officeDocument/2006/relationships/hyperlink" Target="https://www.fangraphs.com/players/lou-trivino/15043/stats" TargetMode="External"/><Relationship Id="rId1927" Type="http://schemas.openxmlformats.org/officeDocument/2006/relationships/hyperlink" Target="https://www.fangraphs.com/players/anthony-desclafani/13050/stats" TargetMode="External"/><Relationship Id="rId2091" Type="http://schemas.openxmlformats.org/officeDocument/2006/relationships/hyperlink" Target="https://www.fangraphs.com/players/nathan-wiles/25474/stats" TargetMode="External"/><Relationship Id="rId2189" Type="http://schemas.openxmlformats.org/officeDocument/2006/relationships/hyperlink" Target="https://www.fangraphs.com/players/hector-neris/11804/stats" TargetMode="External"/><Relationship Id="rId270" Type="http://schemas.openxmlformats.org/officeDocument/2006/relationships/hyperlink" Target="https://www.fangraphs.com/teams/tigers" TargetMode="External"/><Relationship Id="rId2396" Type="http://schemas.openxmlformats.org/officeDocument/2006/relationships/hyperlink" Target="https://www.fangraphs.com/teams/cubs" TargetMode="External"/><Relationship Id="rId130" Type="http://schemas.openxmlformats.org/officeDocument/2006/relationships/hyperlink" Target="https://www.fangraphs.com/teams/rockies" TargetMode="External"/><Relationship Id="rId368" Type="http://schemas.openxmlformats.org/officeDocument/2006/relationships/hyperlink" Target="https://www.fangraphs.com/teams/phillies" TargetMode="External"/><Relationship Id="rId575" Type="http://schemas.openxmlformats.org/officeDocument/2006/relationships/hyperlink" Target="https://www.fangraphs.com/players/reynaldo-lopez/16400/stats" TargetMode="External"/><Relationship Id="rId782" Type="http://schemas.openxmlformats.org/officeDocument/2006/relationships/hyperlink" Target="https://www.fangraphs.com/players/connor-norby/29592/stats" TargetMode="External"/><Relationship Id="rId2049" Type="http://schemas.openxmlformats.org/officeDocument/2006/relationships/hyperlink" Target="https://www.fangraphs.com/teams/rays" TargetMode="External"/><Relationship Id="rId2256" Type="http://schemas.openxmlformats.org/officeDocument/2006/relationships/hyperlink" Target="https://www.fangraphs.com/teams/yankees" TargetMode="External"/><Relationship Id="rId2463" Type="http://schemas.openxmlformats.org/officeDocument/2006/relationships/hyperlink" Target="https://www.fangraphs.com/teams/cubs" TargetMode="External"/><Relationship Id="rId2670" Type="http://schemas.openxmlformats.org/officeDocument/2006/relationships/hyperlink" Target="https://www.fangraphs.com/players/zack-gelof/29766/stats" TargetMode="External"/><Relationship Id="rId228" Type="http://schemas.openxmlformats.org/officeDocument/2006/relationships/hyperlink" Target="https://www.fangraphs.com/teams/marlins" TargetMode="External"/><Relationship Id="rId435" Type="http://schemas.openxmlformats.org/officeDocument/2006/relationships/hyperlink" Target="https://www.fangraphs.com/players/bryan-abreu/16609/stats" TargetMode="External"/><Relationship Id="rId642" Type="http://schemas.openxmlformats.org/officeDocument/2006/relationships/hyperlink" Target="https://www.fangraphs.com/teams/yankees" TargetMode="External"/><Relationship Id="rId1065" Type="http://schemas.openxmlformats.org/officeDocument/2006/relationships/hyperlink" Target="https://www.fangraphs.com/players/jared-koenig/27517/stats" TargetMode="External"/><Relationship Id="rId1272" Type="http://schemas.openxmlformats.org/officeDocument/2006/relationships/hyperlink" Target="https://www.fangraphs.com/teams/phillies" TargetMode="External"/><Relationship Id="rId2116" Type="http://schemas.openxmlformats.org/officeDocument/2006/relationships/hyperlink" Target="https://www.fangraphs.com/teams/padres" TargetMode="External"/><Relationship Id="rId2323" Type="http://schemas.openxmlformats.org/officeDocument/2006/relationships/hyperlink" Target="https://www.fangraphs.com/teams/red-sox" TargetMode="External"/><Relationship Id="rId2530" Type="http://schemas.openxmlformats.org/officeDocument/2006/relationships/hyperlink" Target="https://www.fangraphs.com/players/oswaldo-cabrera/21707/stats" TargetMode="External"/><Relationship Id="rId2768" Type="http://schemas.openxmlformats.org/officeDocument/2006/relationships/hyperlink" Target="https://www.fangraphs.com/teams/diamondbacks" TargetMode="External"/><Relationship Id="rId502" Type="http://schemas.openxmlformats.org/officeDocument/2006/relationships/hyperlink" Target="https://www.fangraphs.com/teams/angels" TargetMode="External"/><Relationship Id="rId947" Type="http://schemas.openxmlformats.org/officeDocument/2006/relationships/hyperlink" Target="https://www.fangraphs.com/players/eric-lauer/19316/stats" TargetMode="External"/><Relationship Id="rId1132" Type="http://schemas.openxmlformats.org/officeDocument/2006/relationships/hyperlink" Target="https://www.fangraphs.com/players/brad-lord/31972/stats" TargetMode="External"/><Relationship Id="rId1577" Type="http://schemas.openxmlformats.org/officeDocument/2006/relationships/hyperlink" Target="https://www.fangraphs.com/players/andrew-knizner/19514/stats" TargetMode="External"/><Relationship Id="rId1784" Type="http://schemas.openxmlformats.org/officeDocument/2006/relationships/hyperlink" Target="https://www.fangraphs.com/players/willie-maciver/24641/stats" TargetMode="External"/><Relationship Id="rId1991" Type="http://schemas.openxmlformats.org/officeDocument/2006/relationships/hyperlink" Target="https://www.fangraphs.com/players/blake-sabol/25805/stats" TargetMode="External"/><Relationship Id="rId2628" Type="http://schemas.openxmlformats.org/officeDocument/2006/relationships/hyperlink" Target="https://www.fangraphs.com/players/george-soriano/21863/stats" TargetMode="External"/><Relationship Id="rId2835" Type="http://schemas.openxmlformats.org/officeDocument/2006/relationships/hyperlink" Target="https://www.fangraphs.com/teams/yankees" TargetMode="External"/><Relationship Id="rId76" Type="http://schemas.openxmlformats.org/officeDocument/2006/relationships/hyperlink" Target="https://www.fangraphs.com/teams/mariners" TargetMode="External"/><Relationship Id="rId807" Type="http://schemas.openxmlformats.org/officeDocument/2006/relationships/hyperlink" Target="https://www.fangraphs.com/teams/rays" TargetMode="External"/><Relationship Id="rId1437" Type="http://schemas.openxmlformats.org/officeDocument/2006/relationships/hyperlink" Target="https://www.fangraphs.com/teams/braves" TargetMode="External"/><Relationship Id="rId1644" Type="http://schemas.openxmlformats.org/officeDocument/2006/relationships/hyperlink" Target="https://www.fangraphs.com/players/chase-silseth/30074/stats" TargetMode="External"/><Relationship Id="rId1851" Type="http://schemas.openxmlformats.org/officeDocument/2006/relationships/hyperlink" Target="https://www.fangraphs.com/players/seth-martinez/21045/stats" TargetMode="External"/><Relationship Id="rId2902" Type="http://schemas.openxmlformats.org/officeDocument/2006/relationships/hyperlink" Target="https://www.fangraphs.com/players/bradley-blalock/26419/stats" TargetMode="External"/><Relationship Id="rId1504" Type="http://schemas.openxmlformats.org/officeDocument/2006/relationships/hyperlink" Target="https://www.fangraphs.com/players/jose-butto/23313/stats" TargetMode="External"/><Relationship Id="rId1711" Type="http://schemas.openxmlformats.org/officeDocument/2006/relationships/hyperlink" Target="https://www.fangraphs.com/teams/phillies" TargetMode="External"/><Relationship Id="rId1949" Type="http://schemas.openxmlformats.org/officeDocument/2006/relationships/hyperlink" Target="https://www.fangraphs.com/players/amed-rosario/15518/stats" TargetMode="External"/><Relationship Id="rId292" Type="http://schemas.openxmlformats.org/officeDocument/2006/relationships/hyperlink" Target="https://www.fangraphs.com/teams/rangers" TargetMode="External"/><Relationship Id="rId1809" Type="http://schemas.openxmlformats.org/officeDocument/2006/relationships/hyperlink" Target="https://www.fangraphs.com/players/john-rooney/24590/stats" TargetMode="External"/><Relationship Id="rId597" Type="http://schemas.openxmlformats.org/officeDocument/2006/relationships/hyperlink" Target="https://www.fangraphs.com/players/jordan-walker/27475/stats" TargetMode="External"/><Relationship Id="rId2180" Type="http://schemas.openxmlformats.org/officeDocument/2006/relationships/hyperlink" Target="https://www.fangraphs.com/players/carlos-rodriguez/30161/stats" TargetMode="External"/><Relationship Id="rId2278" Type="http://schemas.openxmlformats.org/officeDocument/2006/relationships/hyperlink" Target="https://www.fangraphs.com/players/carson-ragsdale/27508/stats" TargetMode="External"/><Relationship Id="rId2485" Type="http://schemas.openxmlformats.org/officeDocument/2006/relationships/hyperlink" Target="https://www.fangraphs.com/teams/rays" TargetMode="External"/><Relationship Id="rId152" Type="http://schemas.openxmlformats.org/officeDocument/2006/relationships/hyperlink" Target="https://www.fangraphs.com/teams/phillies" TargetMode="External"/><Relationship Id="rId457" Type="http://schemas.openxmlformats.org/officeDocument/2006/relationships/hyperlink" Target="https://www.fangraphs.com/players/jordan-beck/31431/stats" TargetMode="External"/><Relationship Id="rId1087" Type="http://schemas.openxmlformats.org/officeDocument/2006/relationships/hyperlink" Target="https://www.fangraphs.com/players/hayden-wesneski/27581/stats" TargetMode="External"/><Relationship Id="rId1294" Type="http://schemas.openxmlformats.org/officeDocument/2006/relationships/hyperlink" Target="https://www.fangraphs.com/teams/nationals" TargetMode="External"/><Relationship Id="rId2040" Type="http://schemas.openxmlformats.org/officeDocument/2006/relationships/hyperlink" Target="https://www.fangraphs.com/teams/cubs" TargetMode="External"/><Relationship Id="rId2138" Type="http://schemas.openxmlformats.org/officeDocument/2006/relationships/hyperlink" Target="https://www.fangraphs.com/players/blake-treinen/12572/stats" TargetMode="External"/><Relationship Id="rId2692" Type="http://schemas.openxmlformats.org/officeDocument/2006/relationships/hyperlink" Target="https://www.fangraphs.com/teams/white-sox" TargetMode="External"/><Relationship Id="rId664" Type="http://schemas.openxmlformats.org/officeDocument/2006/relationships/hyperlink" Target="https://www.fangraphs.com/teams/astros" TargetMode="External"/><Relationship Id="rId871" Type="http://schemas.openxmlformats.org/officeDocument/2006/relationships/hyperlink" Target="https://www.fangraphs.com/players/hogan-harris/21520/stats" TargetMode="External"/><Relationship Id="rId969" Type="http://schemas.openxmlformats.org/officeDocument/2006/relationships/hyperlink" Target="https://www.fangraphs.com/teams/reds" TargetMode="External"/><Relationship Id="rId1599" Type="http://schemas.openxmlformats.org/officeDocument/2006/relationships/hyperlink" Target="https://www.fangraphs.com/players/jaden-hill/30250/stats" TargetMode="External"/><Relationship Id="rId2345" Type="http://schemas.openxmlformats.org/officeDocument/2006/relationships/hyperlink" Target="https://www.fangraphs.com/players/oswald-peraza/22823/stats" TargetMode="External"/><Relationship Id="rId2552" Type="http://schemas.openxmlformats.org/officeDocument/2006/relationships/hyperlink" Target="https://www.fangraphs.com/players/travis-adams/30180/stats" TargetMode="External"/><Relationship Id="rId317" Type="http://schemas.openxmlformats.org/officeDocument/2006/relationships/hyperlink" Target="https://www.fangraphs.com/players/brenton-doyle/25479/stats" TargetMode="External"/><Relationship Id="rId524" Type="http://schemas.openxmlformats.org/officeDocument/2006/relationships/hyperlink" Target="https://www.fangraphs.com/teams/brewers" TargetMode="External"/><Relationship Id="rId731" Type="http://schemas.openxmlformats.org/officeDocument/2006/relationships/hyperlink" Target="https://www.fangraphs.com/teams/mariners" TargetMode="External"/><Relationship Id="rId1154" Type="http://schemas.openxmlformats.org/officeDocument/2006/relationships/hyperlink" Target="https://www.fangraphs.com/players/max-scherzer/3137/stats" TargetMode="External"/><Relationship Id="rId1361" Type="http://schemas.openxmlformats.org/officeDocument/2006/relationships/hyperlink" Target="https://www.fangraphs.com/teams/reds" TargetMode="External"/><Relationship Id="rId1459" Type="http://schemas.openxmlformats.org/officeDocument/2006/relationships/hyperlink" Target="https://www.fangraphs.com/teams/braves" TargetMode="External"/><Relationship Id="rId2205" Type="http://schemas.openxmlformats.org/officeDocument/2006/relationships/hyperlink" Target="https://www.fangraphs.com/teams/yankees" TargetMode="External"/><Relationship Id="rId2412" Type="http://schemas.openxmlformats.org/officeDocument/2006/relationships/hyperlink" Target="https://www.fangraphs.com/players/ronny-mauricio/23698/stats" TargetMode="External"/><Relationship Id="rId2857" Type="http://schemas.openxmlformats.org/officeDocument/2006/relationships/hyperlink" Target="https://www.fangraphs.com/players/carter-kieboom/19958/stats" TargetMode="External"/><Relationship Id="rId98" Type="http://schemas.openxmlformats.org/officeDocument/2006/relationships/hyperlink" Target="https://www.fangraphs.com/teams/phillies" TargetMode="External"/><Relationship Id="rId829" Type="http://schemas.openxmlformats.org/officeDocument/2006/relationships/hyperlink" Target="https://www.fangraphs.com/teams/twins" TargetMode="External"/><Relationship Id="rId1014" Type="http://schemas.openxmlformats.org/officeDocument/2006/relationships/hyperlink" Target="https://www.fangraphs.com/players/braydon-fisher/24609/stats" TargetMode="External"/><Relationship Id="rId1221" Type="http://schemas.openxmlformats.org/officeDocument/2006/relationships/hyperlink" Target="https://www.fangraphs.com/players/brooks-raley/10061/stats" TargetMode="External"/><Relationship Id="rId1666" Type="http://schemas.openxmlformats.org/officeDocument/2006/relationships/hyperlink" Target="https://www.fangraphs.com/players/christian-koss/27653/stats" TargetMode="External"/><Relationship Id="rId1873" Type="http://schemas.openxmlformats.org/officeDocument/2006/relationships/hyperlink" Target="https://www.fangraphs.com/teams/guardians" TargetMode="External"/><Relationship Id="rId2717" Type="http://schemas.openxmlformats.org/officeDocument/2006/relationships/hyperlink" Target="https://www.fangraphs.com/players/ryan-rolison/22200/stats" TargetMode="External"/><Relationship Id="rId2924" Type="http://schemas.openxmlformats.org/officeDocument/2006/relationships/hyperlink" Target="https://www.fangraphs.com/teams/mets" TargetMode="External"/><Relationship Id="rId1319" Type="http://schemas.openxmlformats.org/officeDocument/2006/relationships/hyperlink" Target="https://www.fangraphs.com/players/daniel-schneemann/25180/stats" TargetMode="External"/><Relationship Id="rId1526" Type="http://schemas.openxmlformats.org/officeDocument/2006/relationships/hyperlink" Target="https://www.fangraphs.com/teams/red-sox" TargetMode="External"/><Relationship Id="rId1733" Type="http://schemas.openxmlformats.org/officeDocument/2006/relationships/hyperlink" Target="https://www.fangraphs.com/teams/mariners" TargetMode="External"/><Relationship Id="rId1940" Type="http://schemas.openxmlformats.org/officeDocument/2006/relationships/hyperlink" Target="https://www.fangraphs.com/teams/orioles" TargetMode="External"/><Relationship Id="rId25" Type="http://schemas.openxmlformats.org/officeDocument/2006/relationships/hyperlink" Target="https://www.fangraphs.com/players/corbin-carroll/25878/stats" TargetMode="External"/><Relationship Id="rId1800" Type="http://schemas.openxmlformats.org/officeDocument/2006/relationships/hyperlink" Target="https://www.fangraphs.com/players/alex-lange/19883/stats" TargetMode="External"/><Relationship Id="rId174" Type="http://schemas.openxmlformats.org/officeDocument/2006/relationships/hyperlink" Target="https://www.fangraphs.com/teams/mariners" TargetMode="External"/><Relationship Id="rId381" Type="http://schemas.openxmlformats.org/officeDocument/2006/relationships/hyperlink" Target="https://www.fangraphs.com/players/jurickson-profar/10815/stats" TargetMode="External"/><Relationship Id="rId2062" Type="http://schemas.openxmlformats.org/officeDocument/2006/relationships/hyperlink" Target="https://www.fangraphs.com/teams/cardinals" TargetMode="External"/><Relationship Id="rId241" Type="http://schemas.openxmlformats.org/officeDocument/2006/relationships/hyperlink" Target="https://www.fangraphs.com/players/emmet-sheehan/29839/stats" TargetMode="External"/><Relationship Id="rId479" Type="http://schemas.openxmlformats.org/officeDocument/2006/relationships/hyperlink" Target="https://www.fangraphs.com/players/gleyber-torres/16997/stats" TargetMode="External"/><Relationship Id="rId686" Type="http://schemas.openxmlformats.org/officeDocument/2006/relationships/hyperlink" Target="https://www.fangraphs.com/teams/tigers" TargetMode="External"/><Relationship Id="rId893" Type="http://schemas.openxmlformats.org/officeDocument/2006/relationships/hyperlink" Target="https://www.fangraphs.com/players/jerar-encarnacion/21871/stats" TargetMode="External"/><Relationship Id="rId2367" Type="http://schemas.openxmlformats.org/officeDocument/2006/relationships/hyperlink" Target="https://www.fangraphs.com/teams/rockies" TargetMode="External"/><Relationship Id="rId2574" Type="http://schemas.openxmlformats.org/officeDocument/2006/relationships/hyperlink" Target="https://www.fangraphs.com/players/matt-mervis/27845/stats" TargetMode="External"/><Relationship Id="rId2781" Type="http://schemas.openxmlformats.org/officeDocument/2006/relationships/hyperlink" Target="https://www.fangraphs.com/players/jose-barrero/23378/stats" TargetMode="External"/><Relationship Id="rId339" Type="http://schemas.openxmlformats.org/officeDocument/2006/relationships/hyperlink" Target="https://www.fangraphs.com/players/luis-castillo/15689/stats" TargetMode="External"/><Relationship Id="rId546" Type="http://schemas.openxmlformats.org/officeDocument/2006/relationships/hyperlink" Target="https://www.fangraphs.com/teams/rangers" TargetMode="External"/><Relationship Id="rId753" Type="http://schemas.openxmlformats.org/officeDocument/2006/relationships/hyperlink" Target="https://www.fangraphs.com/teams/pirates" TargetMode="External"/><Relationship Id="rId1176" Type="http://schemas.openxmlformats.org/officeDocument/2006/relationships/hyperlink" Target="https://www.fangraphs.com/teams/tigers" TargetMode="External"/><Relationship Id="rId1383" Type="http://schemas.openxmlformats.org/officeDocument/2006/relationships/hyperlink" Target="https://www.fangraphs.com/players/kyle-isbel/21614/stats" TargetMode="External"/><Relationship Id="rId2227" Type="http://schemas.openxmlformats.org/officeDocument/2006/relationships/hyperlink" Target="https://www.fangraphs.com/players/trevor-williams/16977/stats" TargetMode="External"/><Relationship Id="rId2434" Type="http://schemas.openxmlformats.org/officeDocument/2006/relationships/hyperlink" Target="https://www.fangraphs.com/teams/nationals" TargetMode="External"/><Relationship Id="rId2879" Type="http://schemas.openxmlformats.org/officeDocument/2006/relationships/hyperlink" Target="https://www.fangraphs.com/teams/rangers" TargetMode="External"/><Relationship Id="rId101" Type="http://schemas.openxmlformats.org/officeDocument/2006/relationships/hyperlink" Target="https://www.fangraphs.com/players/brent-rooker/19627/stats" TargetMode="External"/><Relationship Id="rId406" Type="http://schemas.openxmlformats.org/officeDocument/2006/relationships/hyperlink" Target="https://www.fangraphs.com/teams/astros" TargetMode="External"/><Relationship Id="rId960" Type="http://schemas.openxmlformats.org/officeDocument/2006/relationships/hyperlink" Target="https://www.fangraphs.com/players/dean-kremer/19350/stats" TargetMode="External"/><Relationship Id="rId1036" Type="http://schemas.openxmlformats.org/officeDocument/2006/relationships/hyperlink" Target="https://www.fangraphs.com/teams/giants" TargetMode="External"/><Relationship Id="rId1243" Type="http://schemas.openxmlformats.org/officeDocument/2006/relationships/hyperlink" Target="https://www.fangraphs.com/players/jt-ginn/27889/stats" TargetMode="External"/><Relationship Id="rId1590" Type="http://schemas.openxmlformats.org/officeDocument/2006/relationships/hyperlink" Target="https://www.fangraphs.com/players/pj-poulin/23394/stats" TargetMode="External"/><Relationship Id="rId1688" Type="http://schemas.openxmlformats.org/officeDocument/2006/relationships/hyperlink" Target="https://www.fangraphs.com/teams/tigers" TargetMode="External"/><Relationship Id="rId1895" Type="http://schemas.openxmlformats.org/officeDocument/2006/relationships/hyperlink" Target="https://www.fangraphs.com/teams/white-sox" TargetMode="External"/><Relationship Id="rId2641" Type="http://schemas.openxmlformats.org/officeDocument/2006/relationships/hyperlink" Target="https://www.fangraphs.com/players/ronny-simon/25346/stats" TargetMode="External"/><Relationship Id="rId2739" Type="http://schemas.openxmlformats.org/officeDocument/2006/relationships/hyperlink" Target="https://www.fangraphs.com/players/noah-murdock/27908/stats" TargetMode="External"/><Relationship Id="rId613" Type="http://schemas.openxmlformats.org/officeDocument/2006/relationships/hyperlink" Target="https://www.fangraphs.com/players/cam-smith/35108/stats" TargetMode="External"/><Relationship Id="rId820" Type="http://schemas.openxmlformats.org/officeDocument/2006/relationships/hyperlink" Target="https://www.fangraphs.com/players/spencer-horwitz/26477/stats" TargetMode="External"/><Relationship Id="rId918" Type="http://schemas.openxmlformats.org/officeDocument/2006/relationships/hyperlink" Target="https://www.fangraphs.com/teams/giants" TargetMode="External"/><Relationship Id="rId1450" Type="http://schemas.openxmlformats.org/officeDocument/2006/relationships/hyperlink" Target="https://www.fangraphs.com/players/albert-suarez/6175/stats" TargetMode="External"/><Relationship Id="rId1548" Type="http://schemas.openxmlformats.org/officeDocument/2006/relationships/hyperlink" Target="https://www.fangraphs.com/players/nick-sandlin/20517/stats" TargetMode="External"/><Relationship Id="rId1755" Type="http://schemas.openxmlformats.org/officeDocument/2006/relationships/hyperlink" Target="https://www.fangraphs.com/teams/mariners" TargetMode="External"/><Relationship Id="rId2501" Type="http://schemas.openxmlformats.org/officeDocument/2006/relationships/hyperlink" Target="https://www.fangraphs.com/teams/rays" TargetMode="External"/><Relationship Id="rId1103" Type="http://schemas.openxmlformats.org/officeDocument/2006/relationships/hyperlink" Target="https://www.fangraphs.com/teams/phillies" TargetMode="External"/><Relationship Id="rId1310" Type="http://schemas.openxmlformats.org/officeDocument/2006/relationships/hyperlink" Target="https://www.fangraphs.com/teams/phillies" TargetMode="External"/><Relationship Id="rId1408" Type="http://schemas.openxmlformats.org/officeDocument/2006/relationships/hyperlink" Target="https://www.fangraphs.com/players/caden-dana/31508/stats" TargetMode="External"/><Relationship Id="rId1962" Type="http://schemas.openxmlformats.org/officeDocument/2006/relationships/hyperlink" Target="https://www.fangraphs.com/players/luis-guerrero/31184/stats" TargetMode="External"/><Relationship Id="rId2806" Type="http://schemas.openxmlformats.org/officeDocument/2006/relationships/hyperlink" Target="https://www.fangraphs.com/teams/tigers" TargetMode="External"/><Relationship Id="rId47" Type="http://schemas.openxmlformats.org/officeDocument/2006/relationships/hyperlink" Target="https://www.fangraphs.com/players/kyle-schwarber/16478/stats" TargetMode="External"/><Relationship Id="rId1615" Type="http://schemas.openxmlformats.org/officeDocument/2006/relationships/hyperlink" Target="https://www.fangraphs.com/players/michael-tonkin/10315/stats" TargetMode="External"/><Relationship Id="rId1822" Type="http://schemas.openxmlformats.org/officeDocument/2006/relationships/hyperlink" Target="https://www.fangraphs.com/teams/white-sox" TargetMode="External"/><Relationship Id="rId196" Type="http://schemas.openxmlformats.org/officeDocument/2006/relationships/hyperlink" Target="https://www.fangraphs.com/teams/braves" TargetMode="External"/><Relationship Id="rId2084" Type="http://schemas.openxmlformats.org/officeDocument/2006/relationships/hyperlink" Target="https://www.fangraphs.com/players/nolan-hoffman/23381/stats" TargetMode="External"/><Relationship Id="rId2291" Type="http://schemas.openxmlformats.org/officeDocument/2006/relationships/hyperlink" Target="https://www.fangraphs.com/players/triston-mckenzie/18000/stats" TargetMode="External"/><Relationship Id="rId263" Type="http://schemas.openxmlformats.org/officeDocument/2006/relationships/hyperlink" Target="https://www.fangraphs.com/players/sonny-gray/12768/stats" TargetMode="External"/><Relationship Id="rId470" Type="http://schemas.openxmlformats.org/officeDocument/2006/relationships/hyperlink" Target="https://www.fangraphs.com/teams/padres" TargetMode="External"/><Relationship Id="rId2151" Type="http://schemas.openxmlformats.org/officeDocument/2006/relationships/hyperlink" Target="https://www.fangraphs.com/teams/angels" TargetMode="External"/><Relationship Id="rId2389" Type="http://schemas.openxmlformats.org/officeDocument/2006/relationships/hyperlink" Target="https://www.fangraphs.com/players/derek-hill/16947/stats" TargetMode="External"/><Relationship Id="rId2596" Type="http://schemas.openxmlformats.org/officeDocument/2006/relationships/hyperlink" Target="https://www.fangraphs.com/players/bryce-teodosio/29524/stats" TargetMode="External"/><Relationship Id="rId123" Type="http://schemas.openxmlformats.org/officeDocument/2006/relationships/hyperlink" Target="https://www.fangraphs.com/players/aroldis-chapman/10233/stats" TargetMode="External"/><Relationship Id="rId330" Type="http://schemas.openxmlformats.org/officeDocument/2006/relationships/hyperlink" Target="https://www.fangraphs.com/teams/giants" TargetMode="External"/><Relationship Id="rId568" Type="http://schemas.openxmlformats.org/officeDocument/2006/relationships/hyperlink" Target="https://www.fangraphs.com/teams/white-sox" TargetMode="External"/><Relationship Id="rId775" Type="http://schemas.openxmlformats.org/officeDocument/2006/relationships/hyperlink" Target="https://www.fangraphs.com/teams/red-sox" TargetMode="External"/><Relationship Id="rId982" Type="http://schemas.openxmlformats.org/officeDocument/2006/relationships/hyperlink" Target="https://www.fangraphs.com/players/pedro-pages/25782/stats" TargetMode="External"/><Relationship Id="rId1198" Type="http://schemas.openxmlformats.org/officeDocument/2006/relationships/hyperlink" Target="https://www.fangraphs.com/teams/reds" TargetMode="External"/><Relationship Id="rId2011" Type="http://schemas.openxmlformats.org/officeDocument/2006/relationships/hyperlink" Target="https://www.fangraphs.com/players/drew-romo/27763/stats" TargetMode="External"/><Relationship Id="rId2249" Type="http://schemas.openxmlformats.org/officeDocument/2006/relationships/hyperlink" Target="https://www.fangraphs.com/teams/braves" TargetMode="External"/><Relationship Id="rId2456" Type="http://schemas.openxmlformats.org/officeDocument/2006/relationships/hyperlink" Target="https://www.fangraphs.com/players/warming-bernabel/26536/stats" TargetMode="External"/><Relationship Id="rId2663" Type="http://schemas.openxmlformats.org/officeDocument/2006/relationships/hyperlink" Target="https://www.fangraphs.com/players/jason-heyward/4940/stats" TargetMode="External"/><Relationship Id="rId2870" Type="http://schemas.openxmlformats.org/officeDocument/2006/relationships/hyperlink" Target="https://www.fangraphs.com/players/sergio-alcantara/16417/stats" TargetMode="External"/><Relationship Id="rId428" Type="http://schemas.openxmlformats.org/officeDocument/2006/relationships/hyperlink" Target="https://www.fangraphs.com/teams/mets" TargetMode="External"/><Relationship Id="rId635" Type="http://schemas.openxmlformats.org/officeDocument/2006/relationships/hyperlink" Target="https://www.fangraphs.com/players/dylan-beavers/31695/stats" TargetMode="External"/><Relationship Id="rId842" Type="http://schemas.openxmlformats.org/officeDocument/2006/relationships/hyperlink" Target="https://www.fangraphs.com/teams/athletics" TargetMode="External"/><Relationship Id="rId1058" Type="http://schemas.openxmlformats.org/officeDocument/2006/relationships/hyperlink" Target="https://www.fangraphs.com/teams/twins" TargetMode="External"/><Relationship Id="rId1265" Type="http://schemas.openxmlformats.org/officeDocument/2006/relationships/hyperlink" Target="https://www.fangraphs.com/players/nick-fortes/21538/stats" TargetMode="External"/><Relationship Id="rId1472" Type="http://schemas.openxmlformats.org/officeDocument/2006/relationships/hyperlink" Target="https://www.fangraphs.com/players/jose-herrera/17040/stats" TargetMode="External"/><Relationship Id="rId2109" Type="http://schemas.openxmlformats.org/officeDocument/2006/relationships/hyperlink" Target="https://www.fangraphs.com/players/lance-mccullers-jr/14120/stats" TargetMode="External"/><Relationship Id="rId2316" Type="http://schemas.openxmlformats.org/officeDocument/2006/relationships/hyperlink" Target="https://www.fangraphs.com/teams/phillies" TargetMode="External"/><Relationship Id="rId2523" Type="http://schemas.openxmlformats.org/officeDocument/2006/relationships/hyperlink" Target="https://www.fangraphs.com/players/nate-pearson/20160/stats" TargetMode="External"/><Relationship Id="rId2730" Type="http://schemas.openxmlformats.org/officeDocument/2006/relationships/hyperlink" Target="https://www.fangraphs.com/players/tim-elko/31522/stats" TargetMode="External"/><Relationship Id="rId702" Type="http://schemas.openxmlformats.org/officeDocument/2006/relationships/hyperlink" Target="https://www.fangraphs.com/teams/white-sox" TargetMode="External"/><Relationship Id="rId1125" Type="http://schemas.openxmlformats.org/officeDocument/2006/relationships/hyperlink" Target="https://www.fangraphs.com/players/bailey-falter/20070/stats" TargetMode="External"/><Relationship Id="rId1332" Type="http://schemas.openxmlformats.org/officeDocument/2006/relationships/hyperlink" Target="https://www.fangraphs.com/players/justin-lawrence/17639/stats" TargetMode="External"/><Relationship Id="rId1777" Type="http://schemas.openxmlformats.org/officeDocument/2006/relationships/hyperlink" Target="https://www.fangraphs.com/players/jt-brubaker/17578/stats" TargetMode="External"/><Relationship Id="rId1984" Type="http://schemas.openxmlformats.org/officeDocument/2006/relationships/hyperlink" Target="https://www.fangraphs.com/players/travis-jankowski/13768/stats" TargetMode="External"/><Relationship Id="rId2828" Type="http://schemas.openxmlformats.org/officeDocument/2006/relationships/hyperlink" Target="https://www.fangraphs.com/players/samad-taylor/22274/stats" TargetMode="External"/><Relationship Id="rId69" Type="http://schemas.openxmlformats.org/officeDocument/2006/relationships/hyperlink" Target="https://www.fangraphs.com/players/logan-gilbert/22250/stats" TargetMode="External"/><Relationship Id="rId1637" Type="http://schemas.openxmlformats.org/officeDocument/2006/relationships/hyperlink" Target="https://www.fangraphs.com/players/grant-holman/30002/stats" TargetMode="External"/><Relationship Id="rId1844" Type="http://schemas.openxmlformats.org/officeDocument/2006/relationships/hyperlink" Target="https://www.fangraphs.com/teams/white-sox" TargetMode="External"/><Relationship Id="rId1704" Type="http://schemas.openxmlformats.org/officeDocument/2006/relationships/hyperlink" Target="https://www.fangraphs.com/players/cesar-salazar/21587/stats" TargetMode="External"/><Relationship Id="rId285" Type="http://schemas.openxmlformats.org/officeDocument/2006/relationships/hyperlink" Target="https://www.fangraphs.com/players/jakob-marsee/31370/stats" TargetMode="External"/><Relationship Id="rId1911" Type="http://schemas.openxmlformats.org/officeDocument/2006/relationships/hyperlink" Target="https://www.fangraphs.com/players/andrew-walters/33834/stats" TargetMode="External"/><Relationship Id="rId492" Type="http://schemas.openxmlformats.org/officeDocument/2006/relationships/hyperlink" Target="https://www.fangraphs.com/teams/rangers" TargetMode="External"/><Relationship Id="rId797" Type="http://schemas.openxmlformats.org/officeDocument/2006/relationships/hyperlink" Target="https://www.fangraphs.com/teams/royals" TargetMode="External"/><Relationship Id="rId2173" Type="http://schemas.openxmlformats.org/officeDocument/2006/relationships/hyperlink" Target="https://www.fangraphs.com/players/grant-wolfram/21623/stats" TargetMode="External"/><Relationship Id="rId2380" Type="http://schemas.openxmlformats.org/officeDocument/2006/relationships/hyperlink" Target="https://www.fangraphs.com/players/troy-taylor/31883/stats" TargetMode="External"/><Relationship Id="rId2478" Type="http://schemas.openxmlformats.org/officeDocument/2006/relationships/hyperlink" Target="https://www.fangraphs.com/players/cody-freeman/25629/stats" TargetMode="External"/><Relationship Id="rId145" Type="http://schemas.openxmlformats.org/officeDocument/2006/relationships/hyperlink" Target="https://www.fangraphs.com/players/jackson-merrill/29490/stats" TargetMode="External"/><Relationship Id="rId352" Type="http://schemas.openxmlformats.org/officeDocument/2006/relationships/hyperlink" Target="https://www.fangraphs.com/teams/mets" TargetMode="External"/><Relationship Id="rId1287" Type="http://schemas.openxmlformats.org/officeDocument/2006/relationships/hyperlink" Target="https://www.fangraphs.com/players/doug-nikhazy/30142/stats" TargetMode="External"/><Relationship Id="rId2033" Type="http://schemas.openxmlformats.org/officeDocument/2006/relationships/hyperlink" Target="https://www.fangraphs.com/players/aramis-garcia/16925/stats" TargetMode="External"/><Relationship Id="rId2240" Type="http://schemas.openxmlformats.org/officeDocument/2006/relationships/hyperlink" Target="https://www.fangraphs.com/players/michael-mercado/23223/stats" TargetMode="External"/><Relationship Id="rId2685" Type="http://schemas.openxmlformats.org/officeDocument/2006/relationships/hyperlink" Target="https://www.fangraphs.com/players/orlando-arcia/13185/stats" TargetMode="External"/><Relationship Id="rId2892" Type="http://schemas.openxmlformats.org/officeDocument/2006/relationships/hyperlink" Target="https://www.fangraphs.com/players/will-robertson/25467/stats" TargetMode="External"/><Relationship Id="rId212" Type="http://schemas.openxmlformats.org/officeDocument/2006/relationships/hyperlink" Target="https://www.fangraphs.com/teams/reds" TargetMode="External"/><Relationship Id="rId657" Type="http://schemas.openxmlformats.org/officeDocument/2006/relationships/hyperlink" Target="https://www.fangraphs.com/players/david-peterson/20302/stats" TargetMode="External"/><Relationship Id="rId864" Type="http://schemas.openxmlformats.org/officeDocument/2006/relationships/hyperlink" Target="https://www.fangraphs.com/teams/blue-jays" TargetMode="External"/><Relationship Id="rId1494" Type="http://schemas.openxmlformats.org/officeDocument/2006/relationships/hyperlink" Target="https://www.fangraphs.com/players/ryan-mountcastle/18373/stats" TargetMode="External"/><Relationship Id="rId1799" Type="http://schemas.openxmlformats.org/officeDocument/2006/relationships/hyperlink" Target="https://www.fangraphs.com/teams/cubs" TargetMode="External"/><Relationship Id="rId2100" Type="http://schemas.openxmlformats.org/officeDocument/2006/relationships/hyperlink" Target="https://www.fangraphs.com/players/kyle-farmer/14813/stats" TargetMode="External"/><Relationship Id="rId2338" Type="http://schemas.openxmlformats.org/officeDocument/2006/relationships/hyperlink" Target="https://www.fangraphs.com/players/nick-allen/22277/stats" TargetMode="External"/><Relationship Id="rId2545" Type="http://schemas.openxmlformats.org/officeDocument/2006/relationships/hyperlink" Target="https://www.fangraphs.com/teams/red-sox" TargetMode="External"/><Relationship Id="rId2752" Type="http://schemas.openxmlformats.org/officeDocument/2006/relationships/hyperlink" Target="https://www.fangraphs.com/teams/mariners" TargetMode="External"/><Relationship Id="rId517" Type="http://schemas.openxmlformats.org/officeDocument/2006/relationships/hyperlink" Target="https://www.fangraphs.com/players/noah-cameron/30184/stats" TargetMode="External"/><Relationship Id="rId724" Type="http://schemas.openxmlformats.org/officeDocument/2006/relationships/hyperlink" Target="https://www.fangraphs.com/players/payton-tolle/35466/stats" TargetMode="External"/><Relationship Id="rId931" Type="http://schemas.openxmlformats.org/officeDocument/2006/relationships/hyperlink" Target="https://www.fangraphs.com/players/drey-jameson/26260/stats" TargetMode="External"/><Relationship Id="rId1147" Type="http://schemas.openxmlformats.org/officeDocument/2006/relationships/hyperlink" Target="https://www.fangraphs.com/teams/diamondbacks" TargetMode="External"/><Relationship Id="rId1354" Type="http://schemas.openxmlformats.org/officeDocument/2006/relationships/hyperlink" Target="https://www.fangraphs.com/players/brooks-baldwin/31394/stats" TargetMode="External"/><Relationship Id="rId1561" Type="http://schemas.openxmlformats.org/officeDocument/2006/relationships/hyperlink" Target="https://www.fangraphs.com/players/tanner-gordon/27669/stats" TargetMode="External"/><Relationship Id="rId2405" Type="http://schemas.openxmlformats.org/officeDocument/2006/relationships/hyperlink" Target="https://www.fangraphs.com/teams/rockies" TargetMode="External"/><Relationship Id="rId2612" Type="http://schemas.openxmlformats.org/officeDocument/2006/relationships/hyperlink" Target="https://www.fangraphs.com/players/brett-harris/29788/stats" TargetMode="External"/><Relationship Id="rId60" Type="http://schemas.openxmlformats.org/officeDocument/2006/relationships/hyperlink" Target="https://www.fangraphs.com/teams/padres" TargetMode="External"/><Relationship Id="rId1007" Type="http://schemas.openxmlformats.org/officeDocument/2006/relationships/hyperlink" Target="https://www.fangraphs.com/teams/mets" TargetMode="External"/><Relationship Id="rId1214" Type="http://schemas.openxmlformats.org/officeDocument/2006/relationships/hyperlink" Target="https://www.fangraphs.com/teams/cardinals" TargetMode="External"/><Relationship Id="rId1421" Type="http://schemas.openxmlformats.org/officeDocument/2006/relationships/hyperlink" Target="https://www.fangraphs.com/teams/mariners" TargetMode="External"/><Relationship Id="rId1659" Type="http://schemas.openxmlformats.org/officeDocument/2006/relationships/hyperlink" Target="https://www.fangraphs.com/teams/reds" TargetMode="External"/><Relationship Id="rId1866" Type="http://schemas.openxmlformats.org/officeDocument/2006/relationships/hyperlink" Target="https://www.fangraphs.com/teams/rangers" TargetMode="External"/><Relationship Id="rId2917" Type="http://schemas.openxmlformats.org/officeDocument/2006/relationships/hyperlink" Target="https://www.fangraphs.com/players/tristin-english/26148/stats" TargetMode="External"/><Relationship Id="rId1519" Type="http://schemas.openxmlformats.org/officeDocument/2006/relationships/hyperlink" Target="https://www.fangraphs.com/players/ron-marinaccio/23488/stats" TargetMode="External"/><Relationship Id="rId1726" Type="http://schemas.openxmlformats.org/officeDocument/2006/relationships/hyperlink" Target="https://www.fangraphs.com/players/tommy-henry/26285/stats" TargetMode="External"/><Relationship Id="rId1933" Type="http://schemas.openxmlformats.org/officeDocument/2006/relationships/hyperlink" Target="https://www.fangraphs.com/players/omar-cruz/23875/stats" TargetMode="External"/><Relationship Id="rId18" Type="http://schemas.openxmlformats.org/officeDocument/2006/relationships/hyperlink" Target="https://www.fangraphs.com/teams/reds" TargetMode="External"/><Relationship Id="rId2195" Type="http://schemas.openxmlformats.org/officeDocument/2006/relationships/hyperlink" Target="https://www.fangraphs.com/players/porter-hodge/26413/stats" TargetMode="External"/><Relationship Id="rId167" Type="http://schemas.openxmlformats.org/officeDocument/2006/relationships/hyperlink" Target="https://www.fangraphs.com/players/eury-perez/27768/stats" TargetMode="External"/><Relationship Id="rId374" Type="http://schemas.openxmlformats.org/officeDocument/2006/relationships/hyperlink" Target="https://www.fangraphs.com/teams/tigers" TargetMode="External"/><Relationship Id="rId581" Type="http://schemas.openxmlformats.org/officeDocument/2006/relationships/hyperlink" Target="https://www.fangraphs.com/players/brady-singer/25377/stats" TargetMode="External"/><Relationship Id="rId2055" Type="http://schemas.openxmlformats.org/officeDocument/2006/relationships/hyperlink" Target="https://www.fangraphs.com/players/kyle-nicolas/27775/stats" TargetMode="External"/><Relationship Id="rId2262" Type="http://schemas.openxmlformats.org/officeDocument/2006/relationships/hyperlink" Target="https://www.fangraphs.com/teams/rockies" TargetMode="External"/><Relationship Id="rId234" Type="http://schemas.openxmlformats.org/officeDocument/2006/relationships/hyperlink" Target="https://www.fangraphs.com/teams/phillies" TargetMode="External"/><Relationship Id="rId679" Type="http://schemas.openxmlformats.org/officeDocument/2006/relationships/hyperlink" Target="https://www.fangraphs.com/players/isaac-collins/25477/stats" TargetMode="External"/><Relationship Id="rId886" Type="http://schemas.openxmlformats.org/officeDocument/2006/relationships/hyperlink" Target="https://www.fangraphs.com/teams/padres" TargetMode="External"/><Relationship Id="rId2567" Type="http://schemas.openxmlformats.org/officeDocument/2006/relationships/hyperlink" Target="https://www.fangraphs.com/teams/angels" TargetMode="External"/><Relationship Id="rId2774" Type="http://schemas.openxmlformats.org/officeDocument/2006/relationships/hyperlink" Target="https://www.fangraphs.com/players/tyler-black/29949/stats" TargetMode="External"/><Relationship Id="rId2" Type="http://schemas.openxmlformats.org/officeDocument/2006/relationships/hyperlink" Target="https://www.fangraphs.com/teams/dodgers" TargetMode="External"/><Relationship Id="rId441" Type="http://schemas.openxmlformats.org/officeDocument/2006/relationships/hyperlink" Target="https://www.fangraphs.com/players/zac-gallen/19291/stats" TargetMode="External"/><Relationship Id="rId539" Type="http://schemas.openxmlformats.org/officeDocument/2006/relationships/hyperlink" Target="https://www.fangraphs.com/players/willi-castro/17338/stats" TargetMode="External"/><Relationship Id="rId746" Type="http://schemas.openxmlformats.org/officeDocument/2006/relationships/hyperlink" Target="https://www.fangraphs.com/players/owen-caissie/27496/stats" TargetMode="External"/><Relationship Id="rId1071" Type="http://schemas.openxmlformats.org/officeDocument/2006/relationships/hyperlink" Target="https://www.fangraphs.com/players/hunter-dobbins/30240/stats" TargetMode="External"/><Relationship Id="rId1169" Type="http://schemas.openxmlformats.org/officeDocument/2006/relationships/hyperlink" Target="https://www.fangraphs.com/players/brant-hurter/30133/stats" TargetMode="External"/><Relationship Id="rId1376" Type="http://schemas.openxmlformats.org/officeDocument/2006/relationships/hyperlink" Target="https://www.fangraphs.com/players/david-morgan/31616/stats" TargetMode="External"/><Relationship Id="rId1583" Type="http://schemas.openxmlformats.org/officeDocument/2006/relationships/hyperlink" Target="https://www.fangraphs.com/players/jp-france/21212/stats" TargetMode="External"/><Relationship Id="rId2122" Type="http://schemas.openxmlformats.org/officeDocument/2006/relationships/hyperlink" Target="https://www.fangraphs.com/teams/astros" TargetMode="External"/><Relationship Id="rId2427" Type="http://schemas.openxmlformats.org/officeDocument/2006/relationships/hyperlink" Target="https://www.fangraphs.com/players/john-rave/26284/stats" TargetMode="External"/><Relationship Id="rId301" Type="http://schemas.openxmlformats.org/officeDocument/2006/relationships/hyperlink" Target="https://www.fangraphs.com/players/drew-rasmussen/25385/stats" TargetMode="External"/><Relationship Id="rId953" Type="http://schemas.openxmlformats.org/officeDocument/2006/relationships/hyperlink" Target="https://www.fangraphs.com/teams/guardians" TargetMode="External"/><Relationship Id="rId1029" Type="http://schemas.openxmlformats.org/officeDocument/2006/relationships/hyperlink" Target="https://www.fangraphs.com/teams/padres" TargetMode="External"/><Relationship Id="rId1236" Type="http://schemas.openxmlformats.org/officeDocument/2006/relationships/hyperlink" Target="https://www.fangraphs.com/teams/orioles" TargetMode="External"/><Relationship Id="rId1790" Type="http://schemas.openxmlformats.org/officeDocument/2006/relationships/hyperlink" Target="https://www.fangraphs.com/players/andre-granillo/29542/stats" TargetMode="External"/><Relationship Id="rId1888" Type="http://schemas.openxmlformats.org/officeDocument/2006/relationships/hyperlink" Target="https://www.fangraphs.com/teams/twins" TargetMode="External"/><Relationship Id="rId2634" Type="http://schemas.openxmlformats.org/officeDocument/2006/relationships/hyperlink" Target="https://www.fangraphs.com/players/jesse-winker/13590/stats" TargetMode="External"/><Relationship Id="rId2841" Type="http://schemas.openxmlformats.org/officeDocument/2006/relationships/hyperlink" Target="https://www.fangraphs.com/teams/giants" TargetMode="External"/><Relationship Id="rId82" Type="http://schemas.openxmlformats.org/officeDocument/2006/relationships/hyperlink" Target="https://www.fangraphs.com/teams/mariners" TargetMode="External"/><Relationship Id="rId606" Type="http://schemas.openxmlformats.org/officeDocument/2006/relationships/hyperlink" Target="https://www.fangraphs.com/teams/nationals" TargetMode="External"/><Relationship Id="rId813" Type="http://schemas.openxmlformats.org/officeDocument/2006/relationships/hyperlink" Target="https://www.fangraphs.com/teams/diamondbacks" TargetMode="External"/><Relationship Id="rId1443" Type="http://schemas.openxmlformats.org/officeDocument/2006/relationships/hyperlink" Target="https://www.fangraphs.com/teams/tigers" TargetMode="External"/><Relationship Id="rId1650" Type="http://schemas.openxmlformats.org/officeDocument/2006/relationships/hyperlink" Target="https://www.fangraphs.com/players/joe-rock/30016/stats" TargetMode="External"/><Relationship Id="rId1748" Type="http://schemas.openxmlformats.org/officeDocument/2006/relationships/hyperlink" Target="https://www.fangraphs.com/players/tim-herrin/25139/stats" TargetMode="External"/><Relationship Id="rId2701" Type="http://schemas.openxmlformats.org/officeDocument/2006/relationships/hyperlink" Target="https://www.fangraphs.com/players/dominic-fletcher/26149/stats" TargetMode="External"/><Relationship Id="rId1303" Type="http://schemas.openxmlformats.org/officeDocument/2006/relationships/hyperlink" Target="https://www.fangraphs.com/players/carter-jensen/29478/stats" TargetMode="External"/><Relationship Id="rId1510" Type="http://schemas.openxmlformats.org/officeDocument/2006/relationships/hyperlink" Target="https://www.fangraphs.com/players/dominic-smith/15653/stats" TargetMode="External"/><Relationship Id="rId1955" Type="http://schemas.openxmlformats.org/officeDocument/2006/relationships/hyperlink" Target="https://www.fangraphs.com/players/touki-toussaint/16929/stats" TargetMode="External"/><Relationship Id="rId1608" Type="http://schemas.openxmlformats.org/officeDocument/2006/relationships/hyperlink" Target="https://www.fangraphs.com/teams/orioles" TargetMode="External"/><Relationship Id="rId1815" Type="http://schemas.openxmlformats.org/officeDocument/2006/relationships/hyperlink" Target="https://www.fangraphs.com/players/dom-hamel/30153/stats" TargetMode="External"/><Relationship Id="rId189" Type="http://schemas.openxmlformats.org/officeDocument/2006/relationships/hyperlink" Target="https://www.fangraphs.com/players/carlos-estevez/14542/stats" TargetMode="External"/><Relationship Id="rId396" Type="http://schemas.openxmlformats.org/officeDocument/2006/relationships/hyperlink" Target="https://www.fangraphs.com/teams/orioles" TargetMode="External"/><Relationship Id="rId2077" Type="http://schemas.openxmlformats.org/officeDocument/2006/relationships/hyperlink" Target="https://www.fangraphs.com/teams/mets" TargetMode="External"/><Relationship Id="rId2284" Type="http://schemas.openxmlformats.org/officeDocument/2006/relationships/hyperlink" Target="https://www.fangraphs.com/players/owen-white/22273/stats" TargetMode="External"/><Relationship Id="rId2491" Type="http://schemas.openxmlformats.org/officeDocument/2006/relationships/hyperlink" Target="https://www.fangraphs.com/players/jackson-rutledge/26215/stats" TargetMode="External"/><Relationship Id="rId256" Type="http://schemas.openxmlformats.org/officeDocument/2006/relationships/hyperlink" Target="https://www.fangraphs.com/teams/reds" TargetMode="External"/><Relationship Id="rId463" Type="http://schemas.openxmlformats.org/officeDocument/2006/relationships/hyperlink" Target="https://www.fangraphs.com/players/kerry-carpenter/25961/stats" TargetMode="External"/><Relationship Id="rId670" Type="http://schemas.openxmlformats.org/officeDocument/2006/relationships/hyperlink" Target="https://www.fangraphs.com/teams/twins" TargetMode="External"/><Relationship Id="rId1093" Type="http://schemas.openxmlformats.org/officeDocument/2006/relationships/hyperlink" Target="https://www.fangraphs.com/players/mitch-garver/15161/stats" TargetMode="External"/><Relationship Id="rId2144" Type="http://schemas.openxmlformats.org/officeDocument/2006/relationships/hyperlink" Target="https://www.fangraphs.com/players/kyle-freeland/16256/stats" TargetMode="External"/><Relationship Id="rId2351" Type="http://schemas.openxmlformats.org/officeDocument/2006/relationships/hyperlink" Target="https://www.fangraphs.com/players/carlos-cortes/21842/stats" TargetMode="External"/><Relationship Id="rId2589" Type="http://schemas.openxmlformats.org/officeDocument/2006/relationships/hyperlink" Target="https://www.fangraphs.com/teams/giants" TargetMode="External"/><Relationship Id="rId2796" Type="http://schemas.openxmlformats.org/officeDocument/2006/relationships/hyperlink" Target="https://www.fangraphs.com/players/tyler-callihan/27497/stats" TargetMode="External"/><Relationship Id="rId116" Type="http://schemas.openxmlformats.org/officeDocument/2006/relationships/hyperlink" Target="https://www.fangraphs.com/teams/dodgers" TargetMode="External"/><Relationship Id="rId323" Type="http://schemas.openxmlformats.org/officeDocument/2006/relationships/hyperlink" Target="https://www.fangraphs.com/players/trevor-rogers/22286/stats" TargetMode="External"/><Relationship Id="rId530" Type="http://schemas.openxmlformats.org/officeDocument/2006/relationships/hyperlink" Target="https://www.fangraphs.com/teams/astros" TargetMode="External"/><Relationship Id="rId768" Type="http://schemas.openxmlformats.org/officeDocument/2006/relationships/hyperlink" Target="https://www.fangraphs.com/players/harry-ford/29958/stats" TargetMode="External"/><Relationship Id="rId975" Type="http://schemas.openxmlformats.org/officeDocument/2006/relationships/hyperlink" Target="https://www.fangraphs.com/teams/padres" TargetMode="External"/><Relationship Id="rId1160" Type="http://schemas.openxmlformats.org/officeDocument/2006/relationships/hyperlink" Target="https://www.fangraphs.com/teams/marlins" TargetMode="External"/><Relationship Id="rId1398" Type="http://schemas.openxmlformats.org/officeDocument/2006/relationships/hyperlink" Target="https://www.fangraphs.com/players/joey-estes/26257/stats" TargetMode="External"/><Relationship Id="rId2004" Type="http://schemas.openxmlformats.org/officeDocument/2006/relationships/hyperlink" Target="https://www.fangraphs.com/teams/nationals" TargetMode="External"/><Relationship Id="rId2211" Type="http://schemas.openxmlformats.org/officeDocument/2006/relationships/hyperlink" Target="https://www.fangraphs.com/players/elvis-peguero/21652/stats" TargetMode="External"/><Relationship Id="rId2449" Type="http://schemas.openxmlformats.org/officeDocument/2006/relationships/hyperlink" Target="https://www.fangraphs.com/teams/dodgers" TargetMode="External"/><Relationship Id="rId2656" Type="http://schemas.openxmlformats.org/officeDocument/2006/relationships/hyperlink" Target="https://www.fangraphs.com/players/maximo-acosta/27963/stats" TargetMode="External"/><Relationship Id="rId2863" Type="http://schemas.openxmlformats.org/officeDocument/2006/relationships/hyperlink" Target="https://www.fangraphs.com/teams/tigers" TargetMode="External"/><Relationship Id="rId628" Type="http://schemas.openxmlformats.org/officeDocument/2006/relationships/hyperlink" Target="https://www.fangraphs.com/teams/yankees" TargetMode="External"/><Relationship Id="rId835" Type="http://schemas.openxmlformats.org/officeDocument/2006/relationships/hyperlink" Target="https://www.fangraphs.com/players/jorge-soler/14221/stats" TargetMode="External"/><Relationship Id="rId1258" Type="http://schemas.openxmlformats.org/officeDocument/2006/relationships/hyperlink" Target="https://www.fangraphs.com/teams/guardians" TargetMode="External"/><Relationship Id="rId1465" Type="http://schemas.openxmlformats.org/officeDocument/2006/relationships/hyperlink" Target="https://www.fangraphs.com/teams/royals" TargetMode="External"/><Relationship Id="rId1672" Type="http://schemas.openxmlformats.org/officeDocument/2006/relationships/hyperlink" Target="https://www.fangraphs.com/teams/orioles" TargetMode="External"/><Relationship Id="rId2309" Type="http://schemas.openxmlformats.org/officeDocument/2006/relationships/hyperlink" Target="https://www.fangraphs.com/players/lyon-richardson/24581/stats" TargetMode="External"/><Relationship Id="rId2516" Type="http://schemas.openxmlformats.org/officeDocument/2006/relationships/hyperlink" Target="https://www.fangraphs.com/teams/braves" TargetMode="External"/><Relationship Id="rId2723" Type="http://schemas.openxmlformats.org/officeDocument/2006/relationships/hyperlink" Target="https://www.fangraphs.com/players/anthony-seigler/23802/stats" TargetMode="External"/><Relationship Id="rId1020" Type="http://schemas.openxmlformats.org/officeDocument/2006/relationships/hyperlink" Target="https://www.fangraphs.com/players/aaron-ashby/23550/stats" TargetMode="External"/><Relationship Id="rId1118" Type="http://schemas.openxmlformats.org/officeDocument/2006/relationships/hyperlink" Target="https://www.fangraphs.com/players/andrew-mccutchen/9847/stats" TargetMode="External"/><Relationship Id="rId1325" Type="http://schemas.openxmlformats.org/officeDocument/2006/relationships/hyperlink" Target="https://www.fangraphs.com/teams/cardinals" TargetMode="External"/><Relationship Id="rId1532" Type="http://schemas.openxmlformats.org/officeDocument/2006/relationships/hyperlink" Target="https://www.fangraphs.com/players/daysbel-hernandez/20271/stats" TargetMode="External"/><Relationship Id="rId1977" Type="http://schemas.openxmlformats.org/officeDocument/2006/relationships/hyperlink" Target="https://www.fangraphs.com/teams/rangers" TargetMode="External"/><Relationship Id="rId2930" Type="http://schemas.openxmlformats.org/officeDocument/2006/relationships/hyperlink" Target="https://www.fangraphs.com/teams/padres" TargetMode="External"/><Relationship Id="rId902" Type="http://schemas.openxmlformats.org/officeDocument/2006/relationships/hyperlink" Target="https://www.fangraphs.com/teams/brewers" TargetMode="External"/><Relationship Id="rId1837" Type="http://schemas.openxmlformats.org/officeDocument/2006/relationships/hyperlink" Target="https://www.fangraphs.com/teams/giants" TargetMode="External"/><Relationship Id="rId31" Type="http://schemas.openxmlformats.org/officeDocument/2006/relationships/hyperlink" Target="https://www.fangraphs.com/players/fernando-tatis-jr/19709/stats" TargetMode="External"/><Relationship Id="rId2099" Type="http://schemas.openxmlformats.org/officeDocument/2006/relationships/hyperlink" Target="https://www.fangraphs.com/teams/orioles" TargetMode="External"/><Relationship Id="rId180" Type="http://schemas.openxmlformats.org/officeDocument/2006/relationships/hyperlink" Target="https://www.fangraphs.com/teams/mets" TargetMode="External"/><Relationship Id="rId278" Type="http://schemas.openxmlformats.org/officeDocument/2006/relationships/hyperlink" Target="https://www.fangraphs.com/teams/red-sox" TargetMode="External"/><Relationship Id="rId1904" Type="http://schemas.openxmlformats.org/officeDocument/2006/relationships/hyperlink" Target="https://www.fangraphs.com/teams/reds" TargetMode="External"/><Relationship Id="rId485" Type="http://schemas.openxmlformats.org/officeDocument/2006/relationships/hyperlink" Target="https://www.fangraphs.com/players/mickey-moniak/19956/stats" TargetMode="External"/><Relationship Id="rId692" Type="http://schemas.openxmlformats.org/officeDocument/2006/relationships/hyperlink" Target="https://www.fangraphs.com/teams/red-sox" TargetMode="External"/><Relationship Id="rId2166" Type="http://schemas.openxmlformats.org/officeDocument/2006/relationships/hyperlink" Target="https://www.fangraphs.com/players/cooper-hummel/19458/stats" TargetMode="External"/><Relationship Id="rId2373" Type="http://schemas.openxmlformats.org/officeDocument/2006/relationships/hyperlink" Target="https://www.fangraphs.com/teams/braves" TargetMode="External"/><Relationship Id="rId2580" Type="http://schemas.openxmlformats.org/officeDocument/2006/relationships/hyperlink" Target="https://www.fangraphs.com/players/kyle-karros/33252/stats" TargetMode="External"/><Relationship Id="rId138" Type="http://schemas.openxmlformats.org/officeDocument/2006/relationships/hyperlink" Target="https://www.fangraphs.com/teams/royals" TargetMode="External"/><Relationship Id="rId345" Type="http://schemas.openxmlformats.org/officeDocument/2006/relationships/hyperlink" Target="https://www.fangraphs.com/players/shota-imanaga/33829/stats" TargetMode="External"/><Relationship Id="rId552" Type="http://schemas.openxmlformats.org/officeDocument/2006/relationships/hyperlink" Target="https://www.fangraphs.com/teams/pirates" TargetMode="External"/><Relationship Id="rId997" Type="http://schemas.openxmlformats.org/officeDocument/2006/relationships/hyperlink" Target="https://www.fangraphs.com/teams/mariners" TargetMode="External"/><Relationship Id="rId1182" Type="http://schemas.openxmlformats.org/officeDocument/2006/relationships/hyperlink" Target="https://www.fangraphs.com/teams/braves" TargetMode="External"/><Relationship Id="rId2026" Type="http://schemas.openxmlformats.org/officeDocument/2006/relationships/hyperlink" Target="https://www.fangraphs.com/players/rafael-flores-jr/31991/stats" TargetMode="External"/><Relationship Id="rId2233" Type="http://schemas.openxmlformats.org/officeDocument/2006/relationships/hyperlink" Target="https://www.fangraphs.com/players/eduarniel-nunez/23162/stats" TargetMode="External"/><Relationship Id="rId2440" Type="http://schemas.openxmlformats.org/officeDocument/2006/relationships/hyperlink" Target="https://www.fangraphs.com/teams/athletics" TargetMode="External"/><Relationship Id="rId2678" Type="http://schemas.openxmlformats.org/officeDocument/2006/relationships/hyperlink" Target="https://www.fangraphs.com/teams/marlins" TargetMode="External"/><Relationship Id="rId2885" Type="http://schemas.openxmlformats.org/officeDocument/2006/relationships/hyperlink" Target="https://www.fangraphs.com/players/cj-alexander/20557/stats" TargetMode="External"/><Relationship Id="rId205" Type="http://schemas.openxmlformats.org/officeDocument/2006/relationships/hyperlink" Target="https://www.fangraphs.com/players/chase-burns/35333/stats" TargetMode="External"/><Relationship Id="rId412" Type="http://schemas.openxmlformats.org/officeDocument/2006/relationships/hyperlink" Target="https://www.fangraphs.com/teams/yankees" TargetMode="External"/><Relationship Id="rId857" Type="http://schemas.openxmlformats.org/officeDocument/2006/relationships/hyperlink" Target="https://www.fangraphs.com/players/tyler-oneill/15711/stats" TargetMode="External"/><Relationship Id="rId1042" Type="http://schemas.openxmlformats.org/officeDocument/2006/relationships/hyperlink" Target="https://www.fangraphs.com/teams/phillies" TargetMode="External"/><Relationship Id="rId1487" Type="http://schemas.openxmlformats.org/officeDocument/2006/relationships/hyperlink" Target="https://www.fangraphs.com/teams/diamondbacks" TargetMode="External"/><Relationship Id="rId1694" Type="http://schemas.openxmlformats.org/officeDocument/2006/relationships/hyperlink" Target="https://www.fangraphs.com/teams/blue-jays" TargetMode="External"/><Relationship Id="rId2300" Type="http://schemas.openxmlformats.org/officeDocument/2006/relationships/hyperlink" Target="https://www.fangraphs.com/teams/giants" TargetMode="External"/><Relationship Id="rId2538" Type="http://schemas.openxmlformats.org/officeDocument/2006/relationships/hyperlink" Target="https://www.fangraphs.com/players/shinnosuke-ogasawara/35324/stats" TargetMode="External"/><Relationship Id="rId2745" Type="http://schemas.openxmlformats.org/officeDocument/2006/relationships/hyperlink" Target="https://www.fangraphs.com/players/seth-brown/18171/stats" TargetMode="External"/><Relationship Id="rId717" Type="http://schemas.openxmlformats.org/officeDocument/2006/relationships/hyperlink" Target="https://www.fangraphs.com/teams/tigers" TargetMode="External"/><Relationship Id="rId924" Type="http://schemas.openxmlformats.org/officeDocument/2006/relationships/hyperlink" Target="https://www.fangraphs.com/teams/rockies" TargetMode="External"/><Relationship Id="rId1347" Type="http://schemas.openxmlformats.org/officeDocument/2006/relationships/hyperlink" Target="https://www.fangraphs.com/teams/reds" TargetMode="External"/><Relationship Id="rId1554" Type="http://schemas.openxmlformats.org/officeDocument/2006/relationships/hyperlink" Target="https://www.fangraphs.com/players/korey-lee/25543/stats" TargetMode="External"/><Relationship Id="rId1761" Type="http://schemas.openxmlformats.org/officeDocument/2006/relationships/hyperlink" Target="https://www.fangraphs.com/players/randal-grichuk/10243/stats" TargetMode="External"/><Relationship Id="rId1999" Type="http://schemas.openxmlformats.org/officeDocument/2006/relationships/hyperlink" Target="https://www.fangraphs.com/players/casey-lawrence/11121/stats" TargetMode="External"/><Relationship Id="rId2605" Type="http://schemas.openxmlformats.org/officeDocument/2006/relationships/hyperlink" Target="https://www.fangraphs.com/teams/nationals" TargetMode="External"/><Relationship Id="rId2812" Type="http://schemas.openxmlformats.org/officeDocument/2006/relationships/hyperlink" Target="https://www.fangraphs.com/teams/rockies" TargetMode="External"/><Relationship Id="rId53" Type="http://schemas.openxmlformats.org/officeDocument/2006/relationships/hyperlink" Target="https://www.fangraphs.com/players/zach-neto/31347/stats" TargetMode="External"/><Relationship Id="rId1207" Type="http://schemas.openxmlformats.org/officeDocument/2006/relationships/hyperlink" Target="https://www.fangraphs.com/players/james-mccann/12859/stats" TargetMode="External"/><Relationship Id="rId1414" Type="http://schemas.openxmlformats.org/officeDocument/2006/relationships/hyperlink" Target="https://www.fangraphs.com/players/luinder-avila/24452/stats" TargetMode="External"/><Relationship Id="rId1621" Type="http://schemas.openxmlformats.org/officeDocument/2006/relationships/hyperlink" Target="https://www.fangraphs.com/teams/tigers" TargetMode="External"/><Relationship Id="rId1859" Type="http://schemas.openxmlformats.org/officeDocument/2006/relationships/hyperlink" Target="https://www.fangraphs.com/players/cooper-criswell/24975/stats" TargetMode="External"/><Relationship Id="rId1719" Type="http://schemas.openxmlformats.org/officeDocument/2006/relationships/hyperlink" Target="https://www.fangraphs.com/teams/dodgers" TargetMode="External"/><Relationship Id="rId1926" Type="http://schemas.openxmlformats.org/officeDocument/2006/relationships/hyperlink" Target="https://www.fangraphs.com/teams/rangers" TargetMode="External"/><Relationship Id="rId2090" Type="http://schemas.openxmlformats.org/officeDocument/2006/relationships/hyperlink" Target="https://www.fangraphs.com/players/miguel-castro/15684/stats" TargetMode="External"/><Relationship Id="rId2188" Type="http://schemas.openxmlformats.org/officeDocument/2006/relationships/hyperlink" Target="https://www.fangraphs.com/teams/phillies" TargetMode="External"/><Relationship Id="rId2395" Type="http://schemas.openxmlformats.org/officeDocument/2006/relationships/hyperlink" Target="https://www.fangraphs.com/players/scott-kingery/17975/stats" TargetMode="External"/><Relationship Id="rId367" Type="http://schemas.openxmlformats.org/officeDocument/2006/relationships/hyperlink" Target="https://www.fangraphs.com/players/bryson-stott/26294/stats" TargetMode="External"/><Relationship Id="rId574" Type="http://schemas.openxmlformats.org/officeDocument/2006/relationships/hyperlink" Target="https://www.fangraphs.com/teams/reds" TargetMode="External"/><Relationship Id="rId2048" Type="http://schemas.openxmlformats.org/officeDocument/2006/relationships/hyperlink" Target="https://www.fangraphs.com/players/hunter-feduccia/23372/stats" TargetMode="External"/><Relationship Id="rId2255" Type="http://schemas.openxmlformats.org/officeDocument/2006/relationships/hyperlink" Target="https://www.fangraphs.com/players/paul-dejong/18015/stats" TargetMode="External"/><Relationship Id="rId227" Type="http://schemas.openxmlformats.org/officeDocument/2006/relationships/hyperlink" Target="https://www.fangraphs.com/players/pete-fairbanks/17998/stats" TargetMode="External"/><Relationship Id="rId781" Type="http://schemas.openxmlformats.org/officeDocument/2006/relationships/hyperlink" Target="https://www.fangraphs.com/teams/braves" TargetMode="External"/><Relationship Id="rId879" Type="http://schemas.openxmlformats.org/officeDocument/2006/relationships/hyperlink" Target="https://www.fangraphs.com/players/rece-hinds/27493/stats" TargetMode="External"/><Relationship Id="rId2462" Type="http://schemas.openxmlformats.org/officeDocument/2006/relationships/hyperlink" Target="https://www.fangraphs.com/players/dylan-carlson/20126/stats" TargetMode="External"/><Relationship Id="rId2767" Type="http://schemas.openxmlformats.org/officeDocument/2006/relationships/hyperlink" Target="https://www.fangraphs.com/players/jorge-barrosa/23968/stats" TargetMode="External"/><Relationship Id="rId434" Type="http://schemas.openxmlformats.org/officeDocument/2006/relationships/hyperlink" Target="https://www.fangraphs.com/teams/giants" TargetMode="External"/><Relationship Id="rId641" Type="http://schemas.openxmlformats.org/officeDocument/2006/relationships/hyperlink" Target="https://www.fangraphs.com/players/luis-gil/21052/stats" TargetMode="External"/><Relationship Id="rId739" Type="http://schemas.openxmlformats.org/officeDocument/2006/relationships/hyperlink" Target="https://www.fangraphs.com/teams/astros" TargetMode="External"/><Relationship Id="rId1064" Type="http://schemas.openxmlformats.org/officeDocument/2006/relationships/hyperlink" Target="https://www.fangraphs.com/teams/red-sox" TargetMode="External"/><Relationship Id="rId1271" Type="http://schemas.openxmlformats.org/officeDocument/2006/relationships/hyperlink" Target="https://www.fangraphs.com/players/edmundo-sosa/17022/stats" TargetMode="External"/><Relationship Id="rId1369" Type="http://schemas.openxmlformats.org/officeDocument/2006/relationships/hyperlink" Target="https://www.fangraphs.com/players/alex-jackson/17276/stats" TargetMode="External"/><Relationship Id="rId1576" Type="http://schemas.openxmlformats.org/officeDocument/2006/relationships/hyperlink" Target="https://www.fangraphs.com/teams/athletics" TargetMode="External"/><Relationship Id="rId2115" Type="http://schemas.openxmlformats.org/officeDocument/2006/relationships/hyperlink" Target="https://www.fangraphs.com/players/pablo-reyes/16357/stats" TargetMode="External"/><Relationship Id="rId2322" Type="http://schemas.openxmlformats.org/officeDocument/2006/relationships/hyperlink" Target="https://www.fangraphs.com/players/tanner-houck/19879/stats" TargetMode="External"/><Relationship Id="rId501" Type="http://schemas.openxmlformats.org/officeDocument/2006/relationships/hyperlink" Target="https://www.fangraphs.com/players/logan-ohoppe/24729/stats" TargetMode="External"/><Relationship Id="rId946" Type="http://schemas.openxmlformats.org/officeDocument/2006/relationships/hyperlink" Target="https://www.fangraphs.com/teams/mariners" TargetMode="External"/><Relationship Id="rId1131" Type="http://schemas.openxmlformats.org/officeDocument/2006/relationships/hyperlink" Target="https://www.fangraphs.com/teams/blue-jays" TargetMode="External"/><Relationship Id="rId1229" Type="http://schemas.openxmlformats.org/officeDocument/2006/relationships/hyperlink" Target="https://www.fangraphs.com/players/gabriel-arias/22563/stats" TargetMode="External"/><Relationship Id="rId1783" Type="http://schemas.openxmlformats.org/officeDocument/2006/relationships/hyperlink" Target="https://www.fangraphs.com/players/sauryn-lao/21922/stats" TargetMode="External"/><Relationship Id="rId1990" Type="http://schemas.openxmlformats.org/officeDocument/2006/relationships/hyperlink" Target="https://www.fangraphs.com/players/tucker-barnhart/10200/stats" TargetMode="External"/><Relationship Id="rId2627" Type="http://schemas.openxmlformats.org/officeDocument/2006/relationships/hyperlink" Target="https://www.fangraphs.com/teams/yankees" TargetMode="External"/><Relationship Id="rId2834" Type="http://schemas.openxmlformats.org/officeDocument/2006/relationships/hyperlink" Target="https://www.fangraphs.com/players/jonathan-ornelas/24597/stats" TargetMode="External"/><Relationship Id="rId75" Type="http://schemas.openxmlformats.org/officeDocument/2006/relationships/hyperlink" Target="https://www.fangraphs.com/players/bryan-woo/30279/stats" TargetMode="External"/><Relationship Id="rId806" Type="http://schemas.openxmlformats.org/officeDocument/2006/relationships/hyperlink" Target="https://www.fangraphs.com/players/jacob-melton/31661/stats" TargetMode="External"/><Relationship Id="rId1436" Type="http://schemas.openxmlformats.org/officeDocument/2006/relationships/hyperlink" Target="https://www.fangraphs.com/players/jose-suarez/19911/stats" TargetMode="External"/><Relationship Id="rId1643" Type="http://schemas.openxmlformats.org/officeDocument/2006/relationships/hyperlink" Target="https://www.fangraphs.com/teams/mets" TargetMode="External"/><Relationship Id="rId1850" Type="http://schemas.openxmlformats.org/officeDocument/2006/relationships/hyperlink" Target="https://www.fangraphs.com/teams/orioles" TargetMode="External"/><Relationship Id="rId2901" Type="http://schemas.openxmlformats.org/officeDocument/2006/relationships/hyperlink" Target="https://www.fangraphs.com/teams/giants" TargetMode="External"/><Relationship Id="rId1503" Type="http://schemas.openxmlformats.org/officeDocument/2006/relationships/hyperlink" Target="https://www.fangraphs.com/teams/white-sox" TargetMode="External"/><Relationship Id="rId1710" Type="http://schemas.openxmlformats.org/officeDocument/2006/relationships/hyperlink" Target="https://www.fangraphs.com/players/alan-rangel/19524/stats" TargetMode="External"/><Relationship Id="rId1948" Type="http://schemas.openxmlformats.org/officeDocument/2006/relationships/hyperlink" Target="https://www.fangraphs.com/teams/dodgers" TargetMode="External"/><Relationship Id="rId291" Type="http://schemas.openxmlformats.org/officeDocument/2006/relationships/hyperlink" Target="https://www.fangraphs.com/players/nathan-eovaldi/9132/stats" TargetMode="External"/><Relationship Id="rId1808" Type="http://schemas.openxmlformats.org/officeDocument/2006/relationships/hyperlink" Target="https://www.fangraphs.com/teams/padres" TargetMode="External"/><Relationship Id="rId151" Type="http://schemas.openxmlformats.org/officeDocument/2006/relationships/hyperlink" Target="https://www.fangraphs.com/players/jesus-luzardo/19959/stats" TargetMode="External"/><Relationship Id="rId389" Type="http://schemas.openxmlformats.org/officeDocument/2006/relationships/hyperlink" Target="https://www.fangraphs.com/players/sal-stewart/31505/stats" TargetMode="External"/><Relationship Id="rId596" Type="http://schemas.openxmlformats.org/officeDocument/2006/relationships/hyperlink" Target="https://www.fangraphs.com/teams/cardinals" TargetMode="External"/><Relationship Id="rId2277" Type="http://schemas.openxmlformats.org/officeDocument/2006/relationships/hyperlink" Target="https://www.fangraphs.com/players/erik-swanson/16587/stats" TargetMode="External"/><Relationship Id="rId2484" Type="http://schemas.openxmlformats.org/officeDocument/2006/relationships/hyperlink" Target="https://www.fangraphs.com/players/jake-woodford/18674/stats" TargetMode="External"/><Relationship Id="rId2691" Type="http://schemas.openxmlformats.org/officeDocument/2006/relationships/hyperlink" Target="https://www.fangraphs.com/players/lamonte-wade-jr/18126/stats" TargetMode="External"/><Relationship Id="rId249" Type="http://schemas.openxmlformats.org/officeDocument/2006/relationships/hyperlink" Target="https://www.fangraphs.com/players/michael-king/19853/stats" TargetMode="External"/><Relationship Id="rId456" Type="http://schemas.openxmlformats.org/officeDocument/2006/relationships/hyperlink" Target="https://www.fangraphs.com/teams/guardians" TargetMode="External"/><Relationship Id="rId663" Type="http://schemas.openxmlformats.org/officeDocument/2006/relationships/hyperlink" Target="https://www.fangraphs.com/players/cristian-javier/17606/stats" TargetMode="External"/><Relationship Id="rId870" Type="http://schemas.openxmlformats.org/officeDocument/2006/relationships/hyperlink" Target="https://www.fangraphs.com/teams/twins" TargetMode="External"/><Relationship Id="rId1086" Type="http://schemas.openxmlformats.org/officeDocument/2006/relationships/hyperlink" Target="https://www.fangraphs.com/teams/marlins" TargetMode="External"/><Relationship Id="rId1293" Type="http://schemas.openxmlformats.org/officeDocument/2006/relationships/hyperlink" Target="https://www.fangraphs.com/players/riley-adams/19864/stats" TargetMode="External"/><Relationship Id="rId2137" Type="http://schemas.openxmlformats.org/officeDocument/2006/relationships/hyperlink" Target="https://www.fangraphs.com/teams/red-sox" TargetMode="External"/><Relationship Id="rId2344" Type="http://schemas.openxmlformats.org/officeDocument/2006/relationships/hyperlink" Target="https://www.fangraphs.com/players/sean-hjelle/21481/stats" TargetMode="External"/><Relationship Id="rId2551" Type="http://schemas.openxmlformats.org/officeDocument/2006/relationships/hyperlink" Target="https://www.fangraphs.com/teams/guardians" TargetMode="External"/><Relationship Id="rId2789" Type="http://schemas.openxmlformats.org/officeDocument/2006/relationships/hyperlink" Target="https://www.fangraphs.com/teams/brewers" TargetMode="External"/><Relationship Id="rId109" Type="http://schemas.openxmlformats.org/officeDocument/2006/relationships/hyperlink" Target="https://www.fangraphs.com/players/shea-langeliers/25816/stats" TargetMode="External"/><Relationship Id="rId316" Type="http://schemas.openxmlformats.org/officeDocument/2006/relationships/hyperlink" Target="https://www.fangraphs.com/teams/giants" TargetMode="External"/><Relationship Id="rId523" Type="http://schemas.openxmlformats.org/officeDocument/2006/relationships/hyperlink" Target="https://www.fangraphs.com/players/quinn-priester/25977/stats" TargetMode="External"/><Relationship Id="rId968" Type="http://schemas.openxmlformats.org/officeDocument/2006/relationships/hyperlink" Target="https://www.fangraphs.com/players/nathaniel-lowe/19566/stats" TargetMode="External"/><Relationship Id="rId1153" Type="http://schemas.openxmlformats.org/officeDocument/2006/relationships/hyperlink" Target="https://www.fangraphs.com/teams/brewers" TargetMode="External"/><Relationship Id="rId1598" Type="http://schemas.openxmlformats.org/officeDocument/2006/relationships/hyperlink" Target="https://www.fangraphs.com/players/christian-vazquez/9774/stats" TargetMode="External"/><Relationship Id="rId2204" Type="http://schemas.openxmlformats.org/officeDocument/2006/relationships/hyperlink" Target="https://www.fangraphs.com/players/osvaldo-bido/23150/stats" TargetMode="External"/><Relationship Id="rId2649" Type="http://schemas.openxmlformats.org/officeDocument/2006/relationships/hyperlink" Target="https://www.fangraphs.com/players/joshua-palacios/19818/stats" TargetMode="External"/><Relationship Id="rId2856" Type="http://schemas.openxmlformats.org/officeDocument/2006/relationships/hyperlink" Target="https://www.fangraphs.com/teams/red-sox" TargetMode="External"/><Relationship Id="rId97" Type="http://schemas.openxmlformats.org/officeDocument/2006/relationships/hyperlink" Target="https://www.fangraphs.com/players/bryce-harper/11579/stats" TargetMode="External"/><Relationship Id="rId730" Type="http://schemas.openxmlformats.org/officeDocument/2006/relationships/hyperlink" Target="https://www.fangraphs.com/players/victor-robles/18363/stats" TargetMode="External"/><Relationship Id="rId828" Type="http://schemas.openxmlformats.org/officeDocument/2006/relationships/hyperlink" Target="https://www.fangraphs.com/players/victor-caratini/14968/stats" TargetMode="External"/><Relationship Id="rId1013" Type="http://schemas.openxmlformats.org/officeDocument/2006/relationships/hyperlink" Target="https://www.fangraphs.com/teams/braves" TargetMode="External"/><Relationship Id="rId1360" Type="http://schemas.openxmlformats.org/officeDocument/2006/relationships/hyperlink" Target="https://www.fangraphs.com/players/dane-myers/22054/stats" TargetMode="External"/><Relationship Id="rId1458" Type="http://schemas.openxmlformats.org/officeDocument/2006/relationships/hyperlink" Target="https://www.fangraphs.com/players/mauricio-dubon/16530/stats" TargetMode="External"/><Relationship Id="rId1665" Type="http://schemas.openxmlformats.org/officeDocument/2006/relationships/hyperlink" Target="https://www.fangraphs.com/teams/reds" TargetMode="External"/><Relationship Id="rId1872" Type="http://schemas.openxmlformats.org/officeDocument/2006/relationships/hyperlink" Target="https://www.fangraphs.com/players/dom-nunez/15055/stats" TargetMode="External"/><Relationship Id="rId2411" Type="http://schemas.openxmlformats.org/officeDocument/2006/relationships/hyperlink" Target="https://www.fangraphs.com/players/jose-ruiz/14552/stats" TargetMode="External"/><Relationship Id="rId2509" Type="http://schemas.openxmlformats.org/officeDocument/2006/relationships/hyperlink" Target="https://www.fangraphs.com/teams/braves" TargetMode="External"/><Relationship Id="rId2716" Type="http://schemas.openxmlformats.org/officeDocument/2006/relationships/hyperlink" Target="https://www.fangraphs.com/teams/white-sox" TargetMode="External"/><Relationship Id="rId1220" Type="http://schemas.openxmlformats.org/officeDocument/2006/relationships/hyperlink" Target="https://www.fangraphs.com/teams/mets" TargetMode="External"/><Relationship Id="rId1318" Type="http://schemas.openxmlformats.org/officeDocument/2006/relationships/hyperlink" Target="https://www.fangraphs.com/teams/rangers" TargetMode="External"/><Relationship Id="rId1525" Type="http://schemas.openxmlformats.org/officeDocument/2006/relationships/hyperlink" Target="https://www.fangraphs.com/players/mickey-gasper/24759/stats" TargetMode="External"/><Relationship Id="rId2923" Type="http://schemas.openxmlformats.org/officeDocument/2006/relationships/hyperlink" Target="https://www.fangraphs.com/players/mj-melendez/22197/stats" TargetMode="External"/><Relationship Id="rId1732" Type="http://schemas.openxmlformats.org/officeDocument/2006/relationships/hyperlink" Target="https://www.fangraphs.com/players/jhonny-pereda/19802/stats" TargetMode="External"/><Relationship Id="rId24" Type="http://schemas.openxmlformats.org/officeDocument/2006/relationships/hyperlink" Target="https://www.fangraphs.com/teams/red-sox" TargetMode="External"/><Relationship Id="rId2299" Type="http://schemas.openxmlformats.org/officeDocument/2006/relationships/hyperlink" Target="https://www.fangraphs.com/players/scott-alexander/10591/stats" TargetMode="External"/><Relationship Id="rId173" Type="http://schemas.openxmlformats.org/officeDocument/2006/relationships/hyperlink" Target="https://www.fangraphs.com/players/randy-arozarena/19290/stats" TargetMode="External"/><Relationship Id="rId380" Type="http://schemas.openxmlformats.org/officeDocument/2006/relationships/hyperlink" Target="https://www.fangraphs.com/teams/cubs" TargetMode="External"/><Relationship Id="rId2061" Type="http://schemas.openxmlformats.org/officeDocument/2006/relationships/hyperlink" Target="https://www.fangraphs.com/players/thomas-saggese/27883/stats" TargetMode="External"/><Relationship Id="rId240" Type="http://schemas.openxmlformats.org/officeDocument/2006/relationships/hyperlink" Target="https://www.fangraphs.com/teams/cubs" TargetMode="External"/><Relationship Id="rId478" Type="http://schemas.openxmlformats.org/officeDocument/2006/relationships/hyperlink" Target="https://www.fangraphs.com/teams/cardinals" TargetMode="External"/><Relationship Id="rId685" Type="http://schemas.openxmlformats.org/officeDocument/2006/relationships/hyperlink" Target="https://www.fangraphs.com/players/kyle-finnegan/15009/stats" TargetMode="External"/><Relationship Id="rId892" Type="http://schemas.openxmlformats.org/officeDocument/2006/relationships/hyperlink" Target="https://www.fangraphs.com/teams/pirates" TargetMode="External"/><Relationship Id="rId2159" Type="http://schemas.openxmlformats.org/officeDocument/2006/relationships/hyperlink" Target="https://www.fangraphs.com/teams/mets" TargetMode="External"/><Relationship Id="rId2366" Type="http://schemas.openxmlformats.org/officeDocument/2006/relationships/hyperlink" Target="https://www.fangraphs.com/players/troy-johnston/26143/stats" TargetMode="External"/><Relationship Id="rId2573" Type="http://schemas.openxmlformats.org/officeDocument/2006/relationships/hyperlink" Target="https://www.fangraphs.com/teams/phillies" TargetMode="External"/><Relationship Id="rId2780" Type="http://schemas.openxmlformats.org/officeDocument/2006/relationships/hyperlink" Target="https://www.fangraphs.com/players/david-villar/24782/stats" TargetMode="External"/><Relationship Id="rId100" Type="http://schemas.openxmlformats.org/officeDocument/2006/relationships/hyperlink" Target="https://www.fangraphs.com/teams/braves" TargetMode="External"/><Relationship Id="rId338" Type="http://schemas.openxmlformats.org/officeDocument/2006/relationships/hyperlink" Target="https://www.fangraphs.com/teams/twins" TargetMode="External"/><Relationship Id="rId545" Type="http://schemas.openxmlformats.org/officeDocument/2006/relationships/hyperlink" Target="https://www.fangraphs.com/players/evan-carter/27790/stats" TargetMode="External"/><Relationship Id="rId752" Type="http://schemas.openxmlformats.org/officeDocument/2006/relationships/hyperlink" Target="https://www.fangraphs.com/players/jake-mangum/26202/stats" TargetMode="External"/><Relationship Id="rId1175" Type="http://schemas.openxmlformats.org/officeDocument/2006/relationships/hyperlink" Target="https://www.fangraphs.com/players/keider-montero/22630/stats" TargetMode="External"/><Relationship Id="rId1382" Type="http://schemas.openxmlformats.org/officeDocument/2006/relationships/hyperlink" Target="https://www.fangraphs.com/teams/dodgers" TargetMode="External"/><Relationship Id="rId2019" Type="http://schemas.openxmlformats.org/officeDocument/2006/relationships/hyperlink" Target="https://www.fangraphs.com/players/jayvien-sandridge/25158/stats" TargetMode="External"/><Relationship Id="rId2226" Type="http://schemas.openxmlformats.org/officeDocument/2006/relationships/hyperlink" Target="https://www.fangraphs.com/teams/cubs" TargetMode="External"/><Relationship Id="rId2433" Type="http://schemas.openxmlformats.org/officeDocument/2006/relationships/hyperlink" Target="https://www.fangraphs.com/players/mitchell-parker/27636/stats" TargetMode="External"/><Relationship Id="rId2640" Type="http://schemas.openxmlformats.org/officeDocument/2006/relationships/hyperlink" Target="https://www.fangraphs.com/teams/dodgers" TargetMode="External"/><Relationship Id="rId2878" Type="http://schemas.openxmlformats.org/officeDocument/2006/relationships/hyperlink" Target="https://www.fangraphs.com/players/justin-foscue/27501/stats" TargetMode="External"/><Relationship Id="rId405" Type="http://schemas.openxmlformats.org/officeDocument/2006/relationships/hyperlink" Target="https://www.fangraphs.com/players/christian-walker/13419/stats" TargetMode="External"/><Relationship Id="rId612" Type="http://schemas.openxmlformats.org/officeDocument/2006/relationships/hyperlink" Target="https://www.fangraphs.com/teams/mets" TargetMode="External"/><Relationship Id="rId1035" Type="http://schemas.openxmlformats.org/officeDocument/2006/relationships/hyperlink" Target="https://www.fangraphs.com/players/trevor-mcdonald/26448/stats" TargetMode="External"/><Relationship Id="rId1242" Type="http://schemas.openxmlformats.org/officeDocument/2006/relationships/hyperlink" Target="https://www.fangraphs.com/teams/brewers" TargetMode="External"/><Relationship Id="rId1687" Type="http://schemas.openxmlformats.org/officeDocument/2006/relationships/hyperlink" Target="https://www.fangraphs.com/players/jahmai-jones/18872/stats" TargetMode="External"/><Relationship Id="rId1894" Type="http://schemas.openxmlformats.org/officeDocument/2006/relationships/hyperlink" Target="https://www.fangraphs.com/players/korey-lee/25543/stats" TargetMode="External"/><Relationship Id="rId2500" Type="http://schemas.openxmlformats.org/officeDocument/2006/relationships/hyperlink" Target="https://www.fangraphs.com/players/richie-palacios/24589/stats" TargetMode="External"/><Relationship Id="rId2738" Type="http://schemas.openxmlformats.org/officeDocument/2006/relationships/hyperlink" Target="https://www.fangraphs.com/teams/white-sox" TargetMode="External"/><Relationship Id="rId917" Type="http://schemas.openxmlformats.org/officeDocument/2006/relationships/hyperlink" Target="https://www.fangraphs.com/players/adrian-houser/12718/stats" TargetMode="External"/><Relationship Id="rId1102" Type="http://schemas.openxmlformats.org/officeDocument/2006/relationships/hyperlink" Target="https://www.fangraphs.com/players/orion-kerkering/31776/stats" TargetMode="External"/><Relationship Id="rId1547" Type="http://schemas.openxmlformats.org/officeDocument/2006/relationships/hyperlink" Target="https://www.fangraphs.com/teams/mariners" TargetMode="External"/><Relationship Id="rId1754" Type="http://schemas.openxmlformats.org/officeDocument/2006/relationships/hyperlink" Target="https://www.fangraphs.com/players/yosver-zulueta/27765/stats" TargetMode="External"/><Relationship Id="rId1961" Type="http://schemas.openxmlformats.org/officeDocument/2006/relationships/hyperlink" Target="https://www.fangraphs.com/teams/phillies" TargetMode="External"/><Relationship Id="rId2805" Type="http://schemas.openxmlformats.org/officeDocument/2006/relationships/hyperlink" Target="https://www.fangraphs.com/players/gage-workman/27573/stats" TargetMode="External"/><Relationship Id="rId46" Type="http://schemas.openxmlformats.org/officeDocument/2006/relationships/hyperlink" Target="https://www.fangraphs.com/teams/mets" TargetMode="External"/><Relationship Id="rId1407" Type="http://schemas.openxmlformats.org/officeDocument/2006/relationships/hyperlink" Target="https://www.fangraphs.com/teams/rays" TargetMode="External"/><Relationship Id="rId1614" Type="http://schemas.openxmlformats.org/officeDocument/2006/relationships/hyperlink" Target="https://www.fangraphs.com/teams/phillies" TargetMode="External"/><Relationship Id="rId1821" Type="http://schemas.openxmlformats.org/officeDocument/2006/relationships/hyperlink" Target="https://www.fangraphs.com/players/brandon-eisert/27668/stats" TargetMode="External"/><Relationship Id="rId195" Type="http://schemas.openxmlformats.org/officeDocument/2006/relationships/hyperlink" Target="https://www.fangraphs.com/players/raisel-iglesias/17130/stats" TargetMode="External"/><Relationship Id="rId1919" Type="http://schemas.openxmlformats.org/officeDocument/2006/relationships/hyperlink" Target="https://www.fangraphs.com/players/vinny-capra/25040/stats" TargetMode="External"/><Relationship Id="rId2083" Type="http://schemas.openxmlformats.org/officeDocument/2006/relationships/hyperlink" Target="https://www.fangraphs.com/teams/diamondbacks" TargetMode="External"/><Relationship Id="rId2290" Type="http://schemas.openxmlformats.org/officeDocument/2006/relationships/hyperlink" Target="https://www.fangraphs.com/teams/brewers" TargetMode="External"/><Relationship Id="rId2388" Type="http://schemas.openxmlformats.org/officeDocument/2006/relationships/hyperlink" Target="https://www.fangraphs.com/teams/pirates" TargetMode="External"/><Relationship Id="rId2595" Type="http://schemas.openxmlformats.org/officeDocument/2006/relationships/hyperlink" Target="https://www.fangraphs.com/teams/rockies" TargetMode="External"/><Relationship Id="rId262" Type="http://schemas.openxmlformats.org/officeDocument/2006/relationships/hyperlink" Target="https://www.fangraphs.com/teams/twins" TargetMode="External"/><Relationship Id="rId567" Type="http://schemas.openxmlformats.org/officeDocument/2006/relationships/hyperlink" Target="https://www.fangraphs.com/players/miguel-vargas/20178/stats" TargetMode="External"/><Relationship Id="rId1197" Type="http://schemas.openxmlformats.org/officeDocument/2006/relationships/hyperlink" Target="https://www.fangraphs.com/players/davis-daniel/27582/stats" TargetMode="External"/><Relationship Id="rId2150" Type="http://schemas.openxmlformats.org/officeDocument/2006/relationships/hyperlink" Target="https://www.fangraphs.com/players/brent-suter/13942/stats" TargetMode="External"/><Relationship Id="rId2248" Type="http://schemas.openxmlformats.org/officeDocument/2006/relationships/hyperlink" Target="https://www.fangraphs.com/players/jorge-mateo/17273/stats" TargetMode="External"/><Relationship Id="rId122" Type="http://schemas.openxmlformats.org/officeDocument/2006/relationships/hyperlink" Target="https://www.fangraphs.com/teams/nationals" TargetMode="External"/><Relationship Id="rId774" Type="http://schemas.openxmlformats.org/officeDocument/2006/relationships/hyperlink" Target="https://www.fangraphs.com/players/garrett-whitlock/20191/stats" TargetMode="External"/><Relationship Id="rId981" Type="http://schemas.openxmlformats.org/officeDocument/2006/relationships/hyperlink" Target="https://www.fangraphs.com/teams/astros" TargetMode="External"/><Relationship Id="rId1057" Type="http://schemas.openxmlformats.org/officeDocument/2006/relationships/hyperlink" Target="https://www.fangraphs.com/players/eric-wagaman/23395/stats" TargetMode="External"/><Relationship Id="rId2010" Type="http://schemas.openxmlformats.org/officeDocument/2006/relationships/hyperlink" Target="https://www.fangraphs.com/teams/blue-jays" TargetMode="External"/><Relationship Id="rId2455" Type="http://schemas.openxmlformats.org/officeDocument/2006/relationships/hyperlink" Target="https://www.fangraphs.com/teams/cardinals" TargetMode="External"/><Relationship Id="rId2662" Type="http://schemas.openxmlformats.org/officeDocument/2006/relationships/hyperlink" Target="https://www.fangraphs.com/teams/marlins" TargetMode="External"/><Relationship Id="rId427" Type="http://schemas.openxmlformats.org/officeDocument/2006/relationships/hyperlink" Target="https://www.fangraphs.com/players/jorge-polanco/13152/stats" TargetMode="External"/><Relationship Id="rId634" Type="http://schemas.openxmlformats.org/officeDocument/2006/relationships/hyperlink" Target="https://www.fangraphs.com/teams/blue-jays" TargetMode="External"/><Relationship Id="rId841" Type="http://schemas.openxmlformats.org/officeDocument/2006/relationships/hyperlink" Target="https://www.fangraphs.com/players/luis-severino/15890/stats" TargetMode="External"/><Relationship Id="rId1264" Type="http://schemas.openxmlformats.org/officeDocument/2006/relationships/hyperlink" Target="https://www.fangraphs.com/teams/padres" TargetMode="External"/><Relationship Id="rId1471" Type="http://schemas.openxmlformats.org/officeDocument/2006/relationships/hyperlink" Target="https://www.fangraphs.com/teams/diamondbacks" TargetMode="External"/><Relationship Id="rId1569" Type="http://schemas.openxmlformats.org/officeDocument/2006/relationships/hyperlink" Target="https://www.fangraphs.com/players/willie-maciver/24641/stats" TargetMode="External"/><Relationship Id="rId2108" Type="http://schemas.openxmlformats.org/officeDocument/2006/relationships/hyperlink" Target="https://www.fangraphs.com/teams/diamondbacks" TargetMode="External"/><Relationship Id="rId2315" Type="http://schemas.openxmlformats.org/officeDocument/2006/relationships/hyperlink" Target="https://www.fangraphs.com/players/bryse-wilson/19990/stats" TargetMode="External"/><Relationship Id="rId2522" Type="http://schemas.openxmlformats.org/officeDocument/2006/relationships/hyperlink" Target="https://www.fangraphs.com/teams/orioles" TargetMode="External"/><Relationship Id="rId701" Type="http://schemas.openxmlformats.org/officeDocument/2006/relationships/hyperlink" Target="https://www.fangraphs.com/players/chase-meidroth/31580/stats" TargetMode="External"/><Relationship Id="rId939" Type="http://schemas.openxmlformats.org/officeDocument/2006/relationships/hyperlink" Target="https://www.fangraphs.com/players/austin-martin/27462/stats" TargetMode="External"/><Relationship Id="rId1124" Type="http://schemas.openxmlformats.org/officeDocument/2006/relationships/hyperlink" Target="https://www.fangraphs.com/teams/royals" TargetMode="External"/><Relationship Id="rId1331" Type="http://schemas.openxmlformats.org/officeDocument/2006/relationships/hyperlink" Target="https://www.fangraphs.com/teams/giants" TargetMode="External"/><Relationship Id="rId1776" Type="http://schemas.openxmlformats.org/officeDocument/2006/relationships/hyperlink" Target="https://www.fangraphs.com/teams/athletics" TargetMode="External"/><Relationship Id="rId1983" Type="http://schemas.openxmlformats.org/officeDocument/2006/relationships/hyperlink" Target="https://www.fangraphs.com/teams/red-sox" TargetMode="External"/><Relationship Id="rId2827" Type="http://schemas.openxmlformats.org/officeDocument/2006/relationships/hyperlink" Target="https://www.fangraphs.com/players/eddie-rosario/12155/stats" TargetMode="External"/><Relationship Id="rId68" Type="http://schemas.openxmlformats.org/officeDocument/2006/relationships/hyperlink" Target="https://www.fangraphs.com/teams/dodgers" TargetMode="External"/><Relationship Id="rId1429" Type="http://schemas.openxmlformats.org/officeDocument/2006/relationships/hyperlink" Target="https://www.fangraphs.com/teams/brewers" TargetMode="External"/><Relationship Id="rId1636" Type="http://schemas.openxmlformats.org/officeDocument/2006/relationships/hyperlink" Target="https://www.fangraphs.com/teams/mets" TargetMode="External"/><Relationship Id="rId1843" Type="http://schemas.openxmlformats.org/officeDocument/2006/relationships/hyperlink" Target="https://www.fangraphs.com/players/ryan-borucki/16350/stats" TargetMode="External"/><Relationship Id="rId1703" Type="http://schemas.openxmlformats.org/officeDocument/2006/relationships/hyperlink" Target="https://www.fangraphs.com/teams/reds" TargetMode="External"/><Relationship Id="rId1910" Type="http://schemas.openxmlformats.org/officeDocument/2006/relationships/hyperlink" Target="https://www.fangraphs.com/teams/giants" TargetMode="External"/><Relationship Id="rId284" Type="http://schemas.openxmlformats.org/officeDocument/2006/relationships/hyperlink" Target="https://www.fangraphs.com/teams/blue-jays" TargetMode="External"/><Relationship Id="rId491" Type="http://schemas.openxmlformats.org/officeDocument/2006/relationships/hyperlink" Target="https://www.fangraphs.com/players/robert-garcia/23363/stats" TargetMode="External"/><Relationship Id="rId2172" Type="http://schemas.openxmlformats.org/officeDocument/2006/relationships/hyperlink" Target="https://www.fangraphs.com/teams/braves" TargetMode="External"/><Relationship Id="rId144" Type="http://schemas.openxmlformats.org/officeDocument/2006/relationships/hyperlink" Target="https://www.fangraphs.com/teams/orioles" TargetMode="External"/><Relationship Id="rId589" Type="http://schemas.openxmlformats.org/officeDocument/2006/relationships/hyperlink" Target="https://www.fangraphs.com/players/andrew-vaughn/26197/stats" TargetMode="External"/><Relationship Id="rId796" Type="http://schemas.openxmlformats.org/officeDocument/2006/relationships/hyperlink" Target="https://www.fangraphs.com/players/lane-thomas/16939/stats" TargetMode="External"/><Relationship Id="rId2477" Type="http://schemas.openxmlformats.org/officeDocument/2006/relationships/hyperlink" Target="https://www.fangraphs.com/teams/astros" TargetMode="External"/><Relationship Id="rId2684" Type="http://schemas.openxmlformats.org/officeDocument/2006/relationships/hyperlink" Target="https://www.fangraphs.com/teams/reds" TargetMode="External"/><Relationship Id="rId351" Type="http://schemas.openxmlformats.org/officeDocument/2006/relationships/hyperlink" Target="https://www.fangraphs.com/players/francisco-alvarez/26121/stats" TargetMode="External"/><Relationship Id="rId449" Type="http://schemas.openxmlformats.org/officeDocument/2006/relationships/hyperlink" Target="https://www.fangraphs.com/players/roki-sasaki/35323/stats" TargetMode="External"/><Relationship Id="rId656" Type="http://schemas.openxmlformats.org/officeDocument/2006/relationships/hyperlink" Target="https://www.fangraphs.com/teams/royals" TargetMode="External"/><Relationship Id="rId863" Type="http://schemas.openxmlformats.org/officeDocument/2006/relationships/hyperlink" Target="https://www.fangraphs.com/players/tyler-rogers/15541/stats" TargetMode="External"/><Relationship Id="rId1079" Type="http://schemas.openxmlformats.org/officeDocument/2006/relationships/hyperlink" Target="https://www.fangraphs.com/players/yu-darvish/13074/stats" TargetMode="External"/><Relationship Id="rId1286" Type="http://schemas.openxmlformats.org/officeDocument/2006/relationships/hyperlink" Target="https://www.fangraphs.com/players/chris-flexen/13896/stats" TargetMode="External"/><Relationship Id="rId1493" Type="http://schemas.openxmlformats.org/officeDocument/2006/relationships/hyperlink" Target="https://www.fangraphs.com/teams/marlins" TargetMode="External"/><Relationship Id="rId2032" Type="http://schemas.openxmlformats.org/officeDocument/2006/relationships/hyperlink" Target="https://www.fangraphs.com/teams/mariners" TargetMode="External"/><Relationship Id="rId2337" Type="http://schemas.openxmlformats.org/officeDocument/2006/relationships/hyperlink" Target="https://www.fangraphs.com/teams/angels" TargetMode="External"/><Relationship Id="rId2544" Type="http://schemas.openxmlformats.org/officeDocument/2006/relationships/hyperlink" Target="https://www.fangraphs.com/players/nick-sogard/25483/stats" TargetMode="External"/><Relationship Id="rId2891" Type="http://schemas.openxmlformats.org/officeDocument/2006/relationships/hyperlink" Target="https://www.fangraphs.com/teams/red-sox" TargetMode="External"/><Relationship Id="rId211" Type="http://schemas.openxmlformats.org/officeDocument/2006/relationships/hyperlink" Target="https://www.fangraphs.com/players/eugenio-suarez/12552/stats" TargetMode="External"/><Relationship Id="rId309" Type="http://schemas.openxmlformats.org/officeDocument/2006/relationships/hyperlink" Target="https://www.fangraphs.com/players/ozzie-albies/16556/stats" TargetMode="External"/><Relationship Id="rId516" Type="http://schemas.openxmlformats.org/officeDocument/2006/relationships/hyperlink" Target="https://www.fangraphs.com/teams/pirates" TargetMode="External"/><Relationship Id="rId1146" Type="http://schemas.openxmlformats.org/officeDocument/2006/relationships/hyperlink" Target="https://www.fangraphs.com/players/alek-thomas/23792/stats" TargetMode="External"/><Relationship Id="rId1798" Type="http://schemas.openxmlformats.org/officeDocument/2006/relationships/hyperlink" Target="https://www.fangraphs.com/players/ethan-roberts/24930/stats" TargetMode="External"/><Relationship Id="rId2751" Type="http://schemas.openxmlformats.org/officeDocument/2006/relationships/hyperlink" Target="https://www.fangraphs.com/players/will-wilson/25434/stats" TargetMode="External"/><Relationship Id="rId2849" Type="http://schemas.openxmlformats.org/officeDocument/2006/relationships/hyperlink" Target="https://www.fangraphs.com/players/ryan-kreidler/25867/stats" TargetMode="External"/><Relationship Id="rId723" Type="http://schemas.openxmlformats.org/officeDocument/2006/relationships/hyperlink" Target="https://www.fangraphs.com/teams/reds" TargetMode="External"/><Relationship Id="rId930" Type="http://schemas.openxmlformats.org/officeDocument/2006/relationships/hyperlink" Target="https://www.fangraphs.com/teams/mariners" TargetMode="External"/><Relationship Id="rId1006" Type="http://schemas.openxmlformats.org/officeDocument/2006/relationships/hyperlink" Target="https://www.fangraphs.com/players/tylor-megill/21318/stats" TargetMode="External"/><Relationship Id="rId1353" Type="http://schemas.openxmlformats.org/officeDocument/2006/relationships/hyperlink" Target="https://www.fangraphs.com/teams/royals" TargetMode="External"/><Relationship Id="rId1560" Type="http://schemas.openxmlformats.org/officeDocument/2006/relationships/hyperlink" Target="https://www.fangraphs.com/teams/phillies" TargetMode="External"/><Relationship Id="rId1658" Type="http://schemas.openxmlformats.org/officeDocument/2006/relationships/hyperlink" Target="https://www.fangraphs.com/players/luis-mey/25620/stats" TargetMode="External"/><Relationship Id="rId1865" Type="http://schemas.openxmlformats.org/officeDocument/2006/relationships/hyperlink" Target="https://www.fangraphs.com/players/jose-herrera/17040/stats" TargetMode="External"/><Relationship Id="rId2404" Type="http://schemas.openxmlformats.org/officeDocument/2006/relationships/hyperlink" Target="https://www.fangraphs.com/players/carson-palmquist/31612/stats" TargetMode="External"/><Relationship Id="rId2611" Type="http://schemas.openxmlformats.org/officeDocument/2006/relationships/hyperlink" Target="https://www.fangraphs.com/teams/astros" TargetMode="External"/><Relationship Id="rId2709" Type="http://schemas.openxmlformats.org/officeDocument/2006/relationships/hyperlink" Target="https://www.fangraphs.com/players/sean-bouchard/21270/stats" TargetMode="External"/><Relationship Id="rId1213" Type="http://schemas.openxmlformats.org/officeDocument/2006/relationships/hyperlink" Target="https://www.fangraphs.com/players/bruce-zimmermann/20370/stats" TargetMode="External"/><Relationship Id="rId1420" Type="http://schemas.openxmlformats.org/officeDocument/2006/relationships/hyperlink" Target="https://www.fangraphs.com/players/rob-refsnyder/13770/stats" TargetMode="External"/><Relationship Id="rId1518" Type="http://schemas.openxmlformats.org/officeDocument/2006/relationships/hyperlink" Target="https://www.fangraphs.com/players/jorge-lopez/14527/stats" TargetMode="External"/><Relationship Id="rId2916" Type="http://schemas.openxmlformats.org/officeDocument/2006/relationships/hyperlink" Target="https://www.fangraphs.com/teams/padres" TargetMode="External"/><Relationship Id="rId1725" Type="http://schemas.openxmlformats.org/officeDocument/2006/relationships/hyperlink" Target="https://www.fangraphs.com/teams/padres" TargetMode="External"/><Relationship Id="rId1932" Type="http://schemas.openxmlformats.org/officeDocument/2006/relationships/hyperlink" Target="https://www.fangraphs.com/teams/giants" TargetMode="External"/><Relationship Id="rId17" Type="http://schemas.openxmlformats.org/officeDocument/2006/relationships/hyperlink" Target="https://www.fangraphs.com/players/elly-de-la-cruz/26668/stats" TargetMode="External"/><Relationship Id="rId2194" Type="http://schemas.openxmlformats.org/officeDocument/2006/relationships/hyperlink" Target="https://www.fangraphs.com/teams/diamondbacks" TargetMode="External"/><Relationship Id="rId166" Type="http://schemas.openxmlformats.org/officeDocument/2006/relationships/hyperlink" Target="https://www.fangraphs.com/teams/marlins" TargetMode="External"/><Relationship Id="rId373" Type="http://schemas.openxmlformats.org/officeDocument/2006/relationships/hyperlink" Target="https://www.fangraphs.com/players/spencer-torkelson/27465/stats" TargetMode="External"/><Relationship Id="rId580" Type="http://schemas.openxmlformats.org/officeDocument/2006/relationships/hyperlink" Target="https://www.fangraphs.com/teams/rays" TargetMode="External"/><Relationship Id="rId2054" Type="http://schemas.openxmlformats.org/officeDocument/2006/relationships/hyperlink" Target="https://www.fangraphs.com/teams/reds" TargetMode="External"/><Relationship Id="rId2261" Type="http://schemas.openxmlformats.org/officeDocument/2006/relationships/hyperlink" Target="https://www.fangraphs.com/players/pierson-ohl/30179/stats" TargetMode="External"/><Relationship Id="rId2499" Type="http://schemas.openxmlformats.org/officeDocument/2006/relationships/hyperlink" Target="https://www.fangraphs.com/teams/mariners" TargetMode="External"/><Relationship Id="rId1" Type="http://schemas.openxmlformats.org/officeDocument/2006/relationships/hyperlink" Target="https://www.fangraphs.com/players/shohei-ohtani/19755/stats" TargetMode="External"/><Relationship Id="rId233" Type="http://schemas.openxmlformats.org/officeDocument/2006/relationships/hyperlink" Target="https://www.fangraphs.com/players/zack-wheeler/10310/stats" TargetMode="External"/><Relationship Id="rId440" Type="http://schemas.openxmlformats.org/officeDocument/2006/relationships/hyperlink" Target="https://www.fangraphs.com/teams/phillies" TargetMode="External"/><Relationship Id="rId678" Type="http://schemas.openxmlformats.org/officeDocument/2006/relationships/hyperlink" Target="https://www.fangraphs.com/teams/blue-jays" TargetMode="External"/><Relationship Id="rId885" Type="http://schemas.openxmlformats.org/officeDocument/2006/relationships/hyperlink" Target="https://www.fangraphs.com/players/jake-cronenworth/18036/stats" TargetMode="External"/><Relationship Id="rId1070" Type="http://schemas.openxmlformats.org/officeDocument/2006/relationships/hyperlink" Target="https://www.fangraphs.com/teams/white-sox" TargetMode="External"/><Relationship Id="rId2121" Type="http://schemas.openxmlformats.org/officeDocument/2006/relationships/hyperlink" Target="https://www.fangraphs.com/players/logan-vanwey/31884/stats" TargetMode="External"/><Relationship Id="rId2359" Type="http://schemas.openxmlformats.org/officeDocument/2006/relationships/hyperlink" Target="https://www.fangraphs.com/players/miles-mastrobuoni/20017/stats" TargetMode="External"/><Relationship Id="rId2566" Type="http://schemas.openxmlformats.org/officeDocument/2006/relationships/hyperlink" Target="https://www.fangraphs.com/players/matthew-lugo/25980/stats" TargetMode="External"/><Relationship Id="rId2773" Type="http://schemas.openxmlformats.org/officeDocument/2006/relationships/hyperlink" Target="https://www.fangraphs.com/players/oscar-gonzalez/20970/stats" TargetMode="External"/><Relationship Id="rId300" Type="http://schemas.openxmlformats.org/officeDocument/2006/relationships/hyperlink" Target="https://www.fangraphs.com/teams/orioles" TargetMode="External"/><Relationship Id="rId538" Type="http://schemas.openxmlformats.org/officeDocument/2006/relationships/hyperlink" Target="https://www.fangraphs.com/teams/mariners" TargetMode="External"/><Relationship Id="rId745" Type="http://schemas.openxmlformats.org/officeDocument/2006/relationships/hyperlink" Target="https://www.fangraphs.com/teams/cubs" TargetMode="External"/><Relationship Id="rId952" Type="http://schemas.openxmlformats.org/officeDocument/2006/relationships/hyperlink" Target="https://www.fangraphs.com/players/shawn-armstrong/12857/stats" TargetMode="External"/><Relationship Id="rId1168" Type="http://schemas.openxmlformats.org/officeDocument/2006/relationships/hyperlink" Target="https://www.fangraphs.com/teams/reds" TargetMode="External"/><Relationship Id="rId1375" Type="http://schemas.openxmlformats.org/officeDocument/2006/relationships/hyperlink" Target="https://www.fangraphs.com/teams/white-sox" TargetMode="External"/><Relationship Id="rId1582" Type="http://schemas.openxmlformats.org/officeDocument/2006/relationships/hyperlink" Target="https://www.fangraphs.com/teams/angels" TargetMode="External"/><Relationship Id="rId2219" Type="http://schemas.openxmlformats.org/officeDocument/2006/relationships/hyperlink" Target="https://www.fangraphs.com/players/kevin-kelly/25679/stats" TargetMode="External"/><Relationship Id="rId2426" Type="http://schemas.openxmlformats.org/officeDocument/2006/relationships/hyperlink" Target="https://www.fangraphs.com/teams/royals" TargetMode="External"/><Relationship Id="rId2633" Type="http://schemas.openxmlformats.org/officeDocument/2006/relationships/hyperlink" Target="https://www.fangraphs.com/teams/twins" TargetMode="External"/><Relationship Id="rId81" Type="http://schemas.openxmlformats.org/officeDocument/2006/relationships/hyperlink" Target="https://www.fangraphs.com/players/andres-munoz/20373/stats" TargetMode="External"/><Relationship Id="rId605" Type="http://schemas.openxmlformats.org/officeDocument/2006/relationships/hyperlink" Target="https://www.fangraphs.com/players/cade-cavalli/27473/stats" TargetMode="External"/><Relationship Id="rId812" Type="http://schemas.openxmlformats.org/officeDocument/2006/relationships/hyperlink" Target="https://www.fangraphs.com/players/nolan-arenado/9777/stats" TargetMode="External"/><Relationship Id="rId1028" Type="http://schemas.openxmlformats.org/officeDocument/2006/relationships/hyperlink" Target="https://www.fangraphs.com/players/miguel-andujar/15878/stats" TargetMode="External"/><Relationship Id="rId1235" Type="http://schemas.openxmlformats.org/officeDocument/2006/relationships/hyperlink" Target="https://www.fangraphs.com/players/keegan-akin/19362/stats" TargetMode="External"/><Relationship Id="rId1442" Type="http://schemas.openxmlformats.org/officeDocument/2006/relationships/hyperlink" Target="https://www.fangraphs.com/players/jake-rogers/19452/stats" TargetMode="External"/><Relationship Id="rId1887" Type="http://schemas.openxmlformats.org/officeDocument/2006/relationships/hyperlink" Target="https://www.fangraphs.com/players/justin-topa/15145/stats" TargetMode="External"/><Relationship Id="rId2840" Type="http://schemas.openxmlformats.org/officeDocument/2006/relationships/hyperlink" Target="https://www.fangraphs.com/players/grant-mccray/25690/stats" TargetMode="External"/><Relationship Id="rId1302" Type="http://schemas.openxmlformats.org/officeDocument/2006/relationships/hyperlink" Target="https://www.fangraphs.com/teams/dodgers" TargetMode="External"/><Relationship Id="rId1747" Type="http://schemas.openxmlformats.org/officeDocument/2006/relationships/hyperlink" Target="https://www.fangraphs.com/players/joey-lucchesi/19320/stats" TargetMode="External"/><Relationship Id="rId1954" Type="http://schemas.openxmlformats.org/officeDocument/2006/relationships/hyperlink" Target="https://www.fangraphs.com/teams/yankees" TargetMode="External"/><Relationship Id="rId2700" Type="http://schemas.openxmlformats.org/officeDocument/2006/relationships/hyperlink" Target="https://www.fangraphs.com/players/kevin-pillar/12434/stats" TargetMode="External"/><Relationship Id="rId39" Type="http://schemas.openxmlformats.org/officeDocument/2006/relationships/hyperlink" Target="https://www.fangraphs.com/players/cal-raleigh/21534/stats" TargetMode="External"/><Relationship Id="rId1607" Type="http://schemas.openxmlformats.org/officeDocument/2006/relationships/hyperlink" Target="https://www.fangraphs.com/players/jose-espada/21131/stats" TargetMode="External"/><Relationship Id="rId1814" Type="http://schemas.openxmlformats.org/officeDocument/2006/relationships/hyperlink" Target="https://www.fangraphs.com/teams/mariners" TargetMode="External"/><Relationship Id="rId188" Type="http://schemas.openxmlformats.org/officeDocument/2006/relationships/hyperlink" Target="https://www.fangraphs.com/teams/blue-jays" TargetMode="External"/><Relationship Id="rId395" Type="http://schemas.openxmlformats.org/officeDocument/2006/relationships/hyperlink" Target="https://www.fangraphs.com/players/jordan-westburg/27815/stats" TargetMode="External"/><Relationship Id="rId2076" Type="http://schemas.openxmlformats.org/officeDocument/2006/relationships/hyperlink" Target="https://www.fangraphs.com/players/jonathan-pintaro/33980/stats" TargetMode="External"/><Relationship Id="rId2283" Type="http://schemas.openxmlformats.org/officeDocument/2006/relationships/hyperlink" Target="https://www.fangraphs.com/teams/rangers" TargetMode="External"/><Relationship Id="rId2490" Type="http://schemas.openxmlformats.org/officeDocument/2006/relationships/hyperlink" Target="https://www.fangraphs.com/players/caleb-boushley/19736/stats" TargetMode="External"/><Relationship Id="rId2588" Type="http://schemas.openxmlformats.org/officeDocument/2006/relationships/hyperlink" Target="https://www.fangraphs.com/players/drew-gilbert/31545/stats" TargetMode="External"/><Relationship Id="rId255" Type="http://schemas.openxmlformats.org/officeDocument/2006/relationships/hyperlink" Target="https://www.fangraphs.com/players/nick-lodolo/26378/stats" TargetMode="External"/><Relationship Id="rId462" Type="http://schemas.openxmlformats.org/officeDocument/2006/relationships/hyperlink" Target="https://www.fangraphs.com/teams/rangers" TargetMode="External"/><Relationship Id="rId1092" Type="http://schemas.openxmlformats.org/officeDocument/2006/relationships/hyperlink" Target="https://www.fangraphs.com/teams/rangers" TargetMode="External"/><Relationship Id="rId1397" Type="http://schemas.openxmlformats.org/officeDocument/2006/relationships/hyperlink" Target="https://www.fangraphs.com/teams/reds" TargetMode="External"/><Relationship Id="rId2143" Type="http://schemas.openxmlformats.org/officeDocument/2006/relationships/hyperlink" Target="https://www.fangraphs.com/teams/athletics" TargetMode="External"/><Relationship Id="rId2350" Type="http://schemas.openxmlformats.org/officeDocument/2006/relationships/hyperlink" Target="https://www.fangraphs.com/teams/mariners" TargetMode="External"/><Relationship Id="rId2795" Type="http://schemas.openxmlformats.org/officeDocument/2006/relationships/hyperlink" Target="https://www.fangraphs.com/teams/angels" TargetMode="External"/><Relationship Id="rId115" Type="http://schemas.openxmlformats.org/officeDocument/2006/relationships/hyperlink" Target="https://www.fangraphs.com/players/mookie-betts/13611/stats" TargetMode="External"/><Relationship Id="rId322" Type="http://schemas.openxmlformats.org/officeDocument/2006/relationships/hyperlink" Target="https://www.fangraphs.com/teams/orioles" TargetMode="External"/><Relationship Id="rId767" Type="http://schemas.openxmlformats.org/officeDocument/2006/relationships/hyperlink" Target="https://www.fangraphs.com/teams/brewers" TargetMode="External"/><Relationship Id="rId974" Type="http://schemas.openxmlformats.org/officeDocument/2006/relationships/hyperlink" Target="https://www.fangraphs.com/players/jason-adam/11861/stats" TargetMode="External"/><Relationship Id="rId2003" Type="http://schemas.openxmlformats.org/officeDocument/2006/relationships/hyperlink" Target="https://www.fangraphs.com/players/cole-henry/27570/stats" TargetMode="External"/><Relationship Id="rId2210" Type="http://schemas.openxmlformats.org/officeDocument/2006/relationships/hyperlink" Target="https://www.fangraphs.com/teams/rangers" TargetMode="External"/><Relationship Id="rId2448" Type="http://schemas.openxmlformats.org/officeDocument/2006/relationships/hyperlink" Target="https://www.fangraphs.com/players/santiago-espinal/19997/stats" TargetMode="External"/><Relationship Id="rId2655" Type="http://schemas.openxmlformats.org/officeDocument/2006/relationships/hyperlink" Target="https://www.fangraphs.com/teams/cardinals" TargetMode="External"/><Relationship Id="rId2862" Type="http://schemas.openxmlformats.org/officeDocument/2006/relationships/hyperlink" Target="https://www.fangraphs.com/players/jace-jung/31437/stats" TargetMode="External"/><Relationship Id="rId627" Type="http://schemas.openxmlformats.org/officeDocument/2006/relationships/hyperlink" Target="https://www.fangraphs.com/players/will-warren/30182/stats" TargetMode="External"/><Relationship Id="rId834" Type="http://schemas.openxmlformats.org/officeDocument/2006/relationships/hyperlink" Target="https://www.fangraphs.com/teams/diamondbacks" TargetMode="External"/><Relationship Id="rId1257" Type="http://schemas.openxmlformats.org/officeDocument/2006/relationships/hyperlink" Target="https://www.fangraphs.com/players/matt-festa/19330/stats" TargetMode="External"/><Relationship Id="rId1464" Type="http://schemas.openxmlformats.org/officeDocument/2006/relationships/hyperlink" Target="https://www.fangraphs.com/players/mitch-spence/27707/stats" TargetMode="External"/><Relationship Id="rId1671" Type="http://schemas.openxmlformats.org/officeDocument/2006/relationships/hyperlink" Target="https://www.fangraphs.com/players/sam-huff/22209/stats" TargetMode="External"/><Relationship Id="rId2308" Type="http://schemas.openxmlformats.org/officeDocument/2006/relationships/hyperlink" Target="https://www.fangraphs.com/teams/diamondbacks" TargetMode="External"/><Relationship Id="rId2515" Type="http://schemas.openxmlformats.org/officeDocument/2006/relationships/hyperlink" Target="https://www.fangraphs.com/players/nacho-alvarez-jr/31765/stats" TargetMode="External"/><Relationship Id="rId2722" Type="http://schemas.openxmlformats.org/officeDocument/2006/relationships/hyperlink" Target="https://www.fangraphs.com/teams/blue-jays" TargetMode="External"/><Relationship Id="rId901" Type="http://schemas.openxmlformats.org/officeDocument/2006/relationships/hyperlink" Target="https://www.fangraphs.com/players/garrett-mitchell/27555/stats" TargetMode="External"/><Relationship Id="rId1117" Type="http://schemas.openxmlformats.org/officeDocument/2006/relationships/hyperlink" Target="https://www.fangraphs.com/teams/pirates" TargetMode="External"/><Relationship Id="rId1324" Type="http://schemas.openxmlformats.org/officeDocument/2006/relationships/hyperlink" Target="https://www.fangraphs.com/players/ramon-urias/18795/stats" TargetMode="External"/><Relationship Id="rId1531" Type="http://schemas.openxmlformats.org/officeDocument/2006/relationships/hyperlink" Target="https://www.fangraphs.com/teams/brewers" TargetMode="External"/><Relationship Id="rId1769" Type="http://schemas.openxmlformats.org/officeDocument/2006/relationships/hyperlink" Target="https://www.fangraphs.com/players/garrett-acton/27583/stats" TargetMode="External"/><Relationship Id="rId1976" Type="http://schemas.openxmlformats.org/officeDocument/2006/relationships/hyperlink" Target="https://www.fangraphs.com/players/marc-church/26353/stats" TargetMode="External"/><Relationship Id="rId30" Type="http://schemas.openxmlformats.org/officeDocument/2006/relationships/hyperlink" Target="https://www.fangraphs.com/teams/dodgers" TargetMode="External"/><Relationship Id="rId1629" Type="http://schemas.openxmlformats.org/officeDocument/2006/relationships/hyperlink" Target="https://www.fangraphs.com/players/bryce-elder/27779/stats" TargetMode="External"/><Relationship Id="rId1836" Type="http://schemas.openxmlformats.org/officeDocument/2006/relationships/hyperlink" Target="https://www.fangraphs.com/players/christian-koss/27653/stats" TargetMode="External"/><Relationship Id="rId1903" Type="http://schemas.openxmlformats.org/officeDocument/2006/relationships/hyperlink" Target="https://www.fangraphs.com/players/jose-trevino/16725/stats" TargetMode="External"/><Relationship Id="rId2098" Type="http://schemas.openxmlformats.org/officeDocument/2006/relationships/hyperlink" Target="https://www.fangraphs.com/players/jeremiah-jackson/22239/stats" TargetMode="External"/><Relationship Id="rId277" Type="http://schemas.openxmlformats.org/officeDocument/2006/relationships/hyperlink" Target="https://www.fangraphs.com/players/ceddanne-rafaela/24262/stats" TargetMode="External"/><Relationship Id="rId484" Type="http://schemas.openxmlformats.org/officeDocument/2006/relationships/hyperlink" Target="https://www.fangraphs.com/teams/yankees" TargetMode="External"/><Relationship Id="rId2165" Type="http://schemas.openxmlformats.org/officeDocument/2006/relationships/hyperlink" Target="https://www.fangraphs.com/teams/marlins" TargetMode="External"/><Relationship Id="rId137" Type="http://schemas.openxmlformats.org/officeDocument/2006/relationships/hyperlink" Target="https://www.fangraphs.com/players/maikel-garcia/22715/stats" TargetMode="External"/><Relationship Id="rId344" Type="http://schemas.openxmlformats.org/officeDocument/2006/relationships/hyperlink" Target="https://www.fangraphs.com/teams/red-sox" TargetMode="External"/><Relationship Id="rId691" Type="http://schemas.openxmlformats.org/officeDocument/2006/relationships/hyperlink" Target="https://www.fangraphs.com/players/carlos-narvaez/19722/stats" TargetMode="External"/><Relationship Id="rId789" Type="http://schemas.openxmlformats.org/officeDocument/2006/relationships/hyperlink" Target="https://www.fangraphs.com/teams/orioles" TargetMode="External"/><Relationship Id="rId996" Type="http://schemas.openxmlformats.org/officeDocument/2006/relationships/hyperlink" Target="https://www.fangraphs.com/players/eduard-bazardo/20997/stats" TargetMode="External"/><Relationship Id="rId2025" Type="http://schemas.openxmlformats.org/officeDocument/2006/relationships/hyperlink" Target="https://www.fangraphs.com/players/robinson-pina/23091/stats" TargetMode="External"/><Relationship Id="rId2372" Type="http://schemas.openxmlformats.org/officeDocument/2006/relationships/hyperlink" Target="https://www.fangraphs.com/players/joel-payamps/14332/stats" TargetMode="External"/><Relationship Id="rId2677" Type="http://schemas.openxmlformats.org/officeDocument/2006/relationships/hyperlink" Target="https://www.fangraphs.com/players/esteury-ruiz/21780/stats" TargetMode="External"/><Relationship Id="rId2884" Type="http://schemas.openxmlformats.org/officeDocument/2006/relationships/hyperlink" Target="https://www.fangraphs.com/teams/twins" TargetMode="External"/><Relationship Id="rId551" Type="http://schemas.openxmlformats.org/officeDocument/2006/relationships/hyperlink" Target="https://www.fangraphs.com/players/ryan-ohearn/16442/stats" TargetMode="External"/><Relationship Id="rId649" Type="http://schemas.openxmlformats.org/officeDocument/2006/relationships/hyperlink" Target="https://www.fangraphs.com/players/colt-keith/27899/stats" TargetMode="External"/><Relationship Id="rId856" Type="http://schemas.openxmlformats.org/officeDocument/2006/relationships/hyperlink" Target="https://www.fangraphs.com/teams/twins" TargetMode="External"/><Relationship Id="rId1181" Type="http://schemas.openxmlformats.org/officeDocument/2006/relationships/hyperlink" Target="https://www.fangraphs.com/players/tyler-kinley/18297/stats" TargetMode="External"/><Relationship Id="rId1279" Type="http://schemas.openxmlformats.org/officeDocument/2006/relationships/hyperlink" Target="https://www.fangraphs.com/teams/padres" TargetMode="External"/><Relationship Id="rId1486" Type="http://schemas.openxmlformats.org/officeDocument/2006/relationships/hyperlink" Target="https://www.fangraphs.com/players/pavin-smith/19892/stats" TargetMode="External"/><Relationship Id="rId2232" Type="http://schemas.openxmlformats.org/officeDocument/2006/relationships/hyperlink" Target="https://www.fangraphs.com/players/kyle-gibson/10123/stats" TargetMode="External"/><Relationship Id="rId2537" Type="http://schemas.openxmlformats.org/officeDocument/2006/relationships/hyperlink" Target="https://www.fangraphs.com/teams/marlins" TargetMode="External"/><Relationship Id="rId204" Type="http://schemas.openxmlformats.org/officeDocument/2006/relationships/hyperlink" Target="https://www.fangraphs.com/teams/braves" TargetMode="External"/><Relationship Id="rId411" Type="http://schemas.openxmlformats.org/officeDocument/2006/relationships/hyperlink" Target="https://www.fangraphs.com/players/jose-caballero/23401/stats" TargetMode="External"/><Relationship Id="rId509" Type="http://schemas.openxmlformats.org/officeDocument/2006/relationships/hyperlink" Target="https://www.fangraphs.com/players/josh-lowe/19953/stats" TargetMode="External"/><Relationship Id="rId1041" Type="http://schemas.openxmlformats.org/officeDocument/2006/relationships/hyperlink" Target="https://www.fangraphs.com/players/tanner-banks/16990/stats" TargetMode="External"/><Relationship Id="rId1139" Type="http://schemas.openxmlformats.org/officeDocument/2006/relationships/hyperlink" Target="https://www.fangraphs.com/teams/angels" TargetMode="External"/><Relationship Id="rId1346" Type="http://schemas.openxmlformats.org/officeDocument/2006/relationships/hyperlink" Target="https://www.fangraphs.com/players/jj-bleday/26368/stats" TargetMode="External"/><Relationship Id="rId1693" Type="http://schemas.openxmlformats.org/officeDocument/2006/relationships/hyperlink" Target="https://www.fangraphs.com/players/bowden-francis/20548/stats" TargetMode="External"/><Relationship Id="rId1998" Type="http://schemas.openxmlformats.org/officeDocument/2006/relationships/hyperlink" Target="https://www.fangraphs.com/players/roansy-contreras/22810/stats" TargetMode="External"/><Relationship Id="rId2744" Type="http://schemas.openxmlformats.org/officeDocument/2006/relationships/hyperlink" Target="https://www.fangraphs.com/teams/orioles" TargetMode="External"/><Relationship Id="rId716" Type="http://schemas.openxmlformats.org/officeDocument/2006/relationships/hyperlink" Target="https://www.fangraphs.com/players/reese-olson/24968/stats" TargetMode="External"/><Relationship Id="rId923" Type="http://schemas.openxmlformats.org/officeDocument/2006/relationships/hyperlink" Target="https://www.fangraphs.com/players/chase-dollander/33482/stats" TargetMode="External"/><Relationship Id="rId1553" Type="http://schemas.openxmlformats.org/officeDocument/2006/relationships/hyperlink" Target="https://www.fangraphs.com/teams/brewers" TargetMode="External"/><Relationship Id="rId1760" Type="http://schemas.openxmlformats.org/officeDocument/2006/relationships/hyperlink" Target="https://www.fangraphs.com/teams/mets" TargetMode="External"/><Relationship Id="rId1858" Type="http://schemas.openxmlformats.org/officeDocument/2006/relationships/hyperlink" Target="https://www.fangraphs.com/teams/mets" TargetMode="External"/><Relationship Id="rId2604" Type="http://schemas.openxmlformats.org/officeDocument/2006/relationships/hyperlink" Target="https://www.fangraphs.com/players/cionel-perez/19614/stats" TargetMode="External"/><Relationship Id="rId2811" Type="http://schemas.openxmlformats.org/officeDocument/2006/relationships/hyperlink" Target="https://www.fangraphs.com/players/drew-avans/25183/stats" TargetMode="External"/><Relationship Id="rId52" Type="http://schemas.openxmlformats.org/officeDocument/2006/relationships/hyperlink" Target="https://www.fangraphs.com/teams/phillies" TargetMode="External"/><Relationship Id="rId1206" Type="http://schemas.openxmlformats.org/officeDocument/2006/relationships/hyperlink" Target="https://www.fangraphs.com/teams/marlins" TargetMode="External"/><Relationship Id="rId1413" Type="http://schemas.openxmlformats.org/officeDocument/2006/relationships/hyperlink" Target="https://www.fangraphs.com/teams/athletics" TargetMode="External"/><Relationship Id="rId1620" Type="http://schemas.openxmlformats.org/officeDocument/2006/relationships/hyperlink" Target="https://www.fangraphs.com/players/tomas-nido/13755/stats" TargetMode="External"/><Relationship Id="rId2909" Type="http://schemas.openxmlformats.org/officeDocument/2006/relationships/hyperlink" Target="https://www.fangraphs.com/teams/rangers" TargetMode="External"/><Relationship Id="rId1718" Type="http://schemas.openxmlformats.org/officeDocument/2006/relationships/hyperlink" Target="https://www.fangraphs.com/players/ryan-fitzgerald/24622/stats" TargetMode="External"/><Relationship Id="rId1925" Type="http://schemas.openxmlformats.org/officeDocument/2006/relationships/hyperlink" Target="https://www.fangraphs.com/players/tyler-wade/15730/stats" TargetMode="External"/><Relationship Id="rId299" Type="http://schemas.openxmlformats.org/officeDocument/2006/relationships/hyperlink" Target="https://www.fangraphs.com/players/adley-rutschman/26288/stats" TargetMode="External"/><Relationship Id="rId2187" Type="http://schemas.openxmlformats.org/officeDocument/2006/relationships/hyperlink" Target="https://www.fangraphs.com/players/trevor-richards/19309/stats" TargetMode="External"/><Relationship Id="rId2394" Type="http://schemas.openxmlformats.org/officeDocument/2006/relationships/hyperlink" Target="https://www.fangraphs.com/teams/tigers" TargetMode="External"/><Relationship Id="rId159" Type="http://schemas.openxmlformats.org/officeDocument/2006/relationships/hyperlink" Target="https://www.fangraphs.com/players/vinnie-pasquantino/27676/stats" TargetMode="External"/><Relationship Id="rId366" Type="http://schemas.openxmlformats.org/officeDocument/2006/relationships/hyperlink" Target="https://www.fangraphs.com/teams/pirates" TargetMode="External"/><Relationship Id="rId573" Type="http://schemas.openxmlformats.org/officeDocument/2006/relationships/hyperlink" Target="https://www.fangraphs.com/players/spencer-steer/26323/stats" TargetMode="External"/><Relationship Id="rId780" Type="http://schemas.openxmlformats.org/officeDocument/2006/relationships/hyperlink" Target="https://www.fangraphs.com/players/sean-murphy/19352/stats" TargetMode="External"/><Relationship Id="rId2047" Type="http://schemas.openxmlformats.org/officeDocument/2006/relationships/hyperlink" Target="https://www.fangraphs.com/teams/blue-jays" TargetMode="External"/><Relationship Id="rId2254" Type="http://schemas.openxmlformats.org/officeDocument/2006/relationships/hyperlink" Target="https://www.fangraphs.com/players/allan-winans/21238/stats" TargetMode="External"/><Relationship Id="rId2461" Type="http://schemas.openxmlformats.org/officeDocument/2006/relationships/hyperlink" Target="https://www.fangraphs.com/teams/cardinals" TargetMode="External"/><Relationship Id="rId2699" Type="http://schemas.openxmlformats.org/officeDocument/2006/relationships/hyperlink" Target="https://www.fangraphs.com/teams/guardians" TargetMode="External"/><Relationship Id="rId226" Type="http://schemas.openxmlformats.org/officeDocument/2006/relationships/hyperlink" Target="https://www.fangraphs.com/teams/astros" TargetMode="External"/><Relationship Id="rId433" Type="http://schemas.openxmlformats.org/officeDocument/2006/relationships/hyperlink" Target="https://www.fangraphs.com/players/heliot-ramos/22515/stats" TargetMode="External"/><Relationship Id="rId878" Type="http://schemas.openxmlformats.org/officeDocument/2006/relationships/hyperlink" Target="https://www.fangraphs.com/teams/dodgers" TargetMode="External"/><Relationship Id="rId1063" Type="http://schemas.openxmlformats.org/officeDocument/2006/relationships/hyperlink" Target="https://www.fangraphs.com/players/greg-weissert/20375/stats" TargetMode="External"/><Relationship Id="rId1270" Type="http://schemas.openxmlformats.org/officeDocument/2006/relationships/hyperlink" Target="https://www.fangraphs.com/teams/phillies" TargetMode="External"/><Relationship Id="rId2114" Type="http://schemas.openxmlformats.org/officeDocument/2006/relationships/hyperlink" Target="https://www.fangraphs.com/teams/phillies" TargetMode="External"/><Relationship Id="rId2559" Type="http://schemas.openxmlformats.org/officeDocument/2006/relationships/hyperlink" Target="https://www.fangraphs.com/players/jon-berti/12037/stats" TargetMode="External"/><Relationship Id="rId2766" Type="http://schemas.openxmlformats.org/officeDocument/2006/relationships/hyperlink" Target="https://www.fangraphs.com/teams/rays" TargetMode="External"/><Relationship Id="rId640" Type="http://schemas.openxmlformats.org/officeDocument/2006/relationships/hyperlink" Target="https://www.fangraphs.com/teams/athletics" TargetMode="External"/><Relationship Id="rId738" Type="http://schemas.openxmlformats.org/officeDocument/2006/relationships/hyperlink" Target="https://www.fangraphs.com/players/spencer-arrighetti/29921/stats" TargetMode="External"/><Relationship Id="rId945" Type="http://schemas.openxmlformats.org/officeDocument/2006/relationships/hyperlink" Target="https://www.fangraphs.com/players/matt-brash/25756/stats" TargetMode="External"/><Relationship Id="rId1368" Type="http://schemas.openxmlformats.org/officeDocument/2006/relationships/hyperlink" Target="https://www.fangraphs.com/teams/brewers" TargetMode="External"/><Relationship Id="rId1575" Type="http://schemas.openxmlformats.org/officeDocument/2006/relationships/hyperlink" Target="https://www.fangraphs.com/players/tyler-ferguson/19481/stats" TargetMode="External"/><Relationship Id="rId1782" Type="http://schemas.openxmlformats.org/officeDocument/2006/relationships/hyperlink" Target="https://www.fangraphs.com/teams/mets" TargetMode="External"/><Relationship Id="rId2321" Type="http://schemas.openxmlformats.org/officeDocument/2006/relationships/hyperlink" Target="https://www.fangraphs.com/players/penn-murfee/25174/stats" TargetMode="External"/><Relationship Id="rId2419" Type="http://schemas.openxmlformats.org/officeDocument/2006/relationships/hyperlink" Target="https://www.fangraphs.com/teams/cardinals" TargetMode="External"/><Relationship Id="rId2626" Type="http://schemas.openxmlformats.org/officeDocument/2006/relationships/hyperlink" Target="https://www.fangraphs.com/players/zack-short/19562/stats" TargetMode="External"/><Relationship Id="rId2833" Type="http://schemas.openxmlformats.org/officeDocument/2006/relationships/hyperlink" Target="https://www.fangraphs.com/teams/rockies" TargetMode="External"/><Relationship Id="rId74" Type="http://schemas.openxmlformats.org/officeDocument/2006/relationships/hyperlink" Target="https://www.fangraphs.com/teams/astros" TargetMode="External"/><Relationship Id="rId500" Type="http://schemas.openxmlformats.org/officeDocument/2006/relationships/hyperlink" Target="https://www.fangraphs.com/teams/brewers" TargetMode="External"/><Relationship Id="rId805" Type="http://schemas.openxmlformats.org/officeDocument/2006/relationships/hyperlink" Target="https://www.fangraphs.com/teams/rangers" TargetMode="External"/><Relationship Id="rId1130" Type="http://schemas.openxmlformats.org/officeDocument/2006/relationships/hyperlink" Target="https://www.fangraphs.com/players/myles-straw/17620/stats" TargetMode="External"/><Relationship Id="rId1228" Type="http://schemas.openxmlformats.org/officeDocument/2006/relationships/hyperlink" Target="https://www.fangraphs.com/players/starling-marte/9241/stats" TargetMode="External"/><Relationship Id="rId1435" Type="http://schemas.openxmlformats.org/officeDocument/2006/relationships/hyperlink" Target="https://www.fangraphs.com/teams/dodgers" TargetMode="External"/><Relationship Id="rId1642" Type="http://schemas.openxmlformats.org/officeDocument/2006/relationships/hyperlink" Target="https://www.fangraphs.com/players/luis-garcia/6984/stats" TargetMode="External"/><Relationship Id="rId1947" Type="http://schemas.openxmlformats.org/officeDocument/2006/relationships/hyperlink" Target="https://www.fangraphs.com/players/chuckie-robinson/19824/stats" TargetMode="External"/><Relationship Id="rId2900" Type="http://schemas.openxmlformats.org/officeDocument/2006/relationships/hyperlink" Target="https://www.fangraphs.com/players/bryce-eldridge/33390/stats" TargetMode="External"/><Relationship Id="rId1502" Type="http://schemas.openxmlformats.org/officeDocument/2006/relationships/hyperlink" Target="https://www.fangraphs.com/players/wikelman-gonzalez/26641/stats" TargetMode="External"/><Relationship Id="rId1807" Type="http://schemas.openxmlformats.org/officeDocument/2006/relationships/hyperlink" Target="https://www.fangraphs.com/players/logan-gillaspie/22461/stats" TargetMode="External"/><Relationship Id="rId290" Type="http://schemas.openxmlformats.org/officeDocument/2006/relationships/hyperlink" Target="https://www.fangraphs.com/teams/rangers" TargetMode="External"/><Relationship Id="rId388" Type="http://schemas.openxmlformats.org/officeDocument/2006/relationships/hyperlink" Target="https://www.fangraphs.com/teams/cubs" TargetMode="External"/><Relationship Id="rId2069" Type="http://schemas.openxmlformats.org/officeDocument/2006/relationships/hyperlink" Target="https://www.fangraphs.com/teams/phillies" TargetMode="External"/><Relationship Id="rId150" Type="http://schemas.openxmlformats.org/officeDocument/2006/relationships/hyperlink" Target="https://www.fangraphs.com/teams/twins" TargetMode="External"/><Relationship Id="rId595" Type="http://schemas.openxmlformats.org/officeDocument/2006/relationships/hyperlink" Target="https://www.fangraphs.com/players/victor-scott-ii/31349/stats" TargetMode="External"/><Relationship Id="rId2276" Type="http://schemas.openxmlformats.org/officeDocument/2006/relationships/hyperlink" Target="https://www.fangraphs.com/teams/angels" TargetMode="External"/><Relationship Id="rId2483" Type="http://schemas.openxmlformats.org/officeDocument/2006/relationships/hyperlink" Target="https://www.fangraphs.com/players/elvin-rodriguez/20962/stats" TargetMode="External"/><Relationship Id="rId2690" Type="http://schemas.openxmlformats.org/officeDocument/2006/relationships/hyperlink" Target="https://www.fangraphs.com/teams/reds" TargetMode="External"/><Relationship Id="rId248" Type="http://schemas.openxmlformats.org/officeDocument/2006/relationships/hyperlink" Target="https://www.fangraphs.com/teams/brewers" TargetMode="External"/><Relationship Id="rId455" Type="http://schemas.openxmlformats.org/officeDocument/2006/relationships/hyperlink" Target="https://www.fangraphs.com/players/kyle-manzardo/29794/stats" TargetMode="External"/><Relationship Id="rId662" Type="http://schemas.openxmlformats.org/officeDocument/2006/relationships/hyperlink" Target="https://www.fangraphs.com/teams/white-sox" TargetMode="External"/><Relationship Id="rId1085" Type="http://schemas.openxmlformats.org/officeDocument/2006/relationships/hyperlink" Target="https://www.fangraphs.com/players/calvin-faucher/20116/stats" TargetMode="External"/><Relationship Id="rId1292" Type="http://schemas.openxmlformats.org/officeDocument/2006/relationships/hyperlink" Target="https://www.fangraphs.com/teams/angels" TargetMode="External"/><Relationship Id="rId2136" Type="http://schemas.openxmlformats.org/officeDocument/2006/relationships/hyperlink" Target="https://www.fangraphs.com/players/masataka-yoshida/31837/stats" TargetMode="External"/><Relationship Id="rId2343" Type="http://schemas.openxmlformats.org/officeDocument/2006/relationships/hyperlink" Target="https://www.fangraphs.com/teams/twins" TargetMode="External"/><Relationship Id="rId2550" Type="http://schemas.openxmlformats.org/officeDocument/2006/relationships/hyperlink" Target="https://www.fangraphs.com/players/carlos-hernandez/22713/stats" TargetMode="External"/><Relationship Id="rId2788" Type="http://schemas.openxmlformats.org/officeDocument/2006/relationships/hyperlink" Target="https://www.fangraphs.com/players/greg-jones/25448/stats" TargetMode="External"/><Relationship Id="rId108" Type="http://schemas.openxmlformats.org/officeDocument/2006/relationships/hyperlink" Target="https://www.fangraphs.com/teams/yankees" TargetMode="External"/><Relationship Id="rId315" Type="http://schemas.openxmlformats.org/officeDocument/2006/relationships/hyperlink" Target="https://www.fangraphs.com/players/robbie-ray/11486/stats" TargetMode="External"/><Relationship Id="rId522" Type="http://schemas.openxmlformats.org/officeDocument/2006/relationships/hyperlink" Target="https://www.fangraphs.com/teams/guardians" TargetMode="External"/><Relationship Id="rId967" Type="http://schemas.openxmlformats.org/officeDocument/2006/relationships/hyperlink" Target="https://www.fangraphs.com/teams/royals" TargetMode="External"/><Relationship Id="rId1152" Type="http://schemas.openxmlformats.org/officeDocument/2006/relationships/hyperlink" Target="https://www.fangraphs.com/players/robert-gasser/29812/stats" TargetMode="External"/><Relationship Id="rId1597" Type="http://schemas.openxmlformats.org/officeDocument/2006/relationships/hyperlink" Target="https://www.fangraphs.com/teams/marlins" TargetMode="External"/><Relationship Id="rId2203" Type="http://schemas.openxmlformats.org/officeDocument/2006/relationships/hyperlink" Target="https://www.fangraphs.com/teams/mets" TargetMode="External"/><Relationship Id="rId2410" Type="http://schemas.openxmlformats.org/officeDocument/2006/relationships/hyperlink" Target="https://www.fangraphs.com/teams/padres" TargetMode="External"/><Relationship Id="rId2648" Type="http://schemas.openxmlformats.org/officeDocument/2006/relationships/hyperlink" Target="https://www.fangraphs.com/teams/mets" TargetMode="External"/><Relationship Id="rId2855" Type="http://schemas.openxmlformats.org/officeDocument/2006/relationships/hyperlink" Target="https://www.fangraphs.com/players/vinny-capra/25040/stats" TargetMode="External"/><Relationship Id="rId96" Type="http://schemas.openxmlformats.org/officeDocument/2006/relationships/hyperlink" Target="https://www.fangraphs.com/teams/yankees" TargetMode="External"/><Relationship Id="rId827" Type="http://schemas.openxmlformats.org/officeDocument/2006/relationships/hyperlink" Target="https://www.fangraphs.com/teams/angels" TargetMode="External"/><Relationship Id="rId1012" Type="http://schemas.openxmlformats.org/officeDocument/2006/relationships/hyperlink" Target="https://www.fangraphs.com/players/jonah-heim/16930/stats" TargetMode="External"/><Relationship Id="rId1457" Type="http://schemas.openxmlformats.org/officeDocument/2006/relationships/hyperlink" Target="https://www.fangraphs.com/teams/rockies" TargetMode="External"/><Relationship Id="rId1664" Type="http://schemas.openxmlformats.org/officeDocument/2006/relationships/hyperlink" Target="https://www.fangraphs.com/players/darren-mccaughan/20038/stats" TargetMode="External"/><Relationship Id="rId1871" Type="http://schemas.openxmlformats.org/officeDocument/2006/relationships/hyperlink" Target="https://www.fangraphs.com/teams/guardians" TargetMode="External"/><Relationship Id="rId2508" Type="http://schemas.openxmlformats.org/officeDocument/2006/relationships/hyperlink" Target="https://www.fangraphs.com/players/jorge-mateo/17273/stats" TargetMode="External"/><Relationship Id="rId2715" Type="http://schemas.openxmlformats.org/officeDocument/2006/relationships/hyperlink" Target="https://www.fangraphs.com/players/dustin-harris/25705/stats" TargetMode="External"/><Relationship Id="rId2922" Type="http://schemas.openxmlformats.org/officeDocument/2006/relationships/hyperlink" Target="https://www.fangraphs.com/teams/yankees" TargetMode="External"/><Relationship Id="rId1317" Type="http://schemas.openxmlformats.org/officeDocument/2006/relationships/hyperlink" Target="https://www.fangraphs.com/players/tyler-alexander/17735/stats" TargetMode="External"/><Relationship Id="rId1524" Type="http://schemas.openxmlformats.org/officeDocument/2006/relationships/hyperlink" Target="https://www.fangraphs.com/teams/diamondbacks" TargetMode="External"/><Relationship Id="rId1731" Type="http://schemas.openxmlformats.org/officeDocument/2006/relationships/hyperlink" Target="https://www.fangraphs.com/teams/red-sox" TargetMode="External"/><Relationship Id="rId1969" Type="http://schemas.openxmlformats.org/officeDocument/2006/relationships/hyperlink" Target="https://www.fangraphs.com/teams/yankees" TargetMode="External"/><Relationship Id="rId23" Type="http://schemas.openxmlformats.org/officeDocument/2006/relationships/hyperlink" Target="https://www.fangraphs.com/players/garrett-crochet/27463/stats" TargetMode="External"/><Relationship Id="rId1829" Type="http://schemas.openxmlformats.org/officeDocument/2006/relationships/hyperlink" Target="https://www.fangraphs.com/teams/braves" TargetMode="External"/><Relationship Id="rId2298" Type="http://schemas.openxmlformats.org/officeDocument/2006/relationships/hyperlink" Target="https://www.fangraphs.com/players/jesse-chavez/5448/stats" TargetMode="External"/><Relationship Id="rId172" Type="http://schemas.openxmlformats.org/officeDocument/2006/relationships/hyperlink" Target="https://www.fangraphs.com/teams/braves" TargetMode="External"/><Relationship Id="rId477" Type="http://schemas.openxmlformats.org/officeDocument/2006/relationships/hyperlink" Target="https://www.fangraphs.com/players/riley-obrien/20348/stats" TargetMode="External"/><Relationship Id="rId684" Type="http://schemas.openxmlformats.org/officeDocument/2006/relationships/hyperlink" Target="https://www.fangraphs.com/teams/mets" TargetMode="External"/><Relationship Id="rId2060" Type="http://schemas.openxmlformats.org/officeDocument/2006/relationships/hyperlink" Target="https://www.fangraphs.com/teams/cubs" TargetMode="External"/><Relationship Id="rId2158" Type="http://schemas.openxmlformats.org/officeDocument/2006/relationships/hyperlink" Target="https://www.fangraphs.com/players/bryan-hudson/19924/stats" TargetMode="External"/><Relationship Id="rId2365" Type="http://schemas.openxmlformats.org/officeDocument/2006/relationships/hyperlink" Target="https://www.fangraphs.com/teams/angels" TargetMode="External"/><Relationship Id="rId337" Type="http://schemas.openxmlformats.org/officeDocument/2006/relationships/hyperlink" Target="https://www.fangraphs.com/players/royce-lewis/20437/stats" TargetMode="External"/><Relationship Id="rId891" Type="http://schemas.openxmlformats.org/officeDocument/2006/relationships/hyperlink" Target="https://www.fangraphs.com/players/henry-davis/29617/stats" TargetMode="External"/><Relationship Id="rId989" Type="http://schemas.openxmlformats.org/officeDocument/2006/relationships/hyperlink" Target="https://www.fangraphs.com/teams/white-sox" TargetMode="External"/><Relationship Id="rId2018" Type="http://schemas.openxmlformats.org/officeDocument/2006/relationships/hyperlink" Target="https://www.fangraphs.com/teams/nationals" TargetMode="External"/><Relationship Id="rId2572" Type="http://schemas.openxmlformats.org/officeDocument/2006/relationships/hyperlink" Target="https://www.fangraphs.com/players/liover-peguero/24273/stats" TargetMode="External"/><Relationship Id="rId2877" Type="http://schemas.openxmlformats.org/officeDocument/2006/relationships/hyperlink" Target="https://www.fangraphs.com/teams/padres" TargetMode="External"/><Relationship Id="rId544" Type="http://schemas.openxmlformats.org/officeDocument/2006/relationships/hyperlink" Target="https://www.fangraphs.com/teams/giants" TargetMode="External"/><Relationship Id="rId751" Type="http://schemas.openxmlformats.org/officeDocument/2006/relationships/hyperlink" Target="https://www.fangraphs.com/teams/cardinals" TargetMode="External"/><Relationship Id="rId849" Type="http://schemas.openxmlformats.org/officeDocument/2006/relationships/hyperlink" Target="https://www.fangraphs.com/players/luke-weaver/16918/stats" TargetMode="External"/><Relationship Id="rId1174" Type="http://schemas.openxmlformats.org/officeDocument/2006/relationships/hyperlink" Target="https://www.fangraphs.com/teams/brewers" TargetMode="External"/><Relationship Id="rId1381" Type="http://schemas.openxmlformats.org/officeDocument/2006/relationships/hyperlink" Target="https://www.fangraphs.com/players/ben-casparius/30085/stats" TargetMode="External"/><Relationship Id="rId1479" Type="http://schemas.openxmlformats.org/officeDocument/2006/relationships/hyperlink" Target="https://www.fangraphs.com/players/juan-mejia/23237/stats" TargetMode="External"/><Relationship Id="rId1686" Type="http://schemas.openxmlformats.org/officeDocument/2006/relationships/hyperlink" Target="https://www.fangraphs.com/teams/marlins" TargetMode="External"/><Relationship Id="rId2225" Type="http://schemas.openxmlformats.org/officeDocument/2006/relationships/hyperlink" Target="https://www.fangraphs.com/players/jordan-wicks/30094/stats" TargetMode="External"/><Relationship Id="rId2432" Type="http://schemas.openxmlformats.org/officeDocument/2006/relationships/hyperlink" Target="https://www.fangraphs.com/teams/rangers" TargetMode="External"/><Relationship Id="rId404" Type="http://schemas.openxmlformats.org/officeDocument/2006/relationships/hyperlink" Target="https://www.fangraphs.com/teams/rockies" TargetMode="External"/><Relationship Id="rId611" Type="http://schemas.openxmlformats.org/officeDocument/2006/relationships/hyperlink" Target="https://www.fangraphs.com/players/clay-holmes/13649/stats" TargetMode="External"/><Relationship Id="rId1034" Type="http://schemas.openxmlformats.org/officeDocument/2006/relationships/hyperlink" Target="https://www.fangraphs.com/teams/braves" TargetMode="External"/><Relationship Id="rId1241" Type="http://schemas.openxmlformats.org/officeDocument/2006/relationships/hyperlink" Target="https://www.fangraphs.com/players/gary-sanchez/11442/stats" TargetMode="External"/><Relationship Id="rId1339" Type="http://schemas.openxmlformats.org/officeDocument/2006/relationships/hyperlink" Target="https://www.fangraphs.com/teams/marlins" TargetMode="External"/><Relationship Id="rId1893" Type="http://schemas.openxmlformats.org/officeDocument/2006/relationships/hyperlink" Target="https://www.fangraphs.com/teams/rockies" TargetMode="External"/><Relationship Id="rId2737" Type="http://schemas.openxmlformats.org/officeDocument/2006/relationships/hyperlink" Target="https://www.fangraphs.com/players/oliver-dunn/26295/stats" TargetMode="External"/><Relationship Id="rId709" Type="http://schemas.openxmlformats.org/officeDocument/2006/relationships/hyperlink" Target="https://www.fangraphs.com/players/lucas-giolito/15474/stats" TargetMode="External"/><Relationship Id="rId916" Type="http://schemas.openxmlformats.org/officeDocument/2006/relationships/hyperlink" Target="https://www.fangraphs.com/teams/brewers" TargetMode="External"/><Relationship Id="rId1101" Type="http://schemas.openxmlformats.org/officeDocument/2006/relationships/hyperlink" Target="https://www.fangraphs.com/teams/yankees" TargetMode="External"/><Relationship Id="rId1546" Type="http://schemas.openxmlformats.org/officeDocument/2006/relationships/hyperlink" Target="https://www.fangraphs.com/players/carlos-vargas/22915/stats" TargetMode="External"/><Relationship Id="rId1753" Type="http://schemas.openxmlformats.org/officeDocument/2006/relationships/hyperlink" Target="https://www.fangraphs.com/teams/mets" TargetMode="External"/><Relationship Id="rId1960" Type="http://schemas.openxmlformats.org/officeDocument/2006/relationships/hyperlink" Target="https://www.fangraphs.com/players/daniel-robert/21229/stats" TargetMode="External"/><Relationship Id="rId2804" Type="http://schemas.openxmlformats.org/officeDocument/2006/relationships/hyperlink" Target="https://www.fangraphs.com/players/eduardo-salazar/23135/stats" TargetMode="External"/><Relationship Id="rId45" Type="http://schemas.openxmlformats.org/officeDocument/2006/relationships/hyperlink" Target="https://www.fangraphs.com/players/francisco-lindor/12916/stats" TargetMode="External"/><Relationship Id="rId1406" Type="http://schemas.openxmlformats.org/officeDocument/2006/relationships/hyperlink" Target="https://www.fangraphs.com/players/taylor-walls/22458/stats" TargetMode="External"/><Relationship Id="rId1613" Type="http://schemas.openxmlformats.org/officeDocument/2006/relationships/hyperlink" Target="https://www.fangraphs.com/players/seth-johnson/26020/stats" TargetMode="External"/><Relationship Id="rId1820" Type="http://schemas.openxmlformats.org/officeDocument/2006/relationships/hyperlink" Target="https://www.fangraphs.com/teams/mets" TargetMode="External"/><Relationship Id="rId194" Type="http://schemas.openxmlformats.org/officeDocument/2006/relationships/hyperlink" Target="https://www.fangraphs.com/teams/cubs" TargetMode="External"/><Relationship Id="rId1918" Type="http://schemas.openxmlformats.org/officeDocument/2006/relationships/hyperlink" Target="https://www.fangraphs.com/teams/cubs" TargetMode="External"/><Relationship Id="rId2082" Type="http://schemas.openxmlformats.org/officeDocument/2006/relationships/hyperlink" Target="https://www.fangraphs.com/players/shawn-dubin/24977/stats" TargetMode="External"/><Relationship Id="rId261" Type="http://schemas.openxmlformats.org/officeDocument/2006/relationships/hyperlink" Target="https://www.fangraphs.com/players/luke-keaschall/33321/stats" TargetMode="External"/><Relationship Id="rId499" Type="http://schemas.openxmlformats.org/officeDocument/2006/relationships/hyperlink" Target="https://www.fangraphs.com/players/logan-henderson/31475/stats" TargetMode="External"/><Relationship Id="rId2387" Type="http://schemas.openxmlformats.org/officeDocument/2006/relationships/hyperlink" Target="https://www.fangraphs.com/players/mason-montgomery/29770/stats" TargetMode="External"/><Relationship Id="rId2594" Type="http://schemas.openxmlformats.org/officeDocument/2006/relationships/hyperlink" Target="https://www.fangraphs.com/players/luis-peralta/24203/stats" TargetMode="External"/><Relationship Id="rId359" Type="http://schemas.openxmlformats.org/officeDocument/2006/relationships/hyperlink" Target="https://www.fangraphs.com/players/edward-cabrera/21690/stats" TargetMode="External"/><Relationship Id="rId566" Type="http://schemas.openxmlformats.org/officeDocument/2006/relationships/hyperlink" Target="https://www.fangraphs.com/teams/nationals" TargetMode="External"/><Relationship Id="rId773" Type="http://schemas.openxmlformats.org/officeDocument/2006/relationships/hyperlink" Target="https://www.fangraphs.com/teams/padres" TargetMode="External"/><Relationship Id="rId1196" Type="http://schemas.openxmlformats.org/officeDocument/2006/relationships/hyperlink" Target="https://www.fangraphs.com/teams/astros" TargetMode="External"/><Relationship Id="rId2247" Type="http://schemas.openxmlformats.org/officeDocument/2006/relationships/hyperlink" Target="https://www.fangraphs.com/teams/orioles" TargetMode="External"/><Relationship Id="rId2454" Type="http://schemas.openxmlformats.org/officeDocument/2006/relationships/hyperlink" Target="https://www.fangraphs.com/players/chris-roycroft/31261/stats" TargetMode="External"/><Relationship Id="rId2899" Type="http://schemas.openxmlformats.org/officeDocument/2006/relationships/hyperlink" Target="https://www.fangraphs.com/players/jon-singleton/10441/stats" TargetMode="External"/><Relationship Id="rId121" Type="http://schemas.openxmlformats.org/officeDocument/2006/relationships/hyperlink" Target="https://www.fangraphs.com/players/cj-abrams/25768/stats" TargetMode="External"/><Relationship Id="rId219" Type="http://schemas.openxmlformats.org/officeDocument/2006/relationships/hyperlink" Target="https://www.fangraphs.com/players/brandon-woodruff/16162/stats" TargetMode="External"/><Relationship Id="rId426" Type="http://schemas.openxmlformats.org/officeDocument/2006/relationships/hyperlink" Target="https://www.fangraphs.com/teams/phillies" TargetMode="External"/><Relationship Id="rId633" Type="http://schemas.openxmlformats.org/officeDocument/2006/relationships/hyperlink" Target="https://www.fangraphs.com/players/andres-gimenez/19950/stats" TargetMode="External"/><Relationship Id="rId980" Type="http://schemas.openxmlformats.org/officeDocument/2006/relationships/hyperlink" Target="https://www.fangraphs.com/players/brandon-walter/26056/stats" TargetMode="External"/><Relationship Id="rId1056" Type="http://schemas.openxmlformats.org/officeDocument/2006/relationships/hyperlink" Target="https://www.fangraphs.com/teams/orioles" TargetMode="External"/><Relationship Id="rId1263" Type="http://schemas.openxmlformats.org/officeDocument/2006/relationships/hyperlink" Target="https://www.fangraphs.com/players/matt-waldron/25550/stats" TargetMode="External"/><Relationship Id="rId2107" Type="http://schemas.openxmlformats.org/officeDocument/2006/relationships/hyperlink" Target="https://www.fangraphs.com/players/tim-tawa/29571/stats" TargetMode="External"/><Relationship Id="rId2314" Type="http://schemas.openxmlformats.org/officeDocument/2006/relationships/hyperlink" Target="https://www.fangraphs.com/teams/athletics" TargetMode="External"/><Relationship Id="rId2661" Type="http://schemas.openxmlformats.org/officeDocument/2006/relationships/hyperlink" Target="https://www.fangraphs.com/players/javier-sanoja/28253/stats" TargetMode="External"/><Relationship Id="rId2759" Type="http://schemas.openxmlformats.org/officeDocument/2006/relationships/hyperlink" Target="https://www.fangraphs.com/teams/white-sox" TargetMode="External"/><Relationship Id="rId840" Type="http://schemas.openxmlformats.org/officeDocument/2006/relationships/hyperlink" Target="https://www.fangraphs.com/teams/red-sox" TargetMode="External"/><Relationship Id="rId938" Type="http://schemas.openxmlformats.org/officeDocument/2006/relationships/hyperlink" Target="https://www.fangraphs.com/teams/cubs" TargetMode="External"/><Relationship Id="rId1470" Type="http://schemas.openxmlformats.org/officeDocument/2006/relationships/hyperlink" Target="https://www.fangraphs.com/players/justin-martinez/24453/stats" TargetMode="External"/><Relationship Id="rId1568" Type="http://schemas.openxmlformats.org/officeDocument/2006/relationships/hyperlink" Target="https://www.fangraphs.com/teams/orioles" TargetMode="External"/><Relationship Id="rId1775" Type="http://schemas.openxmlformats.org/officeDocument/2006/relationships/hyperlink" Target="https://www.fangraphs.com/players/brady-basso/25582/stats" TargetMode="External"/><Relationship Id="rId2521" Type="http://schemas.openxmlformats.org/officeDocument/2006/relationships/hyperlink" Target="https://www.fangraphs.com/players/heston-kjerstad/31166/stats" TargetMode="External"/><Relationship Id="rId2619" Type="http://schemas.openxmlformats.org/officeDocument/2006/relationships/hyperlink" Target="https://www.fangraphs.com/teams/braves" TargetMode="External"/><Relationship Id="rId2826" Type="http://schemas.openxmlformats.org/officeDocument/2006/relationships/hyperlink" Target="https://www.fangraphs.com/teams/rockies" TargetMode="External"/><Relationship Id="rId67" Type="http://schemas.openxmlformats.org/officeDocument/2006/relationships/hyperlink" Target="https://www.fangraphs.com/players/edwin-diaz/14710/stats" TargetMode="External"/><Relationship Id="rId700" Type="http://schemas.openxmlformats.org/officeDocument/2006/relationships/hyperlink" Target="https://www.fangraphs.com/teams/blue-jays" TargetMode="External"/><Relationship Id="rId1123" Type="http://schemas.openxmlformats.org/officeDocument/2006/relationships/hyperlink" Target="https://www.fangraphs.com/players/nick-mears/25376/stats" TargetMode="External"/><Relationship Id="rId1330" Type="http://schemas.openxmlformats.org/officeDocument/2006/relationships/hyperlink" Target="https://www.fangraphs.com/players/joel-peguero/21951/stats" TargetMode="External"/><Relationship Id="rId1428" Type="http://schemas.openxmlformats.org/officeDocument/2006/relationships/hyperlink" Target="https://www.fangraphs.com/players/rob-zastryzny/15094/stats" TargetMode="External"/><Relationship Id="rId1635" Type="http://schemas.openxmlformats.org/officeDocument/2006/relationships/hyperlink" Target="https://www.fangraphs.com/players/craig-kimbrel/6655/stats" TargetMode="External"/><Relationship Id="rId1982" Type="http://schemas.openxmlformats.org/officeDocument/2006/relationships/hyperlink" Target="https://www.fangraphs.com/players/jovani-moran/20422/stats" TargetMode="External"/><Relationship Id="rId1842" Type="http://schemas.openxmlformats.org/officeDocument/2006/relationships/hyperlink" Target="https://www.fangraphs.com/players/rob-brantly/10655/stats" TargetMode="External"/><Relationship Id="rId1702" Type="http://schemas.openxmlformats.org/officeDocument/2006/relationships/hyperlink" Target="https://www.fangraphs.com/players/garrett-hampson/19262/stats" TargetMode="External"/><Relationship Id="rId283" Type="http://schemas.openxmlformats.org/officeDocument/2006/relationships/hyperlink" Target="https://www.fangraphs.com/players/trey-yesavage/35456/stats" TargetMode="External"/><Relationship Id="rId490" Type="http://schemas.openxmlformats.org/officeDocument/2006/relationships/hyperlink" Target="https://www.fangraphs.com/teams/white-sox" TargetMode="External"/><Relationship Id="rId2171" Type="http://schemas.openxmlformats.org/officeDocument/2006/relationships/hyperlink" Target="https://www.fangraphs.com/players/rolddy-munoz/27407/stats" TargetMode="External"/><Relationship Id="rId143" Type="http://schemas.openxmlformats.org/officeDocument/2006/relationships/hyperlink" Target="https://www.fangraphs.com/players/kyle-bradish/24586/stats" TargetMode="External"/><Relationship Id="rId350" Type="http://schemas.openxmlformats.org/officeDocument/2006/relationships/hyperlink" Target="https://www.fangraphs.com/teams/red-sox" TargetMode="External"/><Relationship Id="rId588" Type="http://schemas.openxmlformats.org/officeDocument/2006/relationships/hyperlink" Target="https://www.fangraphs.com/teams/giants" TargetMode="External"/><Relationship Id="rId795" Type="http://schemas.openxmlformats.org/officeDocument/2006/relationships/hyperlink" Target="https://www.fangraphs.com/teams/diamondbacks" TargetMode="External"/><Relationship Id="rId2031" Type="http://schemas.openxmlformats.org/officeDocument/2006/relationships/hyperlink" Target="https://www.fangraphs.com/players/blas-castano/26117/stats" TargetMode="External"/><Relationship Id="rId2269" Type="http://schemas.openxmlformats.org/officeDocument/2006/relationships/hyperlink" Target="https://www.fangraphs.com/players/curtis-mead/23986/stats" TargetMode="External"/><Relationship Id="rId2476" Type="http://schemas.openxmlformats.org/officeDocument/2006/relationships/hyperlink" Target="https://www.fangraphs.com/players/zach-dezenzo/31562/stats" TargetMode="External"/><Relationship Id="rId2683" Type="http://schemas.openxmlformats.org/officeDocument/2006/relationships/hyperlink" Target="https://www.fangraphs.com/players/garrett-hampson/19262/stats" TargetMode="External"/><Relationship Id="rId2890" Type="http://schemas.openxmlformats.org/officeDocument/2006/relationships/hyperlink" Target="https://www.fangraphs.com/players/tsung-che-cheng/28344/stats" TargetMode="External"/><Relationship Id="rId9" Type="http://schemas.openxmlformats.org/officeDocument/2006/relationships/hyperlink" Target="https://www.fangraphs.com/players/juan-soto/20123/stats" TargetMode="External"/><Relationship Id="rId210" Type="http://schemas.openxmlformats.org/officeDocument/2006/relationships/hyperlink" Target="https://www.fangraphs.com/teams/mets" TargetMode="External"/><Relationship Id="rId448" Type="http://schemas.openxmlformats.org/officeDocument/2006/relationships/hyperlink" Target="https://www.fangraphs.com/teams/marlins" TargetMode="External"/><Relationship Id="rId655" Type="http://schemas.openxmlformats.org/officeDocument/2006/relationships/hyperlink" Target="https://www.fangraphs.com/players/seth-lugo/12447/stats" TargetMode="External"/><Relationship Id="rId862" Type="http://schemas.openxmlformats.org/officeDocument/2006/relationships/hyperlink" Target="https://www.fangraphs.com/teams/rays" TargetMode="External"/><Relationship Id="rId1078" Type="http://schemas.openxmlformats.org/officeDocument/2006/relationships/hyperlink" Target="https://www.fangraphs.com/teams/rays" TargetMode="External"/><Relationship Id="rId1285" Type="http://schemas.openxmlformats.org/officeDocument/2006/relationships/hyperlink" Target="https://www.fangraphs.com/teams/reds" TargetMode="External"/><Relationship Id="rId1492" Type="http://schemas.openxmlformats.org/officeDocument/2006/relationships/hyperlink" Target="https://www.fangraphs.com/players/ryan-gusto/26440/stats" TargetMode="External"/><Relationship Id="rId2129" Type="http://schemas.openxmlformats.org/officeDocument/2006/relationships/hyperlink" Target="https://www.fangraphs.com/players/spencer-turnbull/16207/stats" TargetMode="External"/><Relationship Id="rId2336" Type="http://schemas.openxmlformats.org/officeDocument/2006/relationships/hyperlink" Target="https://www.fangraphs.com/players/shaun-anderson/19453/stats" TargetMode="External"/><Relationship Id="rId2543" Type="http://schemas.openxmlformats.org/officeDocument/2006/relationships/hyperlink" Target="https://www.fangraphs.com/teams/cardinals" TargetMode="External"/><Relationship Id="rId2750" Type="http://schemas.openxmlformats.org/officeDocument/2006/relationships/hyperlink" Target="https://www.fangraphs.com/teams/mets" TargetMode="External"/><Relationship Id="rId308" Type="http://schemas.openxmlformats.org/officeDocument/2006/relationships/hyperlink" Target="https://www.fangraphs.com/teams/cardinals" TargetMode="External"/><Relationship Id="rId515" Type="http://schemas.openxmlformats.org/officeDocument/2006/relationships/hyperlink" Target="https://www.fangraphs.com/players/braxton-ashcraft/23793/stats" TargetMode="External"/><Relationship Id="rId722" Type="http://schemas.openxmlformats.org/officeDocument/2006/relationships/hyperlink" Target="https://www.fangraphs.com/players/tony-santillan/19926/stats" TargetMode="External"/><Relationship Id="rId1145" Type="http://schemas.openxmlformats.org/officeDocument/2006/relationships/hyperlink" Target="https://www.fangraphs.com/teams/athletics" TargetMode="External"/><Relationship Id="rId1352" Type="http://schemas.openxmlformats.org/officeDocument/2006/relationships/hyperlink" Target="https://www.fangraphs.com/players/john-schreiber/20020/stats" TargetMode="External"/><Relationship Id="rId1797" Type="http://schemas.openxmlformats.org/officeDocument/2006/relationships/hyperlink" Target="https://www.fangraphs.com/teams/braves" TargetMode="External"/><Relationship Id="rId2403" Type="http://schemas.openxmlformats.org/officeDocument/2006/relationships/hyperlink" Target="https://www.fangraphs.com/teams/rockies" TargetMode="External"/><Relationship Id="rId2848" Type="http://schemas.openxmlformats.org/officeDocument/2006/relationships/hyperlink" Target="https://www.fangraphs.com/teams/brewers" TargetMode="External"/><Relationship Id="rId89" Type="http://schemas.openxmlformats.org/officeDocument/2006/relationships/hyperlink" Target="https://www.fangraphs.com/players/hunter-greene/22182/stats" TargetMode="External"/><Relationship Id="rId1005" Type="http://schemas.openxmlformats.org/officeDocument/2006/relationships/hyperlink" Target="https://www.fangraphs.com/teams/padres" TargetMode="External"/><Relationship Id="rId1212" Type="http://schemas.openxmlformats.org/officeDocument/2006/relationships/hyperlink" Target="https://www.fangraphs.com/teams/braves" TargetMode="External"/><Relationship Id="rId1657" Type="http://schemas.openxmlformats.org/officeDocument/2006/relationships/hyperlink" Target="https://www.fangraphs.com/teams/giants" TargetMode="External"/><Relationship Id="rId1864" Type="http://schemas.openxmlformats.org/officeDocument/2006/relationships/hyperlink" Target="https://www.fangraphs.com/teams/mariners" TargetMode="External"/><Relationship Id="rId2610" Type="http://schemas.openxmlformats.org/officeDocument/2006/relationships/hyperlink" Target="https://www.fangraphs.com/players/brice-matthews/33280/stats" TargetMode="External"/><Relationship Id="rId2708" Type="http://schemas.openxmlformats.org/officeDocument/2006/relationships/hyperlink" Target="https://www.fangraphs.com/teams/royals" TargetMode="External"/><Relationship Id="rId2915" Type="http://schemas.openxmlformats.org/officeDocument/2006/relationships/hyperlink" Target="https://www.fangraphs.com/players/yuli-gurriel/19198/stats" TargetMode="External"/><Relationship Id="rId1517" Type="http://schemas.openxmlformats.org/officeDocument/2006/relationships/hyperlink" Target="https://www.fangraphs.com/teams/cubs" TargetMode="External"/><Relationship Id="rId1724" Type="http://schemas.openxmlformats.org/officeDocument/2006/relationships/hyperlink" Target="https://www.fangraphs.com/players/ty-adcock/25651/stats" TargetMode="External"/><Relationship Id="rId16" Type="http://schemas.openxmlformats.org/officeDocument/2006/relationships/hyperlink" Target="https://www.fangraphs.com/teams/tigers" TargetMode="External"/><Relationship Id="rId1931" Type="http://schemas.openxmlformats.org/officeDocument/2006/relationships/hyperlink" Target="https://www.fangraphs.com/players/michael-fulmer/13218/stats" TargetMode="External"/><Relationship Id="rId2193" Type="http://schemas.openxmlformats.org/officeDocument/2006/relationships/hyperlink" Target="https://www.fangraphs.com/players/bryce-jarvis/27477/stats" TargetMode="External"/><Relationship Id="rId2498" Type="http://schemas.openxmlformats.org/officeDocument/2006/relationships/hyperlink" Target="https://www.fangraphs.com/players/ryan-loutos/29521/stats" TargetMode="External"/><Relationship Id="rId165" Type="http://schemas.openxmlformats.org/officeDocument/2006/relationships/hyperlink" Target="https://www.fangraphs.com/players/agustin-ramirez/26546/stats" TargetMode="External"/><Relationship Id="rId372" Type="http://schemas.openxmlformats.org/officeDocument/2006/relationships/hyperlink" Target="https://www.fangraphs.com/teams/athletics" TargetMode="External"/><Relationship Id="rId677" Type="http://schemas.openxmlformats.org/officeDocument/2006/relationships/hyperlink" Target="https://www.fangraphs.com/players/anthony-santander/14551/stats" TargetMode="External"/><Relationship Id="rId2053" Type="http://schemas.openxmlformats.org/officeDocument/2006/relationships/hyperlink" Target="https://www.fangraphs.com/players/sam-moll/14874/stats" TargetMode="External"/><Relationship Id="rId2260" Type="http://schemas.openxmlformats.org/officeDocument/2006/relationships/hyperlink" Target="https://www.fangraphs.com/teams/tigers" TargetMode="External"/><Relationship Id="rId2358" Type="http://schemas.openxmlformats.org/officeDocument/2006/relationships/hyperlink" Target="https://www.fangraphs.com/teams/nationals" TargetMode="External"/><Relationship Id="rId232" Type="http://schemas.openxmlformats.org/officeDocument/2006/relationships/hyperlink" Target="https://www.fangraphs.com/teams/astros" TargetMode="External"/><Relationship Id="rId884" Type="http://schemas.openxmlformats.org/officeDocument/2006/relationships/hyperlink" Target="https://www.fangraphs.com/teams/angels" TargetMode="External"/><Relationship Id="rId2120" Type="http://schemas.openxmlformats.org/officeDocument/2006/relationships/hyperlink" Target="https://www.fangraphs.com/players/ian-gibaut/17871/stats" TargetMode="External"/><Relationship Id="rId2565" Type="http://schemas.openxmlformats.org/officeDocument/2006/relationships/hyperlink" Target="https://www.fangraphs.com/teams/nationals" TargetMode="External"/><Relationship Id="rId2772" Type="http://schemas.openxmlformats.org/officeDocument/2006/relationships/hyperlink" Target="https://www.fangraphs.com/teams/astros" TargetMode="External"/><Relationship Id="rId537" Type="http://schemas.openxmlformats.org/officeDocument/2006/relationships/hyperlink" Target="https://www.fangraphs.com/players/brendan-donovan/24679/stats" TargetMode="External"/><Relationship Id="rId744" Type="http://schemas.openxmlformats.org/officeDocument/2006/relationships/hyperlink" Target="https://www.fangraphs.com/players/moises-ballesteros/28820/stats" TargetMode="External"/><Relationship Id="rId951" Type="http://schemas.openxmlformats.org/officeDocument/2006/relationships/hyperlink" Target="https://www.fangraphs.com/teams/dodgers" TargetMode="External"/><Relationship Id="rId1167" Type="http://schemas.openxmlformats.org/officeDocument/2006/relationships/hyperlink" Target="https://www.fangraphs.com/players/jose-trevino/16725/stats" TargetMode="External"/><Relationship Id="rId1374" Type="http://schemas.openxmlformats.org/officeDocument/2006/relationships/hyperlink" Target="https://www.fangraphs.com/players/chris-murphy/26214/stats" TargetMode="External"/><Relationship Id="rId1581" Type="http://schemas.openxmlformats.org/officeDocument/2006/relationships/hyperlink" Target="https://www.fangraphs.com/players/hunter-strickland/7836/stats" TargetMode="External"/><Relationship Id="rId1679" Type="http://schemas.openxmlformats.org/officeDocument/2006/relationships/hyperlink" Target="https://www.fangraphs.com/players/christian-roa/27662/stats" TargetMode="External"/><Relationship Id="rId2218" Type="http://schemas.openxmlformats.org/officeDocument/2006/relationships/hyperlink" Target="https://www.fangraphs.com/teams/yankees" TargetMode="External"/><Relationship Id="rId2425" Type="http://schemas.openxmlformats.org/officeDocument/2006/relationships/hyperlink" Target="https://www.fangraphs.com/players/sam-long/25379/stats" TargetMode="External"/><Relationship Id="rId2632" Type="http://schemas.openxmlformats.org/officeDocument/2006/relationships/hyperlink" Target="https://www.fangraphs.com/players/james-outman/24770/stats" TargetMode="External"/><Relationship Id="rId80" Type="http://schemas.openxmlformats.org/officeDocument/2006/relationships/hyperlink" Target="https://www.fangraphs.com/teams/padres" TargetMode="External"/><Relationship Id="rId604" Type="http://schemas.openxmlformats.org/officeDocument/2006/relationships/hyperlink" Target="https://www.fangraphs.com/teams/giants" TargetMode="External"/><Relationship Id="rId811" Type="http://schemas.openxmlformats.org/officeDocument/2006/relationships/hyperlink" Target="https://www.fangraphs.com/teams/dodgers" TargetMode="External"/><Relationship Id="rId1027" Type="http://schemas.openxmlformats.org/officeDocument/2006/relationships/hyperlink" Target="https://www.fangraphs.com/teams/astros" TargetMode="External"/><Relationship Id="rId1234" Type="http://schemas.openxmlformats.org/officeDocument/2006/relationships/hyperlink" Target="https://www.fangraphs.com/teams/yankees" TargetMode="External"/><Relationship Id="rId1441" Type="http://schemas.openxmlformats.org/officeDocument/2006/relationships/hyperlink" Target="https://www.fangraphs.com/teams/padres" TargetMode="External"/><Relationship Id="rId1886" Type="http://schemas.openxmlformats.org/officeDocument/2006/relationships/hyperlink" Target="https://www.fangraphs.com/teams/marlins" TargetMode="External"/><Relationship Id="rId909" Type="http://schemas.openxmlformats.org/officeDocument/2006/relationships/hyperlink" Target="https://www.fangraphs.com/players/tyler-freeman/22532/stats" TargetMode="External"/><Relationship Id="rId1301" Type="http://schemas.openxmlformats.org/officeDocument/2006/relationships/hyperlink" Target="https://www.fangraphs.com/players/bobby-miller/27483/stats" TargetMode="External"/><Relationship Id="rId1539" Type="http://schemas.openxmlformats.org/officeDocument/2006/relationships/hyperlink" Target="https://www.fangraphs.com/teams/twins" TargetMode="External"/><Relationship Id="rId1746" Type="http://schemas.openxmlformats.org/officeDocument/2006/relationships/hyperlink" Target="https://www.fangraphs.com/teams/red-sox" TargetMode="External"/><Relationship Id="rId1953" Type="http://schemas.openxmlformats.org/officeDocument/2006/relationships/hyperlink" Target="https://www.fangraphs.com/players/ali-sanchez/18551/stats" TargetMode="External"/><Relationship Id="rId38" Type="http://schemas.openxmlformats.org/officeDocument/2006/relationships/hyperlink" Target="https://www.fangraphs.com/teams/blue-jays" TargetMode="External"/><Relationship Id="rId1606" Type="http://schemas.openxmlformats.org/officeDocument/2006/relationships/hyperlink" Target="https://www.fangraphs.com/players/zach-thompson/16094/stats" TargetMode="External"/><Relationship Id="rId1813" Type="http://schemas.openxmlformats.org/officeDocument/2006/relationships/hyperlink" Target="https://www.fangraphs.com/players/miles-mastrobuoni/20017/stats" TargetMode="External"/><Relationship Id="rId187" Type="http://schemas.openxmlformats.org/officeDocument/2006/relationships/hyperlink" Target="https://www.fangraphs.com/players/george-springer/12856/stats" TargetMode="External"/><Relationship Id="rId394" Type="http://schemas.openxmlformats.org/officeDocument/2006/relationships/hyperlink" Target="https://www.fangraphs.com/teams/orioles" TargetMode="External"/><Relationship Id="rId2075" Type="http://schemas.openxmlformats.org/officeDocument/2006/relationships/hyperlink" Target="https://www.fangraphs.com/teams/mets" TargetMode="External"/><Relationship Id="rId2282" Type="http://schemas.openxmlformats.org/officeDocument/2006/relationships/hyperlink" Target="https://www.fangraphs.com/players/michel-otanez/22533/stats" TargetMode="External"/><Relationship Id="rId254" Type="http://schemas.openxmlformats.org/officeDocument/2006/relationships/hyperlink" Target="https://www.fangraphs.com/teams/brewers" TargetMode="External"/><Relationship Id="rId699" Type="http://schemas.openxmlformats.org/officeDocument/2006/relationships/hyperlink" Target="https://www.fangraphs.com/players/jesus-sanchez/19913/stats" TargetMode="External"/><Relationship Id="rId1091" Type="http://schemas.openxmlformats.org/officeDocument/2006/relationships/hyperlink" Target="https://www.fangraphs.com/players/nabil-crismatt/17732/stats" TargetMode="External"/><Relationship Id="rId2587" Type="http://schemas.openxmlformats.org/officeDocument/2006/relationships/hyperlink" Target="https://www.fangraphs.com/teams/braves" TargetMode="External"/><Relationship Id="rId2794" Type="http://schemas.openxmlformats.org/officeDocument/2006/relationships/hyperlink" Target="https://www.fangraphs.com/players/donovan-walton/19314/stats" TargetMode="External"/><Relationship Id="rId114" Type="http://schemas.openxmlformats.org/officeDocument/2006/relationships/hyperlink" Target="https://www.fangraphs.com/teams/giants" TargetMode="External"/><Relationship Id="rId461" Type="http://schemas.openxmlformats.org/officeDocument/2006/relationships/hyperlink" Target="https://www.fangraphs.com/players/jack-leiter/30146/stats" TargetMode="External"/><Relationship Id="rId559" Type="http://schemas.openxmlformats.org/officeDocument/2006/relationships/hyperlink" Target="https://www.fangraphs.com/players/bailey-ober/21224/stats" TargetMode="External"/><Relationship Id="rId766" Type="http://schemas.openxmlformats.org/officeDocument/2006/relationships/hyperlink" Target="https://www.fangraphs.com/players/luis-rengifo/19858/stats" TargetMode="External"/><Relationship Id="rId1189" Type="http://schemas.openxmlformats.org/officeDocument/2006/relationships/hyperlink" Target="https://www.fangraphs.com/players/yariel-rodriguez/33838/stats" TargetMode="External"/><Relationship Id="rId1396" Type="http://schemas.openxmlformats.org/officeDocument/2006/relationships/hyperlink" Target="https://www.fangraphs.com/players/will-benson/21853/stats" TargetMode="External"/><Relationship Id="rId2142" Type="http://schemas.openxmlformats.org/officeDocument/2006/relationships/hyperlink" Target="https://www.fangraphs.com/players/nick-hernandez/19281/stats" TargetMode="External"/><Relationship Id="rId2447" Type="http://schemas.openxmlformats.org/officeDocument/2006/relationships/hyperlink" Target="https://www.fangraphs.com/players/colin-poche/19403/stats" TargetMode="External"/><Relationship Id="rId321" Type="http://schemas.openxmlformats.org/officeDocument/2006/relationships/hyperlink" Target="https://www.fangraphs.com/players/trevor-rogers/22286/stats" TargetMode="External"/><Relationship Id="rId419" Type="http://schemas.openxmlformats.org/officeDocument/2006/relationships/hyperlink" Target="https://www.fangraphs.com/players/andrew-abbott/29911/stats" TargetMode="External"/><Relationship Id="rId626" Type="http://schemas.openxmlformats.org/officeDocument/2006/relationships/hyperlink" Target="https://www.fangraphs.com/teams/red-sox" TargetMode="External"/><Relationship Id="rId973" Type="http://schemas.openxmlformats.org/officeDocument/2006/relationships/hyperlink" Target="https://www.fangraphs.com/teams/phillies" TargetMode="External"/><Relationship Id="rId1049" Type="http://schemas.openxmlformats.org/officeDocument/2006/relationships/hyperlink" Target="https://www.fangraphs.com/players/bennett-sousa/21345/stats" TargetMode="External"/><Relationship Id="rId1256" Type="http://schemas.openxmlformats.org/officeDocument/2006/relationships/hyperlink" Target="https://www.fangraphs.com/players/kyle-hendricks/12049/stats" TargetMode="External"/><Relationship Id="rId2002" Type="http://schemas.openxmlformats.org/officeDocument/2006/relationships/hyperlink" Target="https://www.fangraphs.com/teams/cubs" TargetMode="External"/><Relationship Id="rId2307" Type="http://schemas.openxmlformats.org/officeDocument/2006/relationships/hyperlink" Target="https://www.fangraphs.com/players/joe-ross/12972/stats" TargetMode="External"/><Relationship Id="rId2654" Type="http://schemas.openxmlformats.org/officeDocument/2006/relationships/hyperlink" Target="https://www.fangraphs.com/players/nathan-church/31357/stats" TargetMode="External"/><Relationship Id="rId2861" Type="http://schemas.openxmlformats.org/officeDocument/2006/relationships/hyperlink" Target="https://www.fangraphs.com/teams/padres" TargetMode="External"/><Relationship Id="rId833" Type="http://schemas.openxmlformats.org/officeDocument/2006/relationships/hyperlink" Target="https://www.fangraphs.com/players/corbin-burnes/19361/stats" TargetMode="External"/><Relationship Id="rId1116" Type="http://schemas.openxmlformats.org/officeDocument/2006/relationships/hyperlink" Target="https://www.fangraphs.com/players/joey-bart/21524/stats" TargetMode="External"/><Relationship Id="rId1463" Type="http://schemas.openxmlformats.org/officeDocument/2006/relationships/hyperlink" Target="https://www.fangraphs.com/teams/rays" TargetMode="External"/><Relationship Id="rId1670" Type="http://schemas.openxmlformats.org/officeDocument/2006/relationships/hyperlink" Target="https://www.fangraphs.com/players/tyler-anderson/12880/stats" TargetMode="External"/><Relationship Id="rId1768" Type="http://schemas.openxmlformats.org/officeDocument/2006/relationships/hyperlink" Target="https://www.fangraphs.com/teams/red-sox" TargetMode="External"/><Relationship Id="rId2514" Type="http://schemas.openxmlformats.org/officeDocument/2006/relationships/hyperlink" Target="https://www.fangraphs.com/teams/rangers" TargetMode="External"/><Relationship Id="rId2721" Type="http://schemas.openxmlformats.org/officeDocument/2006/relationships/hyperlink" Target="https://www.fangraphs.com/players/jorge-alcala/19459/stats" TargetMode="External"/><Relationship Id="rId2819" Type="http://schemas.openxmlformats.org/officeDocument/2006/relationships/hyperlink" Target="https://www.fangraphs.com/players/cesar-prieto/30163/stats" TargetMode="External"/><Relationship Id="rId900" Type="http://schemas.openxmlformats.org/officeDocument/2006/relationships/hyperlink" Target="https://www.fangraphs.com/teams/pirates" TargetMode="External"/><Relationship Id="rId1323" Type="http://schemas.openxmlformats.org/officeDocument/2006/relationships/hyperlink" Target="https://www.fangraphs.com/teams/rockies" TargetMode="External"/><Relationship Id="rId1530" Type="http://schemas.openxmlformats.org/officeDocument/2006/relationships/hyperlink" Target="https://www.fangraphs.com/players/jake-bauers/15194/stats" TargetMode="External"/><Relationship Id="rId1628" Type="http://schemas.openxmlformats.org/officeDocument/2006/relationships/hyperlink" Target="https://www.fangraphs.com/teams/rangers" TargetMode="External"/><Relationship Id="rId1975" Type="http://schemas.openxmlformats.org/officeDocument/2006/relationships/hyperlink" Target="https://www.fangraphs.com/teams/braves" TargetMode="External"/><Relationship Id="rId1835" Type="http://schemas.openxmlformats.org/officeDocument/2006/relationships/hyperlink" Target="https://www.fangraphs.com/teams/rays" TargetMode="External"/><Relationship Id="rId1902" Type="http://schemas.openxmlformats.org/officeDocument/2006/relationships/hyperlink" Target="https://www.fangraphs.com/players/ryan-pressly/7005/stats" TargetMode="External"/><Relationship Id="rId2097" Type="http://schemas.openxmlformats.org/officeDocument/2006/relationships/hyperlink" Target="https://www.fangraphs.com/teams/cardinals" TargetMode="External"/><Relationship Id="rId276" Type="http://schemas.openxmlformats.org/officeDocument/2006/relationships/hyperlink" Target="https://www.fangraphs.com/teams/dodgers" TargetMode="External"/><Relationship Id="rId483" Type="http://schemas.openxmlformats.org/officeDocument/2006/relationships/hyperlink" Target="https://www.fangraphs.com/players/giancarlo-stanton/4949/stats" TargetMode="External"/><Relationship Id="rId690" Type="http://schemas.openxmlformats.org/officeDocument/2006/relationships/hyperlink" Target="https://www.fangraphs.com/teams/white-sox" TargetMode="External"/><Relationship Id="rId2164" Type="http://schemas.openxmlformats.org/officeDocument/2006/relationships/hyperlink" Target="https://www.fangraphs.com/players/patrick-monteverde/29564/stats" TargetMode="External"/><Relationship Id="rId2371" Type="http://schemas.openxmlformats.org/officeDocument/2006/relationships/hyperlink" Target="https://www.fangraphs.com/teams/royals" TargetMode="External"/><Relationship Id="rId136" Type="http://schemas.openxmlformats.org/officeDocument/2006/relationships/hyperlink" Target="https://www.fangraphs.com/teams/mariners" TargetMode="External"/><Relationship Id="rId343" Type="http://schemas.openxmlformats.org/officeDocument/2006/relationships/hyperlink" Target="https://www.fangraphs.com/players/willson-contreras/11609/stats" TargetMode="External"/><Relationship Id="rId550" Type="http://schemas.openxmlformats.org/officeDocument/2006/relationships/hyperlink" Target="https://www.fangraphs.com/teams/cubs" TargetMode="External"/><Relationship Id="rId788" Type="http://schemas.openxmlformats.org/officeDocument/2006/relationships/hyperlink" Target="https://www.fangraphs.com/players/zach-eflin/13774/stats" TargetMode="External"/><Relationship Id="rId995" Type="http://schemas.openxmlformats.org/officeDocument/2006/relationships/hyperlink" Target="https://www.fangraphs.com/teams/giants" TargetMode="External"/><Relationship Id="rId1180" Type="http://schemas.openxmlformats.org/officeDocument/2006/relationships/hyperlink" Target="https://www.fangraphs.com/teams/rockies" TargetMode="External"/><Relationship Id="rId2024" Type="http://schemas.openxmlformats.org/officeDocument/2006/relationships/hyperlink" Target="https://www.fangraphs.com/teams/phillies" TargetMode="External"/><Relationship Id="rId2231" Type="http://schemas.openxmlformats.org/officeDocument/2006/relationships/hyperlink" Target="https://www.fangraphs.com/teams/mets" TargetMode="External"/><Relationship Id="rId2469" Type="http://schemas.openxmlformats.org/officeDocument/2006/relationships/hyperlink" Target="https://www.fangraphs.com/players/nick-loftin/27630/stats" TargetMode="External"/><Relationship Id="rId2676" Type="http://schemas.openxmlformats.org/officeDocument/2006/relationships/hyperlink" Target="https://www.fangraphs.com/players/cooper-hummel/19458/stats" TargetMode="External"/><Relationship Id="rId2883" Type="http://schemas.openxmlformats.org/officeDocument/2006/relationships/hyperlink" Target="https://www.fangraphs.com/players/david-banuelos/23250/stats" TargetMode="External"/><Relationship Id="rId203" Type="http://schemas.openxmlformats.org/officeDocument/2006/relationships/hyperlink" Target="https://www.fangraphs.com/players/michael-harris-ii/25931/stats" TargetMode="External"/><Relationship Id="rId648" Type="http://schemas.openxmlformats.org/officeDocument/2006/relationships/hyperlink" Target="https://www.fangraphs.com/teams/rangers" TargetMode="External"/><Relationship Id="rId855" Type="http://schemas.openxmlformats.org/officeDocument/2006/relationships/hyperlink" Target="https://www.fangraphs.com/players/cole-sands/21461/stats" TargetMode="External"/><Relationship Id="rId1040" Type="http://schemas.openxmlformats.org/officeDocument/2006/relationships/hyperlink" Target="https://www.fangraphs.com/teams/nationals" TargetMode="External"/><Relationship Id="rId1278" Type="http://schemas.openxmlformats.org/officeDocument/2006/relationships/hyperlink" Target="https://www.fangraphs.com/players/wandy-peralta/14295/stats" TargetMode="External"/><Relationship Id="rId1485" Type="http://schemas.openxmlformats.org/officeDocument/2006/relationships/hyperlink" Target="https://www.fangraphs.com/teams/mets" TargetMode="External"/><Relationship Id="rId1692" Type="http://schemas.openxmlformats.org/officeDocument/2006/relationships/hyperlink" Target="https://www.fangraphs.com/teams/rangers" TargetMode="External"/><Relationship Id="rId2329" Type="http://schemas.openxmlformats.org/officeDocument/2006/relationships/hyperlink" Target="https://www.fangraphs.com/teams/tigers" TargetMode="External"/><Relationship Id="rId2536" Type="http://schemas.openxmlformats.org/officeDocument/2006/relationships/hyperlink" Target="https://www.fangraphs.com/players/zach-brzykcy/27783/stats" TargetMode="External"/><Relationship Id="rId2743" Type="http://schemas.openxmlformats.org/officeDocument/2006/relationships/hyperlink" Target="https://www.fangraphs.com/players/luis-vazquez/23442/stats" TargetMode="External"/><Relationship Id="rId410" Type="http://schemas.openxmlformats.org/officeDocument/2006/relationships/hyperlink" Target="https://www.fangraphs.com/teams/blue-jays" TargetMode="External"/><Relationship Id="rId508" Type="http://schemas.openxmlformats.org/officeDocument/2006/relationships/hyperlink" Target="https://www.fangraphs.com/teams/reds" TargetMode="External"/><Relationship Id="rId715" Type="http://schemas.openxmlformats.org/officeDocument/2006/relationships/hyperlink" Target="https://www.fangraphs.com/teams/athletics" TargetMode="External"/><Relationship Id="rId922" Type="http://schemas.openxmlformats.org/officeDocument/2006/relationships/hyperlink" Target="https://www.fangraphs.com/teams/cardinals" TargetMode="External"/><Relationship Id="rId1138" Type="http://schemas.openxmlformats.org/officeDocument/2006/relationships/hyperlink" Target="https://www.fangraphs.com/players/drew-pomeranz/11426/stats" TargetMode="External"/><Relationship Id="rId1345" Type="http://schemas.openxmlformats.org/officeDocument/2006/relationships/hyperlink" Target="https://www.fangraphs.com/teams/mariners" TargetMode="External"/><Relationship Id="rId1552" Type="http://schemas.openxmlformats.org/officeDocument/2006/relationships/hyperlink" Target="https://www.fangraphs.com/players/angel-zerpa/22717/stats" TargetMode="External"/><Relationship Id="rId1997" Type="http://schemas.openxmlformats.org/officeDocument/2006/relationships/hyperlink" Target="https://www.fangraphs.com/players/xzavion-curry/25595/stats" TargetMode="External"/><Relationship Id="rId2603" Type="http://schemas.openxmlformats.org/officeDocument/2006/relationships/hyperlink" Target="https://www.fangraphs.com/teams/orioles" TargetMode="External"/><Relationship Id="rId1205" Type="http://schemas.openxmlformats.org/officeDocument/2006/relationships/hyperlink" Target="https://www.fangraphs.com/players/tyler-phillips/20629/stats" TargetMode="External"/><Relationship Id="rId1857" Type="http://schemas.openxmlformats.org/officeDocument/2006/relationships/hyperlink" Target="https://www.fangraphs.com/players/austin-barnes/12158/stats" TargetMode="External"/><Relationship Id="rId2810" Type="http://schemas.openxmlformats.org/officeDocument/2006/relationships/hyperlink" Target="https://www.fangraphs.com/teams/astros" TargetMode="External"/><Relationship Id="rId2908" Type="http://schemas.openxmlformats.org/officeDocument/2006/relationships/hyperlink" Target="https://www.fangraphs.com/players/jonah-bride/24703/stats" TargetMode="External"/><Relationship Id="rId51" Type="http://schemas.openxmlformats.org/officeDocument/2006/relationships/hyperlink" Target="https://www.fangraphs.com/players/cristopher-sanchez/20778/stats" TargetMode="External"/><Relationship Id="rId1412" Type="http://schemas.openxmlformats.org/officeDocument/2006/relationships/hyperlink" Target="https://www.fangraphs.com/players/gunnar-hoglund/31318/stats" TargetMode="External"/><Relationship Id="rId1717" Type="http://schemas.openxmlformats.org/officeDocument/2006/relationships/hyperlink" Target="https://www.fangraphs.com/teams/orioles" TargetMode="External"/><Relationship Id="rId1924" Type="http://schemas.openxmlformats.org/officeDocument/2006/relationships/hyperlink" Target="https://www.fangraphs.com/teams/brewers" TargetMode="External"/><Relationship Id="rId298" Type="http://schemas.openxmlformats.org/officeDocument/2006/relationships/hyperlink" Target="https://www.fangraphs.com/teams/pirates" TargetMode="External"/><Relationship Id="rId158" Type="http://schemas.openxmlformats.org/officeDocument/2006/relationships/hyperlink" Target="https://www.fangraphs.com/teams/tigers" TargetMode="External"/><Relationship Id="rId2186" Type="http://schemas.openxmlformats.org/officeDocument/2006/relationships/hyperlink" Target="https://www.fangraphs.com/teams/diamondbacks" TargetMode="External"/><Relationship Id="rId2393" Type="http://schemas.openxmlformats.org/officeDocument/2006/relationships/hyperlink" Target="https://www.fangraphs.com/players/parker-meadows/23800/stats" TargetMode="External"/><Relationship Id="rId2698" Type="http://schemas.openxmlformats.org/officeDocument/2006/relationships/hyperlink" Target="https://www.fangraphs.com/players/stuart-fairchild/20321/stats" TargetMode="External"/><Relationship Id="rId365" Type="http://schemas.openxmlformats.org/officeDocument/2006/relationships/hyperlink" Target="https://www.fangraphs.com/players/brandon-lowe/18882/stats" TargetMode="External"/><Relationship Id="rId572" Type="http://schemas.openxmlformats.org/officeDocument/2006/relationships/hyperlink" Target="https://www.fangraphs.com/teams/yankees" TargetMode="External"/><Relationship Id="rId2046" Type="http://schemas.openxmlformats.org/officeDocument/2006/relationships/hyperlink" Target="https://www.fangraphs.com/players/connor-seabold/19695/stats" TargetMode="External"/><Relationship Id="rId2253" Type="http://schemas.openxmlformats.org/officeDocument/2006/relationships/hyperlink" Target="https://www.fangraphs.com/teams/nationals" TargetMode="External"/><Relationship Id="rId2460" Type="http://schemas.openxmlformats.org/officeDocument/2006/relationships/hyperlink" Target="https://www.fangraphs.com/players/jared-shuster/27472/stats" TargetMode="External"/><Relationship Id="rId225" Type="http://schemas.openxmlformats.org/officeDocument/2006/relationships/hyperlink" Target="https://www.fangraphs.com/players/yainer-diaz/23003/stats" TargetMode="External"/><Relationship Id="rId432" Type="http://schemas.openxmlformats.org/officeDocument/2006/relationships/hyperlink" Target="https://www.fangraphs.com/teams/padres" TargetMode="External"/><Relationship Id="rId877" Type="http://schemas.openxmlformats.org/officeDocument/2006/relationships/hyperlink" Target="https://www.fangraphs.com/players/hyeseong-kim/35322/stats" TargetMode="External"/><Relationship Id="rId1062" Type="http://schemas.openxmlformats.org/officeDocument/2006/relationships/hyperlink" Target="https://www.fangraphs.com/teams/cardinals" TargetMode="External"/><Relationship Id="rId2113" Type="http://schemas.openxmlformats.org/officeDocument/2006/relationships/hyperlink" Target="https://www.fangraphs.com/players/johan-rojas/24336/stats" TargetMode="External"/><Relationship Id="rId2320" Type="http://schemas.openxmlformats.org/officeDocument/2006/relationships/hyperlink" Target="https://www.fangraphs.com/teams/red-sox" TargetMode="External"/><Relationship Id="rId2558" Type="http://schemas.openxmlformats.org/officeDocument/2006/relationships/hyperlink" Target="https://www.fangraphs.com/teams/rangers" TargetMode="External"/><Relationship Id="rId2765" Type="http://schemas.openxmlformats.org/officeDocument/2006/relationships/hyperlink" Target="https://www.fangraphs.com/players/logan-davidson/25844/stats" TargetMode="External"/><Relationship Id="rId737" Type="http://schemas.openxmlformats.org/officeDocument/2006/relationships/hyperlink" Target="https://www.fangraphs.com/teams/diamondbacks" TargetMode="External"/><Relationship Id="rId944" Type="http://schemas.openxmlformats.org/officeDocument/2006/relationships/hyperlink" Target="https://www.fangraphs.com/teams/royals" TargetMode="External"/><Relationship Id="rId1367" Type="http://schemas.openxmlformats.org/officeDocument/2006/relationships/hyperlink" Target="https://www.fangraphs.com/players/grant-anderson/20546/stats" TargetMode="External"/><Relationship Id="rId1574" Type="http://schemas.openxmlformats.org/officeDocument/2006/relationships/hyperlink" Target="https://www.fangraphs.com/teams/reds" TargetMode="External"/><Relationship Id="rId1781" Type="http://schemas.openxmlformats.org/officeDocument/2006/relationships/hyperlink" Target="https://www.fangraphs.com/players/brandon-waddell/18347/stats" TargetMode="External"/><Relationship Id="rId2418" Type="http://schemas.openxmlformats.org/officeDocument/2006/relationships/hyperlink" Target="https://www.fangraphs.com/players/andre-pallante/26108/stats" TargetMode="External"/><Relationship Id="rId2625" Type="http://schemas.openxmlformats.org/officeDocument/2006/relationships/hyperlink" Target="https://www.fangraphs.com/teams/twins" TargetMode="External"/><Relationship Id="rId2832" Type="http://schemas.openxmlformats.org/officeDocument/2006/relationships/hyperlink" Target="https://www.fangraphs.com/players/chad-stevens/29614/stats" TargetMode="External"/><Relationship Id="rId73" Type="http://schemas.openxmlformats.org/officeDocument/2006/relationships/hyperlink" Target="https://www.fangraphs.com/players/hunter-brown/25880/stats" TargetMode="External"/><Relationship Id="rId804" Type="http://schemas.openxmlformats.org/officeDocument/2006/relationships/hyperlink" Target="https://www.fangraphs.com/players/alexis-diaz/21132/stats" TargetMode="External"/><Relationship Id="rId1227" Type="http://schemas.openxmlformats.org/officeDocument/2006/relationships/hyperlink" Target="https://www.fangraphs.com/teams/blue-jays" TargetMode="External"/><Relationship Id="rId1434" Type="http://schemas.openxmlformats.org/officeDocument/2006/relationships/hyperlink" Target="https://www.fangraphs.com/players/miguel-rojas/7802/stats" TargetMode="External"/><Relationship Id="rId1641" Type="http://schemas.openxmlformats.org/officeDocument/2006/relationships/hyperlink" Target="https://www.fangraphs.com/teams/mets" TargetMode="External"/><Relationship Id="rId1879" Type="http://schemas.openxmlformats.org/officeDocument/2006/relationships/hyperlink" Target="https://www.fangraphs.com/players/trent-thornton/17948/stats" TargetMode="External"/><Relationship Id="rId1501" Type="http://schemas.openxmlformats.org/officeDocument/2006/relationships/hyperlink" Target="https://www.fangraphs.com/teams/yankees" TargetMode="External"/><Relationship Id="rId1739" Type="http://schemas.openxmlformats.org/officeDocument/2006/relationships/hyperlink" Target="https://www.fangraphs.com/teams/braves" TargetMode="External"/><Relationship Id="rId1946" Type="http://schemas.openxmlformats.org/officeDocument/2006/relationships/hyperlink" Target="https://www.fangraphs.com/teams/dodgers" TargetMode="External"/><Relationship Id="rId1806" Type="http://schemas.openxmlformats.org/officeDocument/2006/relationships/hyperlink" Target="https://www.fangraphs.com/teams/angels" TargetMode="External"/><Relationship Id="rId387" Type="http://schemas.openxmlformats.org/officeDocument/2006/relationships/hyperlink" Target="https://www.fangraphs.com/players/cade-horton/31872/stats" TargetMode="External"/><Relationship Id="rId594" Type="http://schemas.openxmlformats.org/officeDocument/2006/relationships/hyperlink" Target="https://www.fangraphs.com/teams/twins" TargetMode="External"/><Relationship Id="rId2068" Type="http://schemas.openxmlformats.org/officeDocument/2006/relationships/hyperlink" Target="https://www.fangraphs.com/players/max-lazar/23426/stats" TargetMode="External"/><Relationship Id="rId2275" Type="http://schemas.openxmlformats.org/officeDocument/2006/relationships/hyperlink" Target="https://www.fangraphs.com/players/ryan-johnson/35325/stats" TargetMode="External"/><Relationship Id="rId247" Type="http://schemas.openxmlformats.org/officeDocument/2006/relationships/hyperlink" Target="https://www.fangraphs.com/players/jacob-misiorowski/31623/stats" TargetMode="External"/><Relationship Id="rId899" Type="http://schemas.openxmlformats.org/officeDocument/2006/relationships/hyperlink" Target="https://www.fangraphs.com/players/jared-triolo/25807/stats" TargetMode="External"/><Relationship Id="rId1084" Type="http://schemas.openxmlformats.org/officeDocument/2006/relationships/hyperlink" Target="https://www.fangraphs.com/teams/tigers" TargetMode="External"/><Relationship Id="rId2482" Type="http://schemas.openxmlformats.org/officeDocument/2006/relationships/hyperlink" Target="https://www.fangraphs.com/players/donovan-solano/8623/stats" TargetMode="External"/><Relationship Id="rId2787" Type="http://schemas.openxmlformats.org/officeDocument/2006/relationships/hyperlink" Target="https://www.fangraphs.com/teams/cubs" TargetMode="External"/><Relationship Id="rId107" Type="http://schemas.openxmlformats.org/officeDocument/2006/relationships/hyperlink" Target="https://www.fangraphs.com/players/max-fried/13743/stats" TargetMode="External"/><Relationship Id="rId454" Type="http://schemas.openxmlformats.org/officeDocument/2006/relationships/hyperlink" Target="https://www.fangraphs.com/teams/mariners" TargetMode="External"/><Relationship Id="rId661" Type="http://schemas.openxmlformats.org/officeDocument/2006/relationships/hyperlink" Target="https://www.fangraphs.com/players/grant-taylor/33927/stats" TargetMode="External"/><Relationship Id="rId759" Type="http://schemas.openxmlformats.org/officeDocument/2006/relationships/hyperlink" Target="https://www.fangraphs.com/teams/yankees" TargetMode="External"/><Relationship Id="rId966" Type="http://schemas.openxmlformats.org/officeDocument/2006/relationships/hyperlink" Target="https://www.fangraphs.com/players/stephen-kolek/21487/stats" TargetMode="External"/><Relationship Id="rId1291" Type="http://schemas.openxmlformats.org/officeDocument/2006/relationships/hyperlink" Target="https://www.fangraphs.com/players/mitch-farris/33628/stats" TargetMode="External"/><Relationship Id="rId1389" Type="http://schemas.openxmlformats.org/officeDocument/2006/relationships/hyperlink" Target="https://www.fangraphs.com/teams/athletics" TargetMode="External"/><Relationship Id="rId1596" Type="http://schemas.openxmlformats.org/officeDocument/2006/relationships/hyperlink" Target="https://www.fangraphs.com/players/jesus-tinoco/16300/stats" TargetMode="External"/><Relationship Id="rId2135" Type="http://schemas.openxmlformats.org/officeDocument/2006/relationships/hyperlink" Target="https://www.fangraphs.com/teams/mets" TargetMode="External"/><Relationship Id="rId2342" Type="http://schemas.openxmlformats.org/officeDocument/2006/relationships/hyperlink" Target="https://www.fangraphs.com/players/matt-bowman/13528/stats" TargetMode="External"/><Relationship Id="rId2647" Type="http://schemas.openxmlformats.org/officeDocument/2006/relationships/hyperlink" Target="https://www.fangraphs.com/players/jared-young/20404/stats" TargetMode="External"/><Relationship Id="rId314" Type="http://schemas.openxmlformats.org/officeDocument/2006/relationships/hyperlink" Target="https://www.fangraphs.com/teams/blue-jays" TargetMode="External"/><Relationship Id="rId521" Type="http://schemas.openxmlformats.org/officeDocument/2006/relationships/hyperlink" Target="https://www.fangraphs.com/players/joey-cantillo/23335/stats" TargetMode="External"/><Relationship Id="rId619" Type="http://schemas.openxmlformats.org/officeDocument/2006/relationships/hyperlink" Target="https://www.fangraphs.com/players/troy-melton/31807/stats" TargetMode="External"/><Relationship Id="rId1151" Type="http://schemas.openxmlformats.org/officeDocument/2006/relationships/hyperlink" Target="https://www.fangraphs.com/teams/brewers" TargetMode="External"/><Relationship Id="rId1249" Type="http://schemas.openxmlformats.org/officeDocument/2006/relationships/hyperlink" Target="https://www.fangraphs.com/teams/rangers" TargetMode="External"/><Relationship Id="rId2202" Type="http://schemas.openxmlformats.org/officeDocument/2006/relationships/hyperlink" Target="https://www.fangraphs.com/players/alex-carrillo/26463/stats" TargetMode="External"/><Relationship Id="rId2854" Type="http://schemas.openxmlformats.org/officeDocument/2006/relationships/hyperlink" Target="https://www.fangraphs.com/teams/cubs" TargetMode="External"/><Relationship Id="rId95" Type="http://schemas.openxmlformats.org/officeDocument/2006/relationships/hyperlink" Target="https://www.fangraphs.com/players/ben-rice/29576/stats" TargetMode="External"/><Relationship Id="rId826" Type="http://schemas.openxmlformats.org/officeDocument/2006/relationships/hyperlink" Target="https://www.fangraphs.com/players/ben-joyce/31461/stats" TargetMode="External"/><Relationship Id="rId1011" Type="http://schemas.openxmlformats.org/officeDocument/2006/relationships/hyperlink" Target="https://www.fangraphs.com/teams/white-sox" TargetMode="External"/><Relationship Id="rId1109" Type="http://schemas.openxmlformats.org/officeDocument/2006/relationships/hyperlink" Target="https://www.fangraphs.com/teams/padres" TargetMode="External"/><Relationship Id="rId1456" Type="http://schemas.openxmlformats.org/officeDocument/2006/relationships/hyperlink" Target="https://www.fangraphs.com/players/braxton-fulford/29704/stats" TargetMode="External"/><Relationship Id="rId1663" Type="http://schemas.openxmlformats.org/officeDocument/2006/relationships/hyperlink" Target="https://www.fangraphs.com/teams/rays" TargetMode="External"/><Relationship Id="rId1870" Type="http://schemas.openxmlformats.org/officeDocument/2006/relationships/hyperlink" Target="https://www.fangraphs.com/players/nolan-jones/20529/stats" TargetMode="External"/><Relationship Id="rId1968" Type="http://schemas.openxmlformats.org/officeDocument/2006/relationships/hyperlink" Target="https://www.fangraphs.com/players/ali-sanchez/18551/stats" TargetMode="External"/><Relationship Id="rId2507" Type="http://schemas.openxmlformats.org/officeDocument/2006/relationships/hyperlink" Target="https://www.fangraphs.com/teams/blue-jays" TargetMode="External"/><Relationship Id="rId2714" Type="http://schemas.openxmlformats.org/officeDocument/2006/relationships/hyperlink" Target="https://www.fangraphs.com/teams/cubs" TargetMode="External"/><Relationship Id="rId2921" Type="http://schemas.openxmlformats.org/officeDocument/2006/relationships/hyperlink" Target="https://www.fangraphs.com/players/angel-chivilli/26790/stats" TargetMode="External"/><Relationship Id="rId1316" Type="http://schemas.openxmlformats.org/officeDocument/2006/relationships/hyperlink" Target="https://www.fangraphs.com/teams/dodgers" TargetMode="External"/><Relationship Id="rId1523" Type="http://schemas.openxmlformats.org/officeDocument/2006/relationships/hyperlink" Target="https://www.fangraphs.com/players/ryan-thompson/16647/stats" TargetMode="External"/><Relationship Id="rId1730" Type="http://schemas.openxmlformats.org/officeDocument/2006/relationships/hyperlink" Target="https://www.fangraphs.com/players/connor-wong/19896/stats" TargetMode="External"/><Relationship Id="rId22" Type="http://schemas.openxmlformats.org/officeDocument/2006/relationships/hyperlink" Target="https://www.fangraphs.com/teams/mariners" TargetMode="External"/><Relationship Id="rId1828" Type="http://schemas.openxmlformats.org/officeDocument/2006/relationships/hyperlink" Target="https://www.fangraphs.com/players/joey-wentz/19962/stats" TargetMode="External"/><Relationship Id="rId171" Type="http://schemas.openxmlformats.org/officeDocument/2006/relationships/hyperlink" Target="https://www.fangraphs.com/players/drake-baldwin/31539/stats" TargetMode="External"/><Relationship Id="rId2297" Type="http://schemas.openxmlformats.org/officeDocument/2006/relationships/hyperlink" Target="https://www.fangraphs.com/teams/dodgers" TargetMode="External"/><Relationship Id="rId269" Type="http://schemas.openxmlformats.org/officeDocument/2006/relationships/hyperlink" Target="https://www.fangraphs.com/players/kenley-jansen/3096/stats" TargetMode="External"/><Relationship Id="rId476" Type="http://schemas.openxmlformats.org/officeDocument/2006/relationships/hyperlink" Target="https://www.fangraphs.com/teams/blue-jays" TargetMode="External"/><Relationship Id="rId683" Type="http://schemas.openxmlformats.org/officeDocument/2006/relationships/hyperlink" Target="https://www.fangraphs.com/players/jonah-tong/32157/stats" TargetMode="External"/><Relationship Id="rId890" Type="http://schemas.openxmlformats.org/officeDocument/2006/relationships/hyperlink" Target="https://www.fangraphs.com/teams/athletics" TargetMode="External"/><Relationship Id="rId2157" Type="http://schemas.openxmlformats.org/officeDocument/2006/relationships/hyperlink" Target="https://www.fangraphs.com/teams/cardinals" TargetMode="External"/><Relationship Id="rId2364" Type="http://schemas.openxmlformats.org/officeDocument/2006/relationships/hyperlink" Target="https://www.fangraphs.com/players/kyren-paris/26420/stats" TargetMode="External"/><Relationship Id="rId2571" Type="http://schemas.openxmlformats.org/officeDocument/2006/relationships/hyperlink" Target="https://www.fangraphs.com/teams/dodgers" TargetMode="External"/><Relationship Id="rId129" Type="http://schemas.openxmlformats.org/officeDocument/2006/relationships/hyperlink" Target="https://www.fangraphs.com/players/hunter-goodman/29715/stats" TargetMode="External"/><Relationship Id="rId336" Type="http://schemas.openxmlformats.org/officeDocument/2006/relationships/hyperlink" Target="https://www.fangraphs.com/teams/rays" TargetMode="External"/><Relationship Id="rId543" Type="http://schemas.openxmlformats.org/officeDocument/2006/relationships/hyperlink" Target="https://www.fangraphs.com/players/luis-arraez/18568/stats" TargetMode="External"/><Relationship Id="rId988" Type="http://schemas.openxmlformats.org/officeDocument/2006/relationships/hyperlink" Target="https://www.fangraphs.com/players/sean-newcomb/16943/stats" TargetMode="External"/><Relationship Id="rId1173" Type="http://schemas.openxmlformats.org/officeDocument/2006/relationships/hyperlink" Target="https://www.fangraphs.com/players/brandon-sproat/33850/stats" TargetMode="External"/><Relationship Id="rId1380" Type="http://schemas.openxmlformats.org/officeDocument/2006/relationships/hyperlink" Target="https://www.fangraphs.com/players/frankie-montas/14309/stats" TargetMode="External"/><Relationship Id="rId2017" Type="http://schemas.openxmlformats.org/officeDocument/2006/relationships/hyperlink" Target="https://www.fangraphs.com/players/jake-eder/27590/stats" TargetMode="External"/><Relationship Id="rId2224" Type="http://schemas.openxmlformats.org/officeDocument/2006/relationships/hyperlink" Target="https://www.fangraphs.com/teams/dodgers" TargetMode="External"/><Relationship Id="rId2669" Type="http://schemas.openxmlformats.org/officeDocument/2006/relationships/hyperlink" Target="https://www.fangraphs.com/teams/dodgers" TargetMode="External"/><Relationship Id="rId2876" Type="http://schemas.openxmlformats.org/officeDocument/2006/relationships/hyperlink" Target="https://www.fangraphs.com/players/tirso-ornelas/22566/stats" TargetMode="External"/><Relationship Id="rId403" Type="http://schemas.openxmlformats.org/officeDocument/2006/relationships/hyperlink" Target="https://www.fangraphs.com/players/ezequiel-tovar/24064/stats" TargetMode="External"/><Relationship Id="rId750" Type="http://schemas.openxmlformats.org/officeDocument/2006/relationships/hyperlink" Target="https://www.fangraphs.com/players/nolan-gorman/22263/stats" TargetMode="External"/><Relationship Id="rId848" Type="http://schemas.openxmlformats.org/officeDocument/2006/relationships/hyperlink" Target="https://www.fangraphs.com/teams/athletics" TargetMode="External"/><Relationship Id="rId1033" Type="http://schemas.openxmlformats.org/officeDocument/2006/relationships/hyperlink" Target="https://www.fangraphs.com/players/martin-perez/6902/stats" TargetMode="External"/><Relationship Id="rId1478" Type="http://schemas.openxmlformats.org/officeDocument/2006/relationships/hyperlink" Target="https://www.fangraphs.com/teams/nationals" TargetMode="External"/><Relationship Id="rId1685" Type="http://schemas.openxmlformats.org/officeDocument/2006/relationships/hyperlink" Target="https://www.fangraphs.com/players/chris-paddack/20099/stats" TargetMode="External"/><Relationship Id="rId1892" Type="http://schemas.openxmlformats.org/officeDocument/2006/relationships/hyperlink" Target="https://www.fangraphs.com/players/brett-sullivan/18217/stats" TargetMode="External"/><Relationship Id="rId2431" Type="http://schemas.openxmlformats.org/officeDocument/2006/relationships/hyperlink" Target="https://www.fangraphs.com/players/cal-quantrill/19312/stats" TargetMode="External"/><Relationship Id="rId2529" Type="http://schemas.openxmlformats.org/officeDocument/2006/relationships/hyperlink" Target="https://www.fangraphs.com/teams/white-sox" TargetMode="External"/><Relationship Id="rId2736" Type="http://schemas.openxmlformats.org/officeDocument/2006/relationships/hyperlink" Target="https://www.fangraphs.com/players/nick-maton/21635/stats" TargetMode="External"/><Relationship Id="rId610" Type="http://schemas.openxmlformats.org/officeDocument/2006/relationships/hyperlink" Target="https://www.fangraphs.com/teams/pirates" TargetMode="External"/><Relationship Id="rId708" Type="http://schemas.openxmlformats.org/officeDocument/2006/relationships/hyperlink" Target="https://www.fangraphs.com/teams/rangers" TargetMode="External"/><Relationship Id="rId915" Type="http://schemas.openxmlformats.org/officeDocument/2006/relationships/hyperlink" Target="https://www.fangraphs.com/players/joey-ortiz/25493/stats" TargetMode="External"/><Relationship Id="rId1240" Type="http://schemas.openxmlformats.org/officeDocument/2006/relationships/hyperlink" Target="https://www.fangraphs.com/teams/marlins" TargetMode="External"/><Relationship Id="rId1338" Type="http://schemas.openxmlformats.org/officeDocument/2006/relationships/hyperlink" Target="https://www.fangraphs.com/players/javier-sanoja/28253/stats" TargetMode="External"/><Relationship Id="rId1545" Type="http://schemas.openxmlformats.org/officeDocument/2006/relationships/hyperlink" Target="https://www.fangraphs.com/teams/orioles" TargetMode="External"/><Relationship Id="rId1100" Type="http://schemas.openxmlformats.org/officeDocument/2006/relationships/hyperlink" Target="https://www.fangraphs.com/players/camilo-doval/21992/stats" TargetMode="External"/><Relationship Id="rId1405" Type="http://schemas.openxmlformats.org/officeDocument/2006/relationships/hyperlink" Target="https://www.fangraphs.com/teams/mets" TargetMode="External"/><Relationship Id="rId1752" Type="http://schemas.openxmlformats.org/officeDocument/2006/relationships/hyperlink" Target="https://www.fangraphs.com/players/kevin-herget/15369/stats" TargetMode="External"/><Relationship Id="rId2803" Type="http://schemas.openxmlformats.org/officeDocument/2006/relationships/hyperlink" Target="https://www.fangraphs.com/teams/cubs" TargetMode="External"/><Relationship Id="rId44" Type="http://schemas.openxmlformats.org/officeDocument/2006/relationships/hyperlink" Target="https://www.fangraphs.com/teams/yankees" TargetMode="External"/><Relationship Id="rId1612" Type="http://schemas.openxmlformats.org/officeDocument/2006/relationships/hyperlink" Target="https://www.fangraphs.com/teams/cubs" TargetMode="External"/><Relationship Id="rId1917" Type="http://schemas.openxmlformats.org/officeDocument/2006/relationships/hyperlink" Target="https://www.fangraphs.com/players/chas-mccormick/19599/stats" TargetMode="External"/><Relationship Id="rId193" Type="http://schemas.openxmlformats.org/officeDocument/2006/relationships/hyperlink" Target="https://www.fangraphs.com/players/seiya-suzuki/30116/stats" TargetMode="External"/><Relationship Id="rId498" Type="http://schemas.openxmlformats.org/officeDocument/2006/relationships/hyperlink" Target="https://www.fangraphs.com/teams/tigers" TargetMode="External"/><Relationship Id="rId2081" Type="http://schemas.openxmlformats.org/officeDocument/2006/relationships/hyperlink" Target="https://www.fangraphs.com/teams/giants" TargetMode="External"/><Relationship Id="rId2179" Type="http://schemas.openxmlformats.org/officeDocument/2006/relationships/hyperlink" Target="https://www.fangraphs.com/teams/pirates" TargetMode="External"/><Relationship Id="rId260" Type="http://schemas.openxmlformats.org/officeDocument/2006/relationships/hyperlink" Target="https://www.fangraphs.com/teams/rays" TargetMode="External"/><Relationship Id="rId2386" Type="http://schemas.openxmlformats.org/officeDocument/2006/relationships/hyperlink" Target="https://www.fangraphs.com/teams/tigers" TargetMode="External"/><Relationship Id="rId2593" Type="http://schemas.openxmlformats.org/officeDocument/2006/relationships/hyperlink" Target="https://www.fangraphs.com/teams/rays" TargetMode="External"/><Relationship Id="rId120" Type="http://schemas.openxmlformats.org/officeDocument/2006/relationships/hyperlink" Target="https://www.fangraphs.com/teams/yankees" TargetMode="External"/><Relationship Id="rId358" Type="http://schemas.openxmlformats.org/officeDocument/2006/relationships/hyperlink" Target="https://www.fangraphs.com/teams/cardinals" TargetMode="External"/><Relationship Id="rId565" Type="http://schemas.openxmlformats.org/officeDocument/2006/relationships/hyperlink" Target="https://www.fangraphs.com/players/clayton-beeter/27494/stats" TargetMode="External"/><Relationship Id="rId772" Type="http://schemas.openxmlformats.org/officeDocument/2006/relationships/hyperlink" Target="https://www.fangraphs.com/players/gavin-sheets/19901/stats" TargetMode="External"/><Relationship Id="rId1195" Type="http://schemas.openxmlformats.org/officeDocument/2006/relationships/hyperlink" Target="https://www.fangraphs.com/players/jason-alexander/19666/stats" TargetMode="External"/><Relationship Id="rId2039" Type="http://schemas.openxmlformats.org/officeDocument/2006/relationships/hyperlink" Target="https://www.fangraphs.com/players/gavin-hollowell/25427/stats" TargetMode="External"/><Relationship Id="rId2246" Type="http://schemas.openxmlformats.org/officeDocument/2006/relationships/hyperlink" Target="https://www.fangraphs.com/players/jacob-stallings/13723/stats" TargetMode="External"/><Relationship Id="rId2453" Type="http://schemas.openxmlformats.org/officeDocument/2006/relationships/hyperlink" Target="https://www.fangraphs.com/teams/dodgers" TargetMode="External"/><Relationship Id="rId2660" Type="http://schemas.openxmlformats.org/officeDocument/2006/relationships/hyperlink" Target="https://www.fangraphs.com/teams/pirates" TargetMode="External"/><Relationship Id="rId2898" Type="http://schemas.openxmlformats.org/officeDocument/2006/relationships/hyperlink" Target="https://www.fangraphs.com/teams/white-sox" TargetMode="External"/><Relationship Id="rId218" Type="http://schemas.openxmlformats.org/officeDocument/2006/relationships/hyperlink" Target="https://www.fangraphs.com/teams/cubs" TargetMode="External"/><Relationship Id="rId425" Type="http://schemas.openxmlformats.org/officeDocument/2006/relationships/hyperlink" Target="https://www.fangraphs.com/players/jt-realmuto/11739/stats" TargetMode="External"/><Relationship Id="rId632" Type="http://schemas.openxmlformats.org/officeDocument/2006/relationships/hyperlink" Target="https://www.fangraphs.com/teams/braves" TargetMode="External"/><Relationship Id="rId1055" Type="http://schemas.openxmlformats.org/officeDocument/2006/relationships/hyperlink" Target="https://www.fangraphs.com/players/felix-bautista/20666/stats" TargetMode="External"/><Relationship Id="rId1262" Type="http://schemas.openxmlformats.org/officeDocument/2006/relationships/hyperlink" Target="https://www.fangraphs.com/teams/rays" TargetMode="External"/><Relationship Id="rId2106" Type="http://schemas.openxmlformats.org/officeDocument/2006/relationships/hyperlink" Target="https://www.fangraphs.com/teams/angels" TargetMode="External"/><Relationship Id="rId2313" Type="http://schemas.openxmlformats.org/officeDocument/2006/relationships/hyperlink" Target="https://www.fangraphs.com/players/max-muncy/29779/stats" TargetMode="External"/><Relationship Id="rId2520" Type="http://schemas.openxmlformats.org/officeDocument/2006/relationships/hyperlink" Target="https://www.fangraphs.com/teams/diamondbacks" TargetMode="External"/><Relationship Id="rId2758" Type="http://schemas.openxmlformats.org/officeDocument/2006/relationships/hyperlink" Target="https://www.fangraphs.com/players/jarred-kelenic/22558/stats" TargetMode="External"/><Relationship Id="rId937" Type="http://schemas.openxmlformats.org/officeDocument/2006/relationships/hyperlink" Target="https://www.fangraphs.com/players/hunter-harvey/15507/stats" TargetMode="External"/><Relationship Id="rId1122" Type="http://schemas.openxmlformats.org/officeDocument/2006/relationships/hyperlink" Target="https://www.fangraphs.com/teams/astros" TargetMode="External"/><Relationship Id="rId1567" Type="http://schemas.openxmlformats.org/officeDocument/2006/relationships/hyperlink" Target="https://www.fangraphs.com/players/jackson-kowar/21549/stats" TargetMode="External"/><Relationship Id="rId1774" Type="http://schemas.openxmlformats.org/officeDocument/2006/relationships/hyperlink" Target="https://www.fangraphs.com/teams/diamondbacks" TargetMode="External"/><Relationship Id="rId1981" Type="http://schemas.openxmlformats.org/officeDocument/2006/relationships/hyperlink" Target="https://www.fangraphs.com/teams/rangers" TargetMode="External"/><Relationship Id="rId2618" Type="http://schemas.openxmlformats.org/officeDocument/2006/relationships/hyperlink" Target="https://www.fangraphs.com/players/dashawn-keirsey-jr/24496/stats" TargetMode="External"/><Relationship Id="rId2825" Type="http://schemas.openxmlformats.org/officeDocument/2006/relationships/hyperlink" Target="https://www.fangraphs.com/players/vimael-machin/17684/stats" TargetMode="External"/><Relationship Id="rId66" Type="http://schemas.openxmlformats.org/officeDocument/2006/relationships/hyperlink" Target="https://www.fangraphs.com/teams/nationals" TargetMode="External"/><Relationship Id="rId1427" Type="http://schemas.openxmlformats.org/officeDocument/2006/relationships/hyperlink" Target="https://www.fangraphs.com/teams/phillies" TargetMode="External"/><Relationship Id="rId1634" Type="http://schemas.openxmlformats.org/officeDocument/2006/relationships/hyperlink" Target="https://www.fangraphs.com/teams/tigers" TargetMode="External"/><Relationship Id="rId1841" Type="http://schemas.openxmlformats.org/officeDocument/2006/relationships/hyperlink" Target="https://www.fangraphs.com/teams/rays" TargetMode="External"/><Relationship Id="rId1939" Type="http://schemas.openxmlformats.org/officeDocument/2006/relationships/hyperlink" Target="https://www.fangraphs.com/players/yaramil-hiraldo/25215/stats" TargetMode="External"/><Relationship Id="rId1701" Type="http://schemas.openxmlformats.org/officeDocument/2006/relationships/hyperlink" Target="https://www.fangraphs.com/teams/mets" TargetMode="External"/><Relationship Id="rId282" Type="http://schemas.openxmlformats.org/officeDocument/2006/relationships/hyperlink" Target="https://www.fangraphs.com/teams/guardians" TargetMode="External"/><Relationship Id="rId587" Type="http://schemas.openxmlformats.org/officeDocument/2006/relationships/hyperlink" Target="https://www.fangraphs.com/players/jung-hoo-lee/33824/stats" TargetMode="External"/><Relationship Id="rId2170" Type="http://schemas.openxmlformats.org/officeDocument/2006/relationships/hyperlink" Target="https://www.fangraphs.com/teams/athletics" TargetMode="External"/><Relationship Id="rId2268" Type="http://schemas.openxmlformats.org/officeDocument/2006/relationships/hyperlink" Target="https://www.fangraphs.com/teams/red-sox" TargetMode="External"/><Relationship Id="rId8" Type="http://schemas.openxmlformats.org/officeDocument/2006/relationships/hyperlink" Target="https://www.fangraphs.com/teams/royals" TargetMode="External"/><Relationship Id="rId142" Type="http://schemas.openxmlformats.org/officeDocument/2006/relationships/hyperlink" Target="https://www.fangraphs.com/teams/twins" TargetMode="External"/><Relationship Id="rId447" Type="http://schemas.openxmlformats.org/officeDocument/2006/relationships/hyperlink" Target="https://www.fangraphs.com/players/otto-lopez/19608/stats" TargetMode="External"/><Relationship Id="rId794" Type="http://schemas.openxmlformats.org/officeDocument/2006/relationships/hyperlink" Target="https://www.fangraphs.com/players/brandon-pfaadt/27782/stats" TargetMode="External"/><Relationship Id="rId1077" Type="http://schemas.openxmlformats.org/officeDocument/2006/relationships/hyperlink" Target="https://www.fangraphs.com/players/gavin-lux/19955/stats" TargetMode="External"/><Relationship Id="rId2030" Type="http://schemas.openxmlformats.org/officeDocument/2006/relationships/hyperlink" Target="https://www.fangraphs.com/players/jose-castillo/17169/stats" TargetMode="External"/><Relationship Id="rId2128" Type="http://schemas.openxmlformats.org/officeDocument/2006/relationships/hyperlink" Target="https://www.fangraphs.com/teams/athletics" TargetMode="External"/><Relationship Id="rId2475" Type="http://schemas.openxmlformats.org/officeDocument/2006/relationships/hyperlink" Target="https://www.fangraphs.com/players/dj-lemahieu/9874/stats" TargetMode="External"/><Relationship Id="rId2682" Type="http://schemas.openxmlformats.org/officeDocument/2006/relationships/hyperlink" Target="https://www.fangraphs.com/teams/royals" TargetMode="External"/><Relationship Id="rId654" Type="http://schemas.openxmlformats.org/officeDocument/2006/relationships/hyperlink" Target="https://www.fangraphs.com/teams/white-sox" TargetMode="External"/><Relationship Id="rId861" Type="http://schemas.openxmlformats.org/officeDocument/2006/relationships/hyperlink" Target="https://www.fangraphs.com/players/steven-matz/13361/stats" TargetMode="External"/><Relationship Id="rId959" Type="http://schemas.openxmlformats.org/officeDocument/2006/relationships/hyperlink" Target="https://www.fangraphs.com/teams/yankees" TargetMode="External"/><Relationship Id="rId1284" Type="http://schemas.openxmlformats.org/officeDocument/2006/relationships/hyperlink" Target="https://www.fangraphs.com/players/caleb-ferguson/19349/stats" TargetMode="External"/><Relationship Id="rId1491" Type="http://schemas.openxmlformats.org/officeDocument/2006/relationships/hyperlink" Target="https://www.fangraphs.com/teams/twins" TargetMode="External"/><Relationship Id="rId1589" Type="http://schemas.openxmlformats.org/officeDocument/2006/relationships/hyperlink" Target="https://www.fangraphs.com/players/ryan-burr/17536/stats" TargetMode="External"/><Relationship Id="rId2335" Type="http://schemas.openxmlformats.org/officeDocument/2006/relationships/hyperlink" Target="https://www.fangraphs.com/teams/royals" TargetMode="External"/><Relationship Id="rId2542" Type="http://schemas.openxmlformats.org/officeDocument/2006/relationships/hyperlink" Target="https://www.fangraphs.com/players/ryan-fernandez/24862/stats" TargetMode="External"/><Relationship Id="rId307" Type="http://schemas.openxmlformats.org/officeDocument/2006/relationships/hyperlink" Target="https://www.fangraphs.com/players/ivan-herrera/20599/stats" TargetMode="External"/><Relationship Id="rId514" Type="http://schemas.openxmlformats.org/officeDocument/2006/relationships/hyperlink" Target="https://www.fangraphs.com/teams/diamondbacks" TargetMode="External"/><Relationship Id="rId721" Type="http://schemas.openxmlformats.org/officeDocument/2006/relationships/hyperlink" Target="https://www.fangraphs.com/teams/royals" TargetMode="External"/><Relationship Id="rId1144" Type="http://schemas.openxmlformats.org/officeDocument/2006/relationships/hyperlink" Target="https://www.fangraphs.com/players/austin-wynns/15271/stats" TargetMode="External"/><Relationship Id="rId1351" Type="http://schemas.openxmlformats.org/officeDocument/2006/relationships/hyperlink" Target="https://www.fangraphs.com/teams/blue-jays" TargetMode="External"/><Relationship Id="rId1449" Type="http://schemas.openxmlformats.org/officeDocument/2006/relationships/hyperlink" Target="https://www.fangraphs.com/teams/diamondbacks" TargetMode="External"/><Relationship Id="rId1796" Type="http://schemas.openxmlformats.org/officeDocument/2006/relationships/hyperlink" Target="https://www.fangraphs.com/players/danny-young/18439/stats" TargetMode="External"/><Relationship Id="rId2402" Type="http://schemas.openxmlformats.org/officeDocument/2006/relationships/hyperlink" Target="https://www.fangraphs.com/players/john-brebbia/12777/stats" TargetMode="External"/><Relationship Id="rId2847" Type="http://schemas.openxmlformats.org/officeDocument/2006/relationships/hyperlink" Target="https://www.fangraphs.com/players/akil-baddoo/22168/stats" TargetMode="External"/><Relationship Id="rId88" Type="http://schemas.openxmlformats.org/officeDocument/2006/relationships/hyperlink" Target="https://www.fangraphs.com/teams/rangers" TargetMode="External"/><Relationship Id="rId819" Type="http://schemas.openxmlformats.org/officeDocument/2006/relationships/hyperlink" Target="https://www.fangraphs.com/teams/tigers" TargetMode="External"/><Relationship Id="rId1004" Type="http://schemas.openxmlformats.org/officeDocument/2006/relationships/hyperlink" Target="https://www.fangraphs.com/players/griffin-canning/19867/stats" TargetMode="External"/><Relationship Id="rId1211" Type="http://schemas.openxmlformats.org/officeDocument/2006/relationships/hyperlink" Target="https://www.fangraphs.com/players/eli-white/19346/stats" TargetMode="External"/><Relationship Id="rId1656" Type="http://schemas.openxmlformats.org/officeDocument/2006/relationships/hyperlink" Target="https://www.fangraphs.com/players/tristan-beck/21584/stats" TargetMode="External"/><Relationship Id="rId1863" Type="http://schemas.openxmlformats.org/officeDocument/2006/relationships/hyperlink" Target="https://www.fangraphs.com/players/leo-rivas/21009/stats" TargetMode="External"/><Relationship Id="rId2707" Type="http://schemas.openxmlformats.org/officeDocument/2006/relationships/hyperlink" Target="https://www.fangraphs.com/players/dairon-blanco/19779/stats" TargetMode="External"/><Relationship Id="rId2914" Type="http://schemas.openxmlformats.org/officeDocument/2006/relationships/hyperlink" Target="https://www.fangraphs.com/teams/rockies" TargetMode="External"/><Relationship Id="rId1309" Type="http://schemas.openxmlformats.org/officeDocument/2006/relationships/hyperlink" Target="https://www.fangraphs.com/players/chase-shugart/21544/stats" TargetMode="External"/><Relationship Id="rId1516" Type="http://schemas.openxmlformats.org/officeDocument/2006/relationships/hyperlink" Target="https://www.fangraphs.com/players/hoby-milner/13346/stats" TargetMode="External"/><Relationship Id="rId1723" Type="http://schemas.openxmlformats.org/officeDocument/2006/relationships/hyperlink" Target="https://www.fangraphs.com/teams/braves" TargetMode="External"/><Relationship Id="rId1930" Type="http://schemas.openxmlformats.org/officeDocument/2006/relationships/hyperlink" Target="https://www.fangraphs.com/players/caleb-freeman/26255/stats" TargetMode="External"/><Relationship Id="rId15" Type="http://schemas.openxmlformats.org/officeDocument/2006/relationships/hyperlink" Target="https://www.fangraphs.com/players/tarik-skubal/22267/stats" TargetMode="External"/><Relationship Id="rId2192" Type="http://schemas.openxmlformats.org/officeDocument/2006/relationships/hyperlink" Target="https://www.fangraphs.com/teams/tigers" TargetMode="External"/><Relationship Id="rId164" Type="http://schemas.openxmlformats.org/officeDocument/2006/relationships/hyperlink" Target="https://www.fangraphs.com/teams/orioles" TargetMode="External"/><Relationship Id="rId371" Type="http://schemas.openxmlformats.org/officeDocument/2006/relationships/hyperlink" Target="https://www.fangraphs.com/players/jacob-wilson/33266/stats" TargetMode="External"/><Relationship Id="rId2052" Type="http://schemas.openxmlformats.org/officeDocument/2006/relationships/hyperlink" Target="https://www.fangraphs.com/teams/royals" TargetMode="External"/><Relationship Id="rId2497" Type="http://schemas.openxmlformats.org/officeDocument/2006/relationships/hyperlink" Target="https://www.fangraphs.com/teams/braves" TargetMode="External"/><Relationship Id="rId469" Type="http://schemas.openxmlformats.org/officeDocument/2006/relationships/hyperlink" Target="https://www.fangraphs.com/players/xander-bogaerts/12161/stats" TargetMode="External"/><Relationship Id="rId676" Type="http://schemas.openxmlformats.org/officeDocument/2006/relationships/hyperlink" Target="https://www.fangraphs.com/teams/tigers" TargetMode="External"/><Relationship Id="rId883" Type="http://schemas.openxmlformats.org/officeDocument/2006/relationships/hyperlink" Target="https://www.fangraphs.com/players/yoan-moncada/17232/stats" TargetMode="External"/><Relationship Id="rId1099" Type="http://schemas.openxmlformats.org/officeDocument/2006/relationships/hyperlink" Target="https://www.fangraphs.com/teams/marlins" TargetMode="External"/><Relationship Id="rId2357" Type="http://schemas.openxmlformats.org/officeDocument/2006/relationships/hyperlink" Target="https://www.fangraphs.com/players/robert-hassell-iii/27482/stats" TargetMode="External"/><Relationship Id="rId2564" Type="http://schemas.openxmlformats.org/officeDocument/2006/relationships/hyperlink" Target="https://www.fangraphs.com/players/joey-wiemer/27690/stats" TargetMode="External"/><Relationship Id="rId231" Type="http://schemas.openxmlformats.org/officeDocument/2006/relationships/hyperlink" Target="https://www.fangraphs.com/players/jose-altuve/5417/stats" TargetMode="External"/><Relationship Id="rId329" Type="http://schemas.openxmlformats.org/officeDocument/2006/relationships/hyperlink" Target="https://www.fangraphs.com/players/matt-chapman/16505/stats" TargetMode="External"/><Relationship Id="rId536" Type="http://schemas.openxmlformats.org/officeDocument/2006/relationships/hyperlink" Target="https://www.fangraphs.com/teams/tigers" TargetMode="External"/><Relationship Id="rId1166" Type="http://schemas.openxmlformats.org/officeDocument/2006/relationships/hyperlink" Target="https://www.fangraphs.com/teams/athletics" TargetMode="External"/><Relationship Id="rId1373" Type="http://schemas.openxmlformats.org/officeDocument/2006/relationships/hyperlink" Target="https://www.fangraphs.com/players/max-kranick/22175/stats" TargetMode="External"/><Relationship Id="rId2217" Type="http://schemas.openxmlformats.org/officeDocument/2006/relationships/hyperlink" Target="https://www.fangraphs.com/players/amed-rosario/15518/stats" TargetMode="External"/><Relationship Id="rId2771" Type="http://schemas.openxmlformats.org/officeDocument/2006/relationships/hyperlink" Target="https://www.fangraphs.com/players/jack-winkler/29830/stats" TargetMode="External"/><Relationship Id="rId2869" Type="http://schemas.openxmlformats.org/officeDocument/2006/relationships/hyperlink" Target="https://www.fangraphs.com/teams/giants" TargetMode="External"/><Relationship Id="rId743" Type="http://schemas.openxmlformats.org/officeDocument/2006/relationships/hyperlink" Target="https://www.fangraphs.com/teams/guardians" TargetMode="External"/><Relationship Id="rId950" Type="http://schemas.openxmlformats.org/officeDocument/2006/relationships/hyperlink" Target="https://www.fangraphs.com/players/jack-dreyer/30249/stats" TargetMode="External"/><Relationship Id="rId1026" Type="http://schemas.openxmlformats.org/officeDocument/2006/relationships/hyperlink" Target="https://www.fangraphs.com/players/bryan-king/25890/stats" TargetMode="External"/><Relationship Id="rId1580" Type="http://schemas.openxmlformats.org/officeDocument/2006/relationships/hyperlink" Target="https://www.fangraphs.com/teams/padres" TargetMode="External"/><Relationship Id="rId1678" Type="http://schemas.openxmlformats.org/officeDocument/2006/relationships/hyperlink" Target="https://www.fangraphs.com/teams/orioles" TargetMode="External"/><Relationship Id="rId1885" Type="http://schemas.openxmlformats.org/officeDocument/2006/relationships/hyperlink" Target="https://www.fangraphs.com/players/michael-petersen/20827/stats" TargetMode="External"/><Relationship Id="rId2424" Type="http://schemas.openxmlformats.org/officeDocument/2006/relationships/hyperlink" Target="https://www.fangraphs.com/players/luarbert-arias/23811/stats" TargetMode="External"/><Relationship Id="rId2631" Type="http://schemas.openxmlformats.org/officeDocument/2006/relationships/hyperlink" Target="https://www.fangraphs.com/teams/cubs" TargetMode="External"/><Relationship Id="rId2729" Type="http://schemas.openxmlformats.org/officeDocument/2006/relationships/hyperlink" Target="https://www.fangraphs.com/players/manuel-margot/14712/stats" TargetMode="External"/><Relationship Id="rId603" Type="http://schemas.openxmlformats.org/officeDocument/2006/relationships/hyperlink" Target="https://www.fangraphs.com/players/harrison-bader/18030/stats" TargetMode="External"/><Relationship Id="rId810" Type="http://schemas.openxmlformats.org/officeDocument/2006/relationships/hyperlink" Target="https://www.fangraphs.com/players/tanner-scott/17586/stats" TargetMode="External"/><Relationship Id="rId908" Type="http://schemas.openxmlformats.org/officeDocument/2006/relationships/hyperlink" Target="https://www.fangraphs.com/teams/blue-jays" TargetMode="External"/><Relationship Id="rId1233" Type="http://schemas.openxmlformats.org/officeDocument/2006/relationships/hyperlink" Target="https://www.fangraphs.com/players/fernando-cruz/7048/stats" TargetMode="External"/><Relationship Id="rId1440" Type="http://schemas.openxmlformats.org/officeDocument/2006/relationships/hyperlink" Target="https://www.fangraphs.com/players/walker-buehler/19374/stats" TargetMode="External"/><Relationship Id="rId1538" Type="http://schemas.openxmlformats.org/officeDocument/2006/relationships/hyperlink" Target="https://www.fangraphs.com/players/cody-laweryson/26429/stats" TargetMode="External"/><Relationship Id="rId1300" Type="http://schemas.openxmlformats.org/officeDocument/2006/relationships/hyperlink" Target="https://www.fangraphs.com/teams/white-sox" TargetMode="External"/><Relationship Id="rId1745" Type="http://schemas.openxmlformats.org/officeDocument/2006/relationships/hyperlink" Target="https://www.fangraphs.com/players/anthony-seigler/23802/stats" TargetMode="External"/><Relationship Id="rId1952" Type="http://schemas.openxmlformats.org/officeDocument/2006/relationships/hyperlink" Target="https://www.fangraphs.com/teams/astros" TargetMode="External"/><Relationship Id="rId37" Type="http://schemas.openxmlformats.org/officeDocument/2006/relationships/hyperlink" Target="https://www.fangraphs.com/players/vladimir-guerrero-jr/19611/stats" TargetMode="External"/><Relationship Id="rId1605" Type="http://schemas.openxmlformats.org/officeDocument/2006/relationships/hyperlink" Target="https://www.fangraphs.com/players/tommy-kahnle/11384/stats" TargetMode="External"/><Relationship Id="rId1812" Type="http://schemas.openxmlformats.org/officeDocument/2006/relationships/hyperlink" Target="https://www.fangraphs.com/teams/tigers" TargetMode="External"/><Relationship Id="rId186" Type="http://schemas.openxmlformats.org/officeDocument/2006/relationships/hyperlink" Target="https://www.fangraphs.com/teams/royals" TargetMode="External"/><Relationship Id="rId393" Type="http://schemas.openxmlformats.org/officeDocument/2006/relationships/hyperlink" Target="https://www.fangraphs.com/players/shane-baz/22264/stats" TargetMode="External"/><Relationship Id="rId2074" Type="http://schemas.openxmlformats.org/officeDocument/2006/relationships/hyperlink" Target="https://www.fangraphs.com/players/vidal-brujan/20536/stats" TargetMode="External"/><Relationship Id="rId2281" Type="http://schemas.openxmlformats.org/officeDocument/2006/relationships/hyperlink" Target="https://www.fangraphs.com/players/alexander-canario/22842/stats" TargetMode="External"/><Relationship Id="rId253" Type="http://schemas.openxmlformats.org/officeDocument/2006/relationships/hyperlink" Target="https://www.fangraphs.com/players/christian-yelich/11477/stats" TargetMode="External"/><Relationship Id="rId460" Type="http://schemas.openxmlformats.org/officeDocument/2006/relationships/hyperlink" Target="https://www.fangraphs.com/teams/red-sox" TargetMode="External"/><Relationship Id="rId698" Type="http://schemas.openxmlformats.org/officeDocument/2006/relationships/hyperlink" Target="https://www.fangraphs.com/teams/dodgers" TargetMode="External"/><Relationship Id="rId1090" Type="http://schemas.openxmlformats.org/officeDocument/2006/relationships/hyperlink" Target="https://www.fangraphs.com/teams/braves" TargetMode="External"/><Relationship Id="rId2141" Type="http://schemas.openxmlformats.org/officeDocument/2006/relationships/hyperlink" Target="https://www.fangraphs.com/teams/diamondbacks" TargetMode="External"/><Relationship Id="rId2379" Type="http://schemas.openxmlformats.org/officeDocument/2006/relationships/hyperlink" Target="https://www.fangraphs.com/teams/brewers" TargetMode="External"/><Relationship Id="rId2586" Type="http://schemas.openxmlformats.org/officeDocument/2006/relationships/hyperlink" Target="https://www.fangraphs.com/players/anthony-molina/26952/stats" TargetMode="External"/><Relationship Id="rId2793" Type="http://schemas.openxmlformats.org/officeDocument/2006/relationships/hyperlink" Target="https://www.fangraphs.com/teams/angels" TargetMode="External"/><Relationship Id="rId113" Type="http://schemas.openxmlformats.org/officeDocument/2006/relationships/hyperlink" Target="https://www.fangraphs.com/players/rafael-devers/17350/stats" TargetMode="External"/><Relationship Id="rId320" Type="http://schemas.openxmlformats.org/officeDocument/2006/relationships/hyperlink" Target="https://www.fangraphs.com/teams/nationals" TargetMode="External"/><Relationship Id="rId558" Type="http://schemas.openxmlformats.org/officeDocument/2006/relationships/hyperlink" Target="https://www.fangraphs.com/teams/twins" TargetMode="External"/><Relationship Id="rId765" Type="http://schemas.openxmlformats.org/officeDocument/2006/relationships/hyperlink" Target="https://www.fangraphs.com/teams/cardinals" TargetMode="External"/><Relationship Id="rId972" Type="http://schemas.openxmlformats.org/officeDocument/2006/relationships/hyperlink" Target="https://www.fangraphs.com/players/brad-keller/15734/stats" TargetMode="External"/><Relationship Id="rId1188" Type="http://schemas.openxmlformats.org/officeDocument/2006/relationships/hyperlink" Target="https://www.fangraphs.com/teams/reds" TargetMode="External"/><Relationship Id="rId1395" Type="http://schemas.openxmlformats.org/officeDocument/2006/relationships/hyperlink" Target="https://www.fangraphs.com/teams/dodgers" TargetMode="External"/><Relationship Id="rId2001" Type="http://schemas.openxmlformats.org/officeDocument/2006/relationships/hyperlink" Target="https://www.fangraphs.com/players/collin-snider/23307/stats" TargetMode="External"/><Relationship Id="rId2239" Type="http://schemas.openxmlformats.org/officeDocument/2006/relationships/hyperlink" Target="https://www.fangraphs.com/players/scott-mcgough/12056/stats" TargetMode="External"/><Relationship Id="rId2446" Type="http://schemas.openxmlformats.org/officeDocument/2006/relationships/hyperlink" Target="https://www.fangraphs.com/teams/nationals" TargetMode="External"/><Relationship Id="rId2653" Type="http://schemas.openxmlformats.org/officeDocument/2006/relationships/hyperlink" Target="https://www.fangraphs.com/teams/marlins" TargetMode="External"/><Relationship Id="rId2860" Type="http://schemas.openxmlformats.org/officeDocument/2006/relationships/hyperlink" Target="https://www.fangraphs.com/players/nick-solak/19294/stats" TargetMode="External"/><Relationship Id="rId418" Type="http://schemas.openxmlformats.org/officeDocument/2006/relationships/hyperlink" Target="https://www.fangraphs.com/teams/royals" TargetMode="External"/><Relationship Id="rId625" Type="http://schemas.openxmlformats.org/officeDocument/2006/relationships/hyperlink" Target="https://www.fangraphs.com/players/brayan-bello/23920/stats" TargetMode="External"/><Relationship Id="rId832" Type="http://schemas.openxmlformats.org/officeDocument/2006/relationships/hyperlink" Target="https://www.fangraphs.com/players/zack-littell/15823/stats" TargetMode="External"/><Relationship Id="rId1048" Type="http://schemas.openxmlformats.org/officeDocument/2006/relationships/hyperlink" Target="https://www.fangraphs.com/teams/royals" TargetMode="External"/><Relationship Id="rId1255" Type="http://schemas.openxmlformats.org/officeDocument/2006/relationships/hyperlink" Target="https://www.fangraphs.com/teams/yankees" TargetMode="External"/><Relationship Id="rId1462" Type="http://schemas.openxmlformats.org/officeDocument/2006/relationships/hyperlink" Target="https://www.fangraphs.com/players/steven-wilson/20353/stats" TargetMode="External"/><Relationship Id="rId2306" Type="http://schemas.openxmlformats.org/officeDocument/2006/relationships/hyperlink" Target="https://www.fangraphs.com/teams/dodgers" TargetMode="External"/><Relationship Id="rId2513" Type="http://schemas.openxmlformats.org/officeDocument/2006/relationships/hyperlink" Target="https://www.fangraphs.com/players/alejandro-osuna/27915/stats" TargetMode="External"/><Relationship Id="rId1115" Type="http://schemas.openxmlformats.org/officeDocument/2006/relationships/hyperlink" Target="https://www.fangraphs.com/teams/guardians" TargetMode="External"/><Relationship Id="rId1322" Type="http://schemas.openxmlformats.org/officeDocument/2006/relationships/hyperlink" Target="https://www.fangraphs.com/players/brennan-bernardino/16835/stats" TargetMode="External"/><Relationship Id="rId1767" Type="http://schemas.openxmlformats.org/officeDocument/2006/relationships/hyperlink" Target="https://www.fangraphs.com/players/nate-eaton/25055/stats" TargetMode="External"/><Relationship Id="rId1974" Type="http://schemas.openxmlformats.org/officeDocument/2006/relationships/hyperlink" Target="https://www.fangraphs.com/players/carlos-carrasco/6632/stats" TargetMode="External"/><Relationship Id="rId2720" Type="http://schemas.openxmlformats.org/officeDocument/2006/relationships/hyperlink" Target="https://www.fangraphs.com/teams/mariners" TargetMode="External"/><Relationship Id="rId2818" Type="http://schemas.openxmlformats.org/officeDocument/2006/relationships/hyperlink" Target="https://www.fangraphs.com/teams/brewers" TargetMode="External"/><Relationship Id="rId59" Type="http://schemas.openxmlformats.org/officeDocument/2006/relationships/hyperlink" Target="https://www.fangraphs.com/players/mason-miller/31757/stats" TargetMode="External"/><Relationship Id="rId1627" Type="http://schemas.openxmlformats.org/officeDocument/2006/relationships/hyperlink" Target="https://www.fangraphs.com/players/ezequiel-duran/23733/stats" TargetMode="External"/><Relationship Id="rId1834" Type="http://schemas.openxmlformats.org/officeDocument/2006/relationships/hyperlink" Target="https://www.fangraphs.com/players/ben-williamson/33197/stats" TargetMode="External"/><Relationship Id="rId2096" Type="http://schemas.openxmlformats.org/officeDocument/2006/relationships/hyperlink" Target="https://www.fangraphs.com/players/jimmy-crooks/31354/stats" TargetMode="External"/><Relationship Id="rId1901" Type="http://schemas.openxmlformats.org/officeDocument/2006/relationships/hyperlink" Target="https://www.fangraphs.com/teams/red-sox" TargetMode="External"/><Relationship Id="rId275" Type="http://schemas.openxmlformats.org/officeDocument/2006/relationships/hyperlink" Target="https://www.fangraphs.com/players/teoscar-hernandez/13066/stats" TargetMode="External"/><Relationship Id="rId482" Type="http://schemas.openxmlformats.org/officeDocument/2006/relationships/hyperlink" Target="https://www.fangraphs.com/teams/mets" TargetMode="External"/><Relationship Id="rId2163" Type="http://schemas.openxmlformats.org/officeDocument/2006/relationships/hyperlink" Target="https://www.fangraphs.com/teams/mariners" TargetMode="External"/><Relationship Id="rId2370" Type="http://schemas.openxmlformats.org/officeDocument/2006/relationships/hyperlink" Target="https://www.fangraphs.com/players/drew-waters/20505/stats" TargetMode="External"/><Relationship Id="rId135" Type="http://schemas.openxmlformats.org/officeDocument/2006/relationships/hyperlink" Target="https://www.fangraphs.com/players/george-kirby/25436/stats" TargetMode="External"/><Relationship Id="rId342" Type="http://schemas.openxmlformats.org/officeDocument/2006/relationships/hyperlink" Target="https://www.fangraphs.com/teams/angels" TargetMode="External"/><Relationship Id="rId787" Type="http://schemas.openxmlformats.org/officeDocument/2006/relationships/hyperlink" Target="https://www.fangraphs.com/teams/orioles" TargetMode="External"/><Relationship Id="rId994" Type="http://schemas.openxmlformats.org/officeDocument/2006/relationships/hyperlink" Target="https://www.fangraphs.com/players/randy-rodriguez/23974/stats" TargetMode="External"/><Relationship Id="rId2023" Type="http://schemas.openxmlformats.org/officeDocument/2006/relationships/hyperlink" Target="https://www.fangraphs.com/players/kyle-backhus/29615/stats" TargetMode="External"/><Relationship Id="rId2230" Type="http://schemas.openxmlformats.org/officeDocument/2006/relationships/hyperlink" Target="https://www.fangraphs.com/players/luis-torrens/15905/stats" TargetMode="External"/><Relationship Id="rId2468" Type="http://schemas.openxmlformats.org/officeDocument/2006/relationships/hyperlink" Target="https://www.fangraphs.com/teams/athletics" TargetMode="External"/><Relationship Id="rId2675" Type="http://schemas.openxmlformats.org/officeDocument/2006/relationships/hyperlink" Target="https://www.fangraphs.com/teams/rays" TargetMode="External"/><Relationship Id="rId2882" Type="http://schemas.openxmlformats.org/officeDocument/2006/relationships/hyperlink" Target="https://www.fangraphs.com/players/jd-davis/16219/stats" TargetMode="External"/><Relationship Id="rId202" Type="http://schemas.openxmlformats.org/officeDocument/2006/relationships/hyperlink" Target="https://www.fangraphs.com/teams/mets" TargetMode="External"/><Relationship Id="rId647" Type="http://schemas.openxmlformats.org/officeDocument/2006/relationships/hyperlink" Target="https://www.fangraphs.com/players/josh-jung/26299/stats" TargetMode="External"/><Relationship Id="rId854" Type="http://schemas.openxmlformats.org/officeDocument/2006/relationships/hyperlink" Target="https://www.fangraphs.com/teams/blue-jays" TargetMode="External"/><Relationship Id="rId1277" Type="http://schemas.openxmlformats.org/officeDocument/2006/relationships/hyperlink" Target="https://www.fangraphs.com/teams/blue-jays" TargetMode="External"/><Relationship Id="rId1484" Type="http://schemas.openxmlformats.org/officeDocument/2006/relationships/hyperlink" Target="https://www.fangraphs.com/players/austin-warren/24937/stats" TargetMode="External"/><Relationship Id="rId1691" Type="http://schemas.openxmlformats.org/officeDocument/2006/relationships/hyperlink" Target="https://www.fangraphs.com/players/sam-haggerty/18054/stats" TargetMode="External"/><Relationship Id="rId2328" Type="http://schemas.openxmlformats.org/officeDocument/2006/relationships/hyperlink" Target="https://www.fangraphs.com/players/tanner-rainey/17610/stats" TargetMode="External"/><Relationship Id="rId2535" Type="http://schemas.openxmlformats.org/officeDocument/2006/relationships/hyperlink" Target="https://www.fangraphs.com/teams/phillies" TargetMode="External"/><Relationship Id="rId2742" Type="http://schemas.openxmlformats.org/officeDocument/2006/relationships/hyperlink" Target="https://www.fangraphs.com/teams/angels" TargetMode="External"/><Relationship Id="rId507" Type="http://schemas.openxmlformats.org/officeDocument/2006/relationships/hyperlink" Target="https://www.fangraphs.com/players/tj-friedl/19522/stats" TargetMode="External"/><Relationship Id="rId714" Type="http://schemas.openxmlformats.org/officeDocument/2006/relationships/hyperlink" Target="https://www.fangraphs.com/players/jeff-mcneil/15362/stats" TargetMode="External"/><Relationship Id="rId921" Type="http://schemas.openxmlformats.org/officeDocument/2006/relationships/hyperlink" Target="https://www.fangraphs.com/players/kyle-leahy/24763/stats" TargetMode="External"/><Relationship Id="rId1137" Type="http://schemas.openxmlformats.org/officeDocument/2006/relationships/hyperlink" Target="https://www.fangraphs.com/teams/brewers" TargetMode="External"/><Relationship Id="rId1344" Type="http://schemas.openxmlformats.org/officeDocument/2006/relationships/hyperlink" Target="https://www.fangraphs.com/players/emerson-hancock/27470/stats" TargetMode="External"/><Relationship Id="rId1551" Type="http://schemas.openxmlformats.org/officeDocument/2006/relationships/hyperlink" Target="https://www.fangraphs.com/teams/diamondbacks" TargetMode="External"/><Relationship Id="rId1789" Type="http://schemas.openxmlformats.org/officeDocument/2006/relationships/hyperlink" Target="https://www.fangraphs.com/players/omar-narvaez/13338/stats" TargetMode="External"/><Relationship Id="rId1996" Type="http://schemas.openxmlformats.org/officeDocument/2006/relationships/hyperlink" Target="https://www.fangraphs.com/teams/guardians" TargetMode="External"/><Relationship Id="rId2602" Type="http://schemas.openxmlformats.org/officeDocument/2006/relationships/hyperlink" Target="https://www.fangraphs.com/players/jhonkensy-noel/24257/stats" TargetMode="External"/><Relationship Id="rId50" Type="http://schemas.openxmlformats.org/officeDocument/2006/relationships/hyperlink" Target="https://www.fangraphs.com/teams/orioles" TargetMode="External"/><Relationship Id="rId1204" Type="http://schemas.openxmlformats.org/officeDocument/2006/relationships/hyperlink" Target="https://www.fangraphs.com/teams/diamondbacks" TargetMode="External"/><Relationship Id="rId1411" Type="http://schemas.openxmlformats.org/officeDocument/2006/relationships/hyperlink" Target="https://www.fangraphs.com/teams/guardians" TargetMode="External"/><Relationship Id="rId1649" Type="http://schemas.openxmlformats.org/officeDocument/2006/relationships/hyperlink" Target="https://www.fangraphs.com/teams/diamondbacks" TargetMode="External"/><Relationship Id="rId1856" Type="http://schemas.openxmlformats.org/officeDocument/2006/relationships/hyperlink" Target="https://www.fangraphs.com/teams/mariners" TargetMode="External"/><Relationship Id="rId2907" Type="http://schemas.openxmlformats.org/officeDocument/2006/relationships/hyperlink" Target="https://www.fangraphs.com/teams/giants" TargetMode="External"/><Relationship Id="rId1509" Type="http://schemas.openxmlformats.org/officeDocument/2006/relationships/hyperlink" Target="https://www.fangraphs.com/teams/padres" TargetMode="External"/><Relationship Id="rId1716" Type="http://schemas.openxmlformats.org/officeDocument/2006/relationships/hyperlink" Target="https://www.fangraphs.com/players/blaze-alexander/23789/stats" TargetMode="External"/><Relationship Id="rId1923" Type="http://schemas.openxmlformats.org/officeDocument/2006/relationships/hyperlink" Target="https://www.fangraphs.com/players/reese-mcguire/15674/stats" TargetMode="External"/><Relationship Id="rId297" Type="http://schemas.openxmlformats.org/officeDocument/2006/relationships/hyperlink" Target="https://www.fangraphs.com/players/dennis-santana/17878/stats" TargetMode="External"/><Relationship Id="rId2185" Type="http://schemas.openxmlformats.org/officeDocument/2006/relationships/hyperlink" Target="https://www.fangraphs.com/players/isaiah-campbell/25551/stats" TargetMode="External"/><Relationship Id="rId2392" Type="http://schemas.openxmlformats.org/officeDocument/2006/relationships/hyperlink" Target="https://www.fangraphs.com/teams/angels" TargetMode="External"/><Relationship Id="rId157" Type="http://schemas.openxmlformats.org/officeDocument/2006/relationships/hyperlink" Target="https://www.fangraphs.com/players/riley-greene/25976/stats" TargetMode="External"/><Relationship Id="rId364" Type="http://schemas.openxmlformats.org/officeDocument/2006/relationships/hyperlink" Target="https://www.fangraphs.com/teams/marlins" TargetMode="External"/><Relationship Id="rId2045" Type="http://schemas.openxmlformats.org/officeDocument/2006/relationships/hyperlink" Target="https://www.fangraphs.com/teams/rays" TargetMode="External"/><Relationship Id="rId2697" Type="http://schemas.openxmlformats.org/officeDocument/2006/relationships/hyperlink" Target="https://www.fangraphs.com/players/nick-martini/12005/stats" TargetMode="External"/><Relationship Id="rId571" Type="http://schemas.openxmlformats.org/officeDocument/2006/relationships/hyperlink" Target="https://www.fangraphs.com/players/jasson-dominguez/28080/stats" TargetMode="External"/><Relationship Id="rId669" Type="http://schemas.openxmlformats.org/officeDocument/2006/relationships/hyperlink" Target="https://www.fangraphs.com/players/simeon-woods-richardson/24494/stats" TargetMode="External"/><Relationship Id="rId876" Type="http://schemas.openxmlformats.org/officeDocument/2006/relationships/hyperlink" Target="https://www.fangraphs.com/teams/rangers" TargetMode="External"/><Relationship Id="rId1299" Type="http://schemas.openxmlformats.org/officeDocument/2006/relationships/hyperlink" Target="https://www.fangraphs.com/players/sean-burke/29878/stats" TargetMode="External"/><Relationship Id="rId2252" Type="http://schemas.openxmlformats.org/officeDocument/2006/relationships/hyperlink" Target="https://www.fangraphs.com/players/richard-lovelady/19337/stats" TargetMode="External"/><Relationship Id="rId2557" Type="http://schemas.openxmlformats.org/officeDocument/2006/relationships/hyperlink" Target="https://www.fangraphs.com/players/austin-gomber/16561/stats" TargetMode="External"/><Relationship Id="rId224" Type="http://schemas.openxmlformats.org/officeDocument/2006/relationships/hyperlink" Target="https://www.fangraphs.com/teams/blue-jays" TargetMode="External"/><Relationship Id="rId431" Type="http://schemas.openxmlformats.org/officeDocument/2006/relationships/hyperlink" Target="https://www.fangraphs.com/players/ramon-laureano/17128/stats" TargetMode="External"/><Relationship Id="rId529" Type="http://schemas.openxmlformats.org/officeDocument/2006/relationships/hyperlink" Target="https://www.fangraphs.com/players/carlos-correa/14162/stats" TargetMode="External"/><Relationship Id="rId736" Type="http://schemas.openxmlformats.org/officeDocument/2006/relationships/hyperlink" Target="https://www.fangraphs.com/players/paul-sewald/13892/stats" TargetMode="External"/><Relationship Id="rId1061" Type="http://schemas.openxmlformats.org/officeDocument/2006/relationships/hyperlink" Target="https://www.fangraphs.com/players/matthew-liberatore/22294/stats" TargetMode="External"/><Relationship Id="rId1159" Type="http://schemas.openxmlformats.org/officeDocument/2006/relationships/hyperlink" Target="https://www.fangraphs.com/players/heriberto-hernandez/24878/stats" TargetMode="External"/><Relationship Id="rId1366" Type="http://schemas.openxmlformats.org/officeDocument/2006/relationships/hyperlink" Target="https://www.fangraphs.com/teams/rays" TargetMode="External"/><Relationship Id="rId2112" Type="http://schemas.openxmlformats.org/officeDocument/2006/relationships/hyperlink" Target="https://www.fangraphs.com/teams/brewers" TargetMode="External"/><Relationship Id="rId2417" Type="http://schemas.openxmlformats.org/officeDocument/2006/relationships/hyperlink" Target="https://www.fangraphs.com/teams/rangers" TargetMode="External"/><Relationship Id="rId2764" Type="http://schemas.openxmlformats.org/officeDocument/2006/relationships/hyperlink" Target="https://www.fangraphs.com/teams/tigers" TargetMode="External"/><Relationship Id="rId943" Type="http://schemas.openxmlformats.org/officeDocument/2006/relationships/hyperlink" Target="https://www.fangraphs.com/players/lucas-erceg/19360/stats" TargetMode="External"/><Relationship Id="rId1019" Type="http://schemas.openxmlformats.org/officeDocument/2006/relationships/hyperlink" Target="https://www.fangraphs.com/teams/dodgers" TargetMode="External"/><Relationship Id="rId1573" Type="http://schemas.openxmlformats.org/officeDocument/2006/relationships/hyperlink" Target="https://www.fangraphs.com/players/chase-petty/30170/stats" TargetMode="External"/><Relationship Id="rId1780" Type="http://schemas.openxmlformats.org/officeDocument/2006/relationships/hyperlink" Target="https://www.fangraphs.com/teams/rockies" TargetMode="External"/><Relationship Id="rId1878" Type="http://schemas.openxmlformats.org/officeDocument/2006/relationships/hyperlink" Target="https://www.fangraphs.com/players/andrew-heaney/15423/stats" TargetMode="External"/><Relationship Id="rId2624" Type="http://schemas.openxmlformats.org/officeDocument/2006/relationships/hyperlink" Target="https://www.fangraphs.com/players/alan-roden/31564/stats" TargetMode="External"/><Relationship Id="rId2831" Type="http://schemas.openxmlformats.org/officeDocument/2006/relationships/hyperlink" Target="https://www.fangraphs.com/teams/yankees" TargetMode="External"/><Relationship Id="rId2929" Type="http://schemas.openxmlformats.org/officeDocument/2006/relationships/hyperlink" Target="https://www.fangraphs.com/players/german-marquez/15038/stats" TargetMode="External"/><Relationship Id="rId72" Type="http://schemas.openxmlformats.org/officeDocument/2006/relationships/hyperlink" Target="https://www.fangraphs.com/teams/astros" TargetMode="External"/><Relationship Id="rId803" Type="http://schemas.openxmlformats.org/officeDocument/2006/relationships/hyperlink" Target="https://www.fangraphs.com/teams/cardinals" TargetMode="External"/><Relationship Id="rId1226" Type="http://schemas.openxmlformats.org/officeDocument/2006/relationships/hyperlink" Target="https://www.fangraphs.com/players/brendon-little/21574/stats" TargetMode="External"/><Relationship Id="rId1433" Type="http://schemas.openxmlformats.org/officeDocument/2006/relationships/hyperlink" Target="https://www.fangraphs.com/teams/red-sox" TargetMode="External"/><Relationship Id="rId1640" Type="http://schemas.openxmlformats.org/officeDocument/2006/relationships/hyperlink" Target="https://www.fangraphs.com/players/joey-gerber/24591/stats" TargetMode="External"/><Relationship Id="rId1738" Type="http://schemas.openxmlformats.org/officeDocument/2006/relationships/hyperlink" Target="https://www.fangraphs.com/players/austin-pope/26136/stats" TargetMode="External"/><Relationship Id="rId1500" Type="http://schemas.openxmlformats.org/officeDocument/2006/relationships/hyperlink" Target="https://www.fangraphs.com/players/brent-headrick/27702/stats" TargetMode="External"/><Relationship Id="rId1945" Type="http://schemas.openxmlformats.org/officeDocument/2006/relationships/hyperlink" Target="https://www.fangraphs.com/players/enrique-hernandez/10472/stats" TargetMode="External"/><Relationship Id="rId1805" Type="http://schemas.openxmlformats.org/officeDocument/2006/relationships/hyperlink" Target="https://www.fangraphs.com/players/kaleb-ort/20061/stats" TargetMode="External"/><Relationship Id="rId179" Type="http://schemas.openxmlformats.org/officeDocument/2006/relationships/hyperlink" Target="https://www.fangraphs.com/players/nolan-mclean/33703/stats" TargetMode="External"/><Relationship Id="rId386" Type="http://schemas.openxmlformats.org/officeDocument/2006/relationships/hyperlink" Target="https://www.fangraphs.com/teams/yankees" TargetMode="External"/><Relationship Id="rId593" Type="http://schemas.openxmlformats.org/officeDocument/2006/relationships/hyperlink" Target="https://www.fangraphs.com/players/pablo-lopez/17085/stats" TargetMode="External"/><Relationship Id="rId2067" Type="http://schemas.openxmlformats.org/officeDocument/2006/relationships/hyperlink" Target="https://www.fangraphs.com/teams/diamondbacks" TargetMode="External"/><Relationship Id="rId2274" Type="http://schemas.openxmlformats.org/officeDocument/2006/relationships/hyperlink" Target="https://www.fangraphs.com/teams/cardinals" TargetMode="External"/><Relationship Id="rId2481" Type="http://schemas.openxmlformats.org/officeDocument/2006/relationships/hyperlink" Target="https://www.fangraphs.com/teams/nationals" TargetMode="External"/><Relationship Id="rId246" Type="http://schemas.openxmlformats.org/officeDocument/2006/relationships/hyperlink" Target="https://www.fangraphs.com/teams/cubs" TargetMode="External"/><Relationship Id="rId453" Type="http://schemas.openxmlformats.org/officeDocument/2006/relationships/hyperlink" Target="https://www.fangraphs.com/players/bryce-miller/29837/stats" TargetMode="External"/><Relationship Id="rId660" Type="http://schemas.openxmlformats.org/officeDocument/2006/relationships/hyperlink" Target="https://www.fangraphs.com/teams/tigers" TargetMode="External"/><Relationship Id="rId898" Type="http://schemas.openxmlformats.org/officeDocument/2006/relationships/hyperlink" Target="https://www.fangraphs.com/teams/pirates" TargetMode="External"/><Relationship Id="rId1083" Type="http://schemas.openxmlformats.org/officeDocument/2006/relationships/hyperlink" Target="https://www.fangraphs.com/players/wenceel-perez/22857/stats" TargetMode="External"/><Relationship Id="rId1290" Type="http://schemas.openxmlformats.org/officeDocument/2006/relationships/hyperlink" Target="https://www.fangraphs.com/teams/rockies" TargetMode="External"/><Relationship Id="rId2134" Type="http://schemas.openxmlformats.org/officeDocument/2006/relationships/hyperlink" Target="https://www.fangraphs.com/players/robert-stock/6576/stats" TargetMode="External"/><Relationship Id="rId2341" Type="http://schemas.openxmlformats.org/officeDocument/2006/relationships/hyperlink" Target="https://www.fangraphs.com/teams/guardians" TargetMode="External"/><Relationship Id="rId2579" Type="http://schemas.openxmlformats.org/officeDocument/2006/relationships/hyperlink" Target="https://www.fangraphs.com/teams/braves" TargetMode="External"/><Relationship Id="rId2786" Type="http://schemas.openxmlformats.org/officeDocument/2006/relationships/hyperlink" Target="https://www.fangraphs.com/players/justin-dean/25005/stats" TargetMode="External"/><Relationship Id="rId106" Type="http://schemas.openxmlformats.org/officeDocument/2006/relationships/hyperlink" Target="https://www.fangraphs.com/teams/brewers" TargetMode="External"/><Relationship Id="rId313" Type="http://schemas.openxmlformats.org/officeDocument/2006/relationships/hyperlink" Target="https://www.fangraphs.com/players/alejandro-kirk/22581/stats" TargetMode="External"/><Relationship Id="rId758" Type="http://schemas.openxmlformats.org/officeDocument/2006/relationships/hyperlink" Target="https://www.fangraphs.com/players/anthony-volpe/27647/stats" TargetMode="External"/><Relationship Id="rId965" Type="http://schemas.openxmlformats.org/officeDocument/2006/relationships/hyperlink" Target="https://www.fangraphs.com/teams/twins" TargetMode="External"/><Relationship Id="rId1150" Type="http://schemas.openxmlformats.org/officeDocument/2006/relationships/hyperlink" Target="https://www.fangraphs.com/players/reese-mcguire/15674/stats" TargetMode="External"/><Relationship Id="rId1388" Type="http://schemas.openxmlformats.org/officeDocument/2006/relationships/hyperlink" Target="https://www.fangraphs.com/players/jack-perkins/31468/stats" TargetMode="External"/><Relationship Id="rId1595" Type="http://schemas.openxmlformats.org/officeDocument/2006/relationships/hyperlink" Target="https://www.fangraphs.com/teams/dodgers" TargetMode="External"/><Relationship Id="rId2439" Type="http://schemas.openxmlformats.org/officeDocument/2006/relationships/hyperlink" Target="https://www.fangraphs.com/players/brooks-kriske/21189/stats" TargetMode="External"/><Relationship Id="rId2646" Type="http://schemas.openxmlformats.org/officeDocument/2006/relationships/hyperlink" Target="https://www.fangraphs.com/teams/red-sox" TargetMode="External"/><Relationship Id="rId2853" Type="http://schemas.openxmlformats.org/officeDocument/2006/relationships/hyperlink" Target="https://www.fangraphs.com/players/scott-kingery/17975/stats" TargetMode="External"/><Relationship Id="rId94" Type="http://schemas.openxmlformats.org/officeDocument/2006/relationships/hyperlink" Target="https://www.fangraphs.com/teams/rangers" TargetMode="External"/><Relationship Id="rId520" Type="http://schemas.openxmlformats.org/officeDocument/2006/relationships/hyperlink" Target="https://www.fangraphs.com/teams/reds" TargetMode="External"/><Relationship Id="rId618" Type="http://schemas.openxmlformats.org/officeDocument/2006/relationships/hyperlink" Target="https://www.fangraphs.com/teams/diamondbacks" TargetMode="External"/><Relationship Id="rId825" Type="http://schemas.openxmlformats.org/officeDocument/2006/relationships/hyperlink" Target="https://www.fangraphs.com/teams/padres" TargetMode="External"/><Relationship Id="rId1248" Type="http://schemas.openxmlformats.org/officeDocument/2006/relationships/hyperlink" Target="https://www.fangraphs.com/players/cole-winn/22113/stats" TargetMode="External"/><Relationship Id="rId1455" Type="http://schemas.openxmlformats.org/officeDocument/2006/relationships/hyperlink" Target="https://www.fangraphs.com/teams/red-sox" TargetMode="External"/><Relationship Id="rId1662" Type="http://schemas.openxmlformats.org/officeDocument/2006/relationships/hyperlink" Target="https://www.fangraphs.com/players/mason-englert/22288/stats" TargetMode="External"/><Relationship Id="rId2201" Type="http://schemas.openxmlformats.org/officeDocument/2006/relationships/hyperlink" Target="https://www.fangraphs.com/teams/orioles" TargetMode="External"/><Relationship Id="rId2506" Type="http://schemas.openxmlformats.org/officeDocument/2006/relationships/hyperlink" Target="https://www.fangraphs.com/players/tyler-heineman/13897/stats" TargetMode="External"/><Relationship Id="rId1010" Type="http://schemas.openxmlformats.org/officeDocument/2006/relationships/hyperlink" Target="https://www.fangraphs.com/players/tyler-gilbert/17964/stats" TargetMode="External"/><Relationship Id="rId1108" Type="http://schemas.openxmlformats.org/officeDocument/2006/relationships/hyperlink" Target="https://www.fangraphs.com/players/randy-vasquez/24719/stats" TargetMode="External"/><Relationship Id="rId1315" Type="http://schemas.openxmlformats.org/officeDocument/2006/relationships/hyperlink" Target="https://www.fangraphs.com/players/justin-wrobleski/31204/stats" TargetMode="External"/><Relationship Id="rId1967" Type="http://schemas.openxmlformats.org/officeDocument/2006/relationships/hyperlink" Target="https://www.fangraphs.com/teams/diamondbacks" TargetMode="External"/><Relationship Id="rId2713" Type="http://schemas.openxmlformats.org/officeDocument/2006/relationships/hyperlink" Target="https://www.fangraphs.com/players/kevin-alcantara/25971/stats" TargetMode="External"/><Relationship Id="rId2920" Type="http://schemas.openxmlformats.org/officeDocument/2006/relationships/hyperlink" Target="https://www.fangraphs.com/teams/angels" TargetMode="External"/><Relationship Id="rId1522" Type="http://schemas.openxmlformats.org/officeDocument/2006/relationships/hyperlink" Target="https://www.fangraphs.com/teams/diamondbacks" TargetMode="External"/><Relationship Id="rId21" Type="http://schemas.openxmlformats.org/officeDocument/2006/relationships/hyperlink" Target="https://www.fangraphs.com/players/julio-rodriguez/23697/stats" TargetMode="External"/><Relationship Id="rId2089" Type="http://schemas.openxmlformats.org/officeDocument/2006/relationships/hyperlink" Target="https://www.fangraphs.com/teams/brewers" TargetMode="External"/><Relationship Id="rId2296" Type="http://schemas.openxmlformats.org/officeDocument/2006/relationships/hyperlink" Target="https://www.fangraphs.com/players/miguel-rojas/7802/stats" TargetMode="External"/><Relationship Id="rId268" Type="http://schemas.openxmlformats.org/officeDocument/2006/relationships/hyperlink" Target="https://www.fangraphs.com/teams/rays" TargetMode="External"/><Relationship Id="rId475" Type="http://schemas.openxmlformats.org/officeDocument/2006/relationships/hyperlink" Target="https://www.fangraphs.com/players/shane-bieber/19427/stats" TargetMode="External"/><Relationship Id="rId682" Type="http://schemas.openxmlformats.org/officeDocument/2006/relationships/hyperlink" Target="https://www.fangraphs.com/teams/marlins" TargetMode="External"/><Relationship Id="rId2156" Type="http://schemas.openxmlformats.org/officeDocument/2006/relationships/hyperlink" Target="https://www.fangraphs.com/players/ryne-stanek/15947/stats" TargetMode="External"/><Relationship Id="rId2363" Type="http://schemas.openxmlformats.org/officeDocument/2006/relationships/hyperlink" Target="https://www.fangraphs.com/teams/reds" TargetMode="External"/><Relationship Id="rId2570" Type="http://schemas.openxmlformats.org/officeDocument/2006/relationships/hyperlink" Target="https://www.fangraphs.com/players/ryan-fitzgerald/24622/stats" TargetMode="External"/><Relationship Id="rId128" Type="http://schemas.openxmlformats.org/officeDocument/2006/relationships/hyperlink" Target="https://www.fangraphs.com/teams/mets" TargetMode="External"/><Relationship Id="rId335" Type="http://schemas.openxmlformats.org/officeDocument/2006/relationships/hyperlink" Target="https://www.fangraphs.com/players/chandler-simpson/31912/stats" TargetMode="External"/><Relationship Id="rId542" Type="http://schemas.openxmlformats.org/officeDocument/2006/relationships/hyperlink" Target="https://www.fangraphs.com/teams/rockies" TargetMode="External"/><Relationship Id="rId1172" Type="http://schemas.openxmlformats.org/officeDocument/2006/relationships/hyperlink" Target="https://www.fangraphs.com/teams/giants" TargetMode="External"/><Relationship Id="rId2016" Type="http://schemas.openxmlformats.org/officeDocument/2006/relationships/hyperlink" Target="https://www.fangraphs.com/teams/astros" TargetMode="External"/><Relationship Id="rId2223" Type="http://schemas.openxmlformats.org/officeDocument/2006/relationships/hyperlink" Target="https://www.fangraphs.com/players/jp-feyereisen/16610/stats" TargetMode="External"/><Relationship Id="rId2430" Type="http://schemas.openxmlformats.org/officeDocument/2006/relationships/hyperlink" Target="https://www.fangraphs.com/teams/orioles" TargetMode="External"/><Relationship Id="rId402" Type="http://schemas.openxmlformats.org/officeDocument/2006/relationships/hyperlink" Target="https://www.fangraphs.com/teams/pirates" TargetMode="External"/><Relationship Id="rId1032" Type="http://schemas.openxmlformats.org/officeDocument/2006/relationships/hyperlink" Target="https://www.fangraphs.com/teams/astros" TargetMode="External"/><Relationship Id="rId1989" Type="http://schemas.openxmlformats.org/officeDocument/2006/relationships/hyperlink" Target="https://www.fangraphs.com/teams/white-sox" TargetMode="External"/><Relationship Id="rId1849" Type="http://schemas.openxmlformats.org/officeDocument/2006/relationships/hyperlink" Target="https://www.fangraphs.com/players/brandon-young/27819/stats" TargetMode="External"/><Relationship Id="rId192" Type="http://schemas.openxmlformats.org/officeDocument/2006/relationships/hyperlink" Target="https://www.fangraphs.com/teams/padres" TargetMode="External"/><Relationship Id="rId1709" Type="http://schemas.openxmlformats.org/officeDocument/2006/relationships/hyperlink" Target="https://www.fangraphs.com/teams/athletics" TargetMode="External"/><Relationship Id="rId1916" Type="http://schemas.openxmlformats.org/officeDocument/2006/relationships/hyperlink" Target="https://www.fangraphs.com/teams/braves" TargetMode="External"/><Relationship Id="rId2080" Type="http://schemas.openxmlformats.org/officeDocument/2006/relationships/hyperlink" Target="https://www.fangraphs.com/players/gregory-santos/21894/stats" TargetMode="External"/><Relationship Id="rId2897" Type="http://schemas.openxmlformats.org/officeDocument/2006/relationships/hyperlink" Target="https://www.fangraphs.com/players/tristan-peters/30063/stats" TargetMode="External"/><Relationship Id="rId869" Type="http://schemas.openxmlformats.org/officeDocument/2006/relationships/hyperlink" Target="https://www.fangraphs.com/players/mick-abel/27756/stats" TargetMode="External"/><Relationship Id="rId1499" Type="http://schemas.openxmlformats.org/officeDocument/2006/relationships/hyperlink" Target="https://www.fangraphs.com/teams/twins" TargetMode="External"/><Relationship Id="rId729" Type="http://schemas.openxmlformats.org/officeDocument/2006/relationships/hyperlink" Target="https://www.fangraphs.com/teams/rays" TargetMode="External"/><Relationship Id="rId1359" Type="http://schemas.openxmlformats.org/officeDocument/2006/relationships/hyperlink" Target="https://www.fangraphs.com/teams/athletics" TargetMode="External"/><Relationship Id="rId2757" Type="http://schemas.openxmlformats.org/officeDocument/2006/relationships/hyperlink" Target="https://www.fangraphs.com/teams/dodgers" TargetMode="External"/><Relationship Id="rId936" Type="http://schemas.openxmlformats.org/officeDocument/2006/relationships/hyperlink" Target="https://www.fangraphs.com/teams/blue-jays" TargetMode="External"/><Relationship Id="rId1219" Type="http://schemas.openxmlformats.org/officeDocument/2006/relationships/hyperlink" Target="https://www.fangraphs.com/players/mike-tauchman/15274/stats" TargetMode="External"/><Relationship Id="rId1566" Type="http://schemas.openxmlformats.org/officeDocument/2006/relationships/hyperlink" Target="https://www.fangraphs.com/teams/braves" TargetMode="External"/><Relationship Id="rId1773" Type="http://schemas.openxmlformats.org/officeDocument/2006/relationships/hyperlink" Target="https://www.fangraphs.com/players/taylor-rashi/26344/stats" TargetMode="External"/><Relationship Id="rId1980" Type="http://schemas.openxmlformats.org/officeDocument/2006/relationships/hyperlink" Target="https://www.fangraphs.com/players/luis-curvelo/24710/stats" TargetMode="External"/><Relationship Id="rId2617" Type="http://schemas.openxmlformats.org/officeDocument/2006/relationships/hyperlink" Target="https://www.fangraphs.com/teams/royals" TargetMode="External"/><Relationship Id="rId2824" Type="http://schemas.openxmlformats.org/officeDocument/2006/relationships/hyperlink" Target="https://www.fangraphs.com/teams/brewers" TargetMode="External"/><Relationship Id="rId65" Type="http://schemas.openxmlformats.org/officeDocument/2006/relationships/hyperlink" Target="https://www.fangraphs.com/players/james-wood/29518/stats" TargetMode="External"/><Relationship Id="rId1426" Type="http://schemas.openxmlformats.org/officeDocument/2006/relationships/hyperlink" Target="https://www.fangraphs.com/players/dylan-moore/18042/stats" TargetMode="External"/><Relationship Id="rId1633" Type="http://schemas.openxmlformats.org/officeDocument/2006/relationships/hyperlink" Target="https://www.fangraphs.com/players/konnor-pilkington/21453/stats" TargetMode="External"/><Relationship Id="rId1840" Type="http://schemas.openxmlformats.org/officeDocument/2006/relationships/hyperlink" Target="https://www.fangraphs.com/players/brian-van-belle/27695/stats" TargetMode="External"/><Relationship Id="rId1700" Type="http://schemas.openxmlformats.org/officeDocument/2006/relationships/hyperlink" Target="https://www.fangraphs.com/players/justin-hagenman/21546/stats" TargetMode="External"/><Relationship Id="rId379" Type="http://schemas.openxmlformats.org/officeDocument/2006/relationships/hyperlink" Target="https://www.fangraphs.com/players/ian-happ/17919/stats" TargetMode="External"/><Relationship Id="rId586" Type="http://schemas.openxmlformats.org/officeDocument/2006/relationships/hyperlink" Target="https://www.fangraphs.com/teams/blue-jays" TargetMode="External"/><Relationship Id="rId793" Type="http://schemas.openxmlformats.org/officeDocument/2006/relationships/hyperlink" Target="https://www.fangraphs.com/teams/phillies" TargetMode="External"/><Relationship Id="rId2267" Type="http://schemas.openxmlformats.org/officeDocument/2006/relationships/hyperlink" Target="https://www.fangraphs.com/players/andruw-monasterio/19455/stats" TargetMode="External"/><Relationship Id="rId2474" Type="http://schemas.openxmlformats.org/officeDocument/2006/relationships/hyperlink" Target="https://www.fangraphs.com/teams/guardians" TargetMode="External"/><Relationship Id="rId2681" Type="http://schemas.openxmlformats.org/officeDocument/2006/relationships/hyperlink" Target="https://www.fangraphs.com/players/josh-rojas/19734/stats" TargetMode="External"/><Relationship Id="rId239" Type="http://schemas.openxmlformats.org/officeDocument/2006/relationships/hyperlink" Target="https://www.fangraphs.com/players/alex-bregman/17678/stats" TargetMode="External"/><Relationship Id="rId446" Type="http://schemas.openxmlformats.org/officeDocument/2006/relationships/hyperlink" Target="https://www.fangraphs.com/teams/white-sox" TargetMode="External"/><Relationship Id="rId653" Type="http://schemas.openxmlformats.org/officeDocument/2006/relationships/hyperlink" Target="https://www.fangraphs.com/players/lenyn-sosa/22896/stats" TargetMode="External"/><Relationship Id="rId1076" Type="http://schemas.openxmlformats.org/officeDocument/2006/relationships/hyperlink" Target="https://www.fangraphs.com/teams/blue-jays" TargetMode="External"/><Relationship Id="rId1283" Type="http://schemas.openxmlformats.org/officeDocument/2006/relationships/hyperlink" Target="https://www.fangraphs.com/teams/rangers" TargetMode="External"/><Relationship Id="rId1490" Type="http://schemas.openxmlformats.org/officeDocument/2006/relationships/hyperlink" Target="https://www.fangraphs.com/players/dan-altavilla/16507/stats" TargetMode="External"/><Relationship Id="rId2127" Type="http://schemas.openxmlformats.org/officeDocument/2006/relationships/hyperlink" Target="https://www.fangraphs.com/players/nick-anderson/18337/stats" TargetMode="External"/><Relationship Id="rId2334" Type="http://schemas.openxmlformats.org/officeDocument/2006/relationships/hyperlink" Target="https://www.fangraphs.com/players/eli-morgan/20203/stats" TargetMode="External"/><Relationship Id="rId306" Type="http://schemas.openxmlformats.org/officeDocument/2006/relationships/hyperlink" Target="https://www.fangraphs.com/teams/orioles" TargetMode="External"/><Relationship Id="rId860" Type="http://schemas.openxmlformats.org/officeDocument/2006/relationships/hyperlink" Target="https://www.fangraphs.com/teams/guardians" TargetMode="External"/><Relationship Id="rId1143" Type="http://schemas.openxmlformats.org/officeDocument/2006/relationships/hyperlink" Target="https://www.fangraphs.com/teams/mets" TargetMode="External"/><Relationship Id="rId2541" Type="http://schemas.openxmlformats.org/officeDocument/2006/relationships/hyperlink" Target="https://www.fangraphs.com/teams/orioles" TargetMode="External"/><Relationship Id="rId513" Type="http://schemas.openxmlformats.org/officeDocument/2006/relationships/hyperlink" Target="https://www.fangraphs.com/players/ryne-nelson/26253/stats" TargetMode="External"/><Relationship Id="rId720" Type="http://schemas.openxmlformats.org/officeDocument/2006/relationships/hyperlink" Target="https://www.fangraphs.com/players/jonathan-india/21523/stats" TargetMode="External"/><Relationship Id="rId1350" Type="http://schemas.openxmlformats.org/officeDocument/2006/relationships/hyperlink" Target="https://www.fangraphs.com/players/chase-lee/29574/stats" TargetMode="External"/><Relationship Id="rId2401" Type="http://schemas.openxmlformats.org/officeDocument/2006/relationships/hyperlink" Target="https://www.fangraphs.com/teams/diamondbacks" TargetMode="External"/><Relationship Id="rId1003" Type="http://schemas.openxmlformats.org/officeDocument/2006/relationships/hyperlink" Target="https://www.fangraphs.com/teams/rangers" TargetMode="External"/><Relationship Id="rId1210" Type="http://schemas.openxmlformats.org/officeDocument/2006/relationships/hyperlink" Target="https://www.fangraphs.com/teams/diamondbacks" TargetMode="External"/><Relationship Id="rId2191" Type="http://schemas.openxmlformats.org/officeDocument/2006/relationships/hyperlink" Target="https://www.fangraphs.com/players/trey-sweeney/29575/stats" TargetMode="External"/><Relationship Id="rId163" Type="http://schemas.openxmlformats.org/officeDocument/2006/relationships/hyperlink" Target="https://www.fangraphs.com/players/ryan-helsley/18138/stats" TargetMode="External"/><Relationship Id="rId370" Type="http://schemas.openxmlformats.org/officeDocument/2006/relationships/hyperlink" Target="https://www.fangraphs.com/teams/white-sox" TargetMode="External"/><Relationship Id="rId2051" Type="http://schemas.openxmlformats.org/officeDocument/2006/relationships/hyperlink" Target="https://www.fangraphs.com/players/kameron-misner/26374/stats" TargetMode="External"/><Relationship Id="rId230" Type="http://schemas.openxmlformats.org/officeDocument/2006/relationships/hyperlink" Target="https://www.fangraphs.com/teams/dodgers" TargetMode="External"/><Relationship Id="rId2868" Type="http://schemas.openxmlformats.org/officeDocument/2006/relationships/hyperlink" Target="https://www.fangraphs.com/players/will-brennan/25660/stats" TargetMode="External"/><Relationship Id="rId1677" Type="http://schemas.openxmlformats.org/officeDocument/2006/relationships/hyperlink" Target="https://www.fangraphs.com/players/weston-wilson/19358/stats" TargetMode="External"/><Relationship Id="rId1884" Type="http://schemas.openxmlformats.org/officeDocument/2006/relationships/hyperlink" Target="https://www.fangraphs.com/teams/angels" TargetMode="External"/><Relationship Id="rId2728" Type="http://schemas.openxmlformats.org/officeDocument/2006/relationships/hyperlink" Target="https://www.fangraphs.com/teams/guardians" TargetMode="External"/><Relationship Id="rId907" Type="http://schemas.openxmlformats.org/officeDocument/2006/relationships/hyperlink" Target="https://www.fangraphs.com/players/yimi-garcia/12095/stats" TargetMode="External"/><Relationship Id="rId1537" Type="http://schemas.openxmlformats.org/officeDocument/2006/relationships/hyperlink" Target="https://www.fangraphs.com/teams/mets" TargetMode="External"/><Relationship Id="rId1744" Type="http://schemas.openxmlformats.org/officeDocument/2006/relationships/hyperlink" Target="https://www.fangraphs.com/players/alan-trejo/20056/stats" TargetMode="External"/><Relationship Id="rId1951" Type="http://schemas.openxmlformats.org/officeDocument/2006/relationships/hyperlink" Target="https://www.fangraphs.com/players/cesar-salazar/21587/stats" TargetMode="External"/><Relationship Id="rId36" Type="http://schemas.openxmlformats.org/officeDocument/2006/relationships/hyperlink" Target="https://www.fangraphs.com/teams/athletics" TargetMode="External"/><Relationship Id="rId1604" Type="http://schemas.openxmlformats.org/officeDocument/2006/relationships/hyperlink" Target="https://www.fangraphs.com/teams/angels" TargetMode="External"/><Relationship Id="rId1811" Type="http://schemas.openxmlformats.org/officeDocument/2006/relationships/hyperlink" Target="https://www.fangraphs.com/players/jake-rogers/19452/stats" TargetMode="External"/><Relationship Id="rId697" Type="http://schemas.openxmlformats.org/officeDocument/2006/relationships/hyperlink" Target="https://www.fangraphs.com/players/tommy-edman/19470/stats" TargetMode="External"/><Relationship Id="rId2378" Type="http://schemas.openxmlformats.org/officeDocument/2006/relationships/hyperlink" Target="https://www.fangraphs.com/players/brandon-lockridge/21496/stats" TargetMode="External"/><Relationship Id="rId1187" Type="http://schemas.openxmlformats.org/officeDocument/2006/relationships/hyperlink" Target="https://www.fangraphs.com/players/brock-burke/17968/stats" TargetMode="External"/><Relationship Id="rId2585" Type="http://schemas.openxmlformats.org/officeDocument/2006/relationships/hyperlink" Target="https://www.fangraphs.com/teams/angels" TargetMode="External"/><Relationship Id="rId2792" Type="http://schemas.openxmlformats.org/officeDocument/2006/relationships/hyperlink" Target="https://www.fangraphs.com/players/jose-siri/17452/stats" TargetMode="External"/><Relationship Id="rId557" Type="http://schemas.openxmlformats.org/officeDocument/2006/relationships/hyperlink" Target="https://www.fangraphs.com/players/zebby-matthews/31827/stats" TargetMode="External"/><Relationship Id="rId764" Type="http://schemas.openxmlformats.org/officeDocument/2006/relationships/hyperlink" Target="https://www.fangraphs.com/players/dustin-may/19716/stats" TargetMode="External"/><Relationship Id="rId971" Type="http://schemas.openxmlformats.org/officeDocument/2006/relationships/hyperlink" Target="https://www.fangraphs.com/teams/marlins" TargetMode="External"/><Relationship Id="rId1394" Type="http://schemas.openxmlformats.org/officeDocument/2006/relationships/hyperlink" Target="https://www.fangraphs.com/players/edgardo-henriquez/26944/stats" TargetMode="External"/><Relationship Id="rId2238" Type="http://schemas.openxmlformats.org/officeDocument/2006/relationships/hyperlink" Target="https://www.fangraphs.com/teams/diamondbacks" TargetMode="External"/><Relationship Id="rId2445" Type="http://schemas.openxmlformats.org/officeDocument/2006/relationships/hyperlink" Target="https://www.fangraphs.com/players/jose-tena/23691/stats" TargetMode="External"/><Relationship Id="rId2652" Type="http://schemas.openxmlformats.org/officeDocument/2006/relationships/hyperlink" Target="https://www.fangraphs.com/players/daniel-johnson/19643/stats" TargetMode="External"/><Relationship Id="rId417" Type="http://schemas.openxmlformats.org/officeDocument/2006/relationships/hyperlink" Target="https://www.fangraphs.com/players/jac-caglianone/35041/stats" TargetMode="External"/><Relationship Id="rId624" Type="http://schemas.openxmlformats.org/officeDocument/2006/relationships/hyperlink" Target="https://www.fangraphs.com/teams/twins" TargetMode="External"/><Relationship Id="rId831" Type="http://schemas.openxmlformats.org/officeDocument/2006/relationships/hyperlink" Target="https://www.fangraphs.com/teams/cardinals" TargetMode="External"/><Relationship Id="rId1047" Type="http://schemas.openxmlformats.org/officeDocument/2006/relationships/hyperlink" Target="https://www.fangraphs.com/players/ryan-bergert/29863/stats" TargetMode="External"/><Relationship Id="rId1254" Type="http://schemas.openxmlformats.org/officeDocument/2006/relationships/hyperlink" Target="https://www.fangraphs.com/players/tim-hill/16814/stats" TargetMode="External"/><Relationship Id="rId1461" Type="http://schemas.openxmlformats.org/officeDocument/2006/relationships/hyperlink" Target="https://www.fangraphs.com/teams/braves" TargetMode="External"/><Relationship Id="rId2305" Type="http://schemas.openxmlformats.org/officeDocument/2006/relationships/hyperlink" Target="https://www.fangraphs.com/players/jordan-weems/13190/stats" TargetMode="External"/><Relationship Id="rId2512" Type="http://schemas.openxmlformats.org/officeDocument/2006/relationships/hyperlink" Target="https://www.fangraphs.com/teams/rays" TargetMode="External"/><Relationship Id="rId1114" Type="http://schemas.openxmlformats.org/officeDocument/2006/relationships/hyperlink" Target="https://www.fangraphs.com/players/luis-ortiz/27646/stats" TargetMode="External"/><Relationship Id="rId1321" Type="http://schemas.openxmlformats.org/officeDocument/2006/relationships/hyperlink" Target="https://www.fangraphs.com/players/luis-f-castillo/20638/stats" TargetMode="External"/><Relationship Id="rId2095" Type="http://schemas.openxmlformats.org/officeDocument/2006/relationships/hyperlink" Target="https://www.fangraphs.com/teams/mariners" TargetMode="External"/><Relationship Id="rId274" Type="http://schemas.openxmlformats.org/officeDocument/2006/relationships/hyperlink" Target="https://www.fangraphs.com/teams/reds" TargetMode="External"/><Relationship Id="rId481" Type="http://schemas.openxmlformats.org/officeDocument/2006/relationships/hyperlink" Target="https://www.fangraphs.com/players/marcus-semien/12533/stats" TargetMode="External"/><Relationship Id="rId2162" Type="http://schemas.openxmlformats.org/officeDocument/2006/relationships/hyperlink" Target="https://www.fangraphs.com/players/cole-wilcox/27481/stats" TargetMode="External"/><Relationship Id="rId134" Type="http://schemas.openxmlformats.org/officeDocument/2006/relationships/hyperlink" Target="https://www.fangraphs.com/teams/braves" TargetMode="External"/><Relationship Id="rId341" Type="http://schemas.openxmlformats.org/officeDocument/2006/relationships/hyperlink" Target="https://www.fangraphs.com/players/mike-trout/10155/stats" TargetMode="External"/><Relationship Id="rId2022" Type="http://schemas.openxmlformats.org/officeDocument/2006/relationships/hyperlink" Target="https://www.fangraphs.com/teams/tigers" TargetMode="External"/><Relationship Id="rId201" Type="http://schemas.openxmlformats.org/officeDocument/2006/relationships/hyperlink" Target="https://www.fangraphs.com/players/bo-bichette/19612/stats" TargetMode="External"/><Relationship Id="rId1788" Type="http://schemas.openxmlformats.org/officeDocument/2006/relationships/hyperlink" Target="https://www.fangraphs.com/teams/tigers" TargetMode="External"/><Relationship Id="rId1995" Type="http://schemas.openxmlformats.org/officeDocument/2006/relationships/hyperlink" Target="https://www.fangraphs.com/players/austin-hedges/12976/stats" TargetMode="External"/><Relationship Id="rId2839" Type="http://schemas.openxmlformats.org/officeDocument/2006/relationships/hyperlink" Target="https://www.fangraphs.com/teams/brewers" TargetMode="External"/><Relationship Id="rId1648" Type="http://schemas.openxmlformats.org/officeDocument/2006/relationships/hyperlink" Target="https://www.fangraphs.com/players/christian-montes-de-oca/30206/stats" TargetMode="External"/><Relationship Id="rId1508" Type="http://schemas.openxmlformats.org/officeDocument/2006/relationships/hyperlink" Target="https://www.fangraphs.com/players/bradgley-rodriguez/29107/stats" TargetMode="External"/><Relationship Id="rId1855" Type="http://schemas.openxmlformats.org/officeDocument/2006/relationships/hyperlink" Target="https://www.fangraphs.com/players/will-wilson/25434/stats" TargetMode="External"/><Relationship Id="rId2906" Type="http://schemas.openxmlformats.org/officeDocument/2006/relationships/hyperlink" Target="https://www.fangraphs.com/players/buddy-kennedy/22505/stats" TargetMode="External"/><Relationship Id="rId1715" Type="http://schemas.openxmlformats.org/officeDocument/2006/relationships/hyperlink" Target="https://www.fangraphs.com/teams/rays" TargetMode="External"/><Relationship Id="rId1922" Type="http://schemas.openxmlformats.org/officeDocument/2006/relationships/hyperlink" Target="https://www.fangraphs.com/teams/braves" TargetMode="External"/><Relationship Id="rId2489" Type="http://schemas.openxmlformats.org/officeDocument/2006/relationships/hyperlink" Target="https://www.fangraphs.com/teams/reds" TargetMode="External"/><Relationship Id="rId2696" Type="http://schemas.openxmlformats.org/officeDocument/2006/relationships/hyperlink" Target="https://www.fangraphs.com/teams/white-sox" TargetMode="External"/><Relationship Id="rId668" Type="http://schemas.openxmlformats.org/officeDocument/2006/relationships/hyperlink" Target="https://www.fangraphs.com/teams/white-sox" TargetMode="External"/><Relationship Id="rId875" Type="http://schemas.openxmlformats.org/officeDocument/2006/relationships/hyperlink" Target="https://www.fangraphs.com/players/kumar-rocker/31843/stats" TargetMode="External"/><Relationship Id="rId1298" Type="http://schemas.openxmlformats.org/officeDocument/2006/relationships/hyperlink" Target="https://www.fangraphs.com/teams/astros" TargetMode="External"/><Relationship Id="rId2349" Type="http://schemas.openxmlformats.org/officeDocument/2006/relationships/hyperlink" Target="https://www.fangraphs.com/players/josh-simpson/25957/stats" TargetMode="External"/><Relationship Id="rId2556" Type="http://schemas.openxmlformats.org/officeDocument/2006/relationships/hyperlink" Target="https://www.fangraphs.com/teams/yankees" TargetMode="External"/><Relationship Id="rId2763" Type="http://schemas.openxmlformats.org/officeDocument/2006/relationships/hyperlink" Target="https://www.fangraphs.com/players/corey-julks/20311/stats" TargetMode="External"/><Relationship Id="rId528" Type="http://schemas.openxmlformats.org/officeDocument/2006/relationships/hyperlink" Target="https://www.fangraphs.com/teams/astros" TargetMode="External"/><Relationship Id="rId735" Type="http://schemas.openxmlformats.org/officeDocument/2006/relationships/hyperlink" Target="https://www.fangraphs.com/teams/twins" TargetMode="External"/><Relationship Id="rId942" Type="http://schemas.openxmlformats.org/officeDocument/2006/relationships/hyperlink" Target="https://www.fangraphs.com/teams/royals" TargetMode="External"/><Relationship Id="rId1158" Type="http://schemas.openxmlformats.org/officeDocument/2006/relationships/hyperlink" Target="https://www.fangraphs.com/teams/guardians" TargetMode="External"/><Relationship Id="rId1365" Type="http://schemas.openxmlformats.org/officeDocument/2006/relationships/hyperlink" Target="https://www.fangraphs.com/players/manuel-rodriguez/20794/stats" TargetMode="External"/><Relationship Id="rId1572" Type="http://schemas.openxmlformats.org/officeDocument/2006/relationships/hyperlink" Target="https://www.fangraphs.com/teams/pirates" TargetMode="External"/><Relationship Id="rId2209" Type="http://schemas.openxmlformats.org/officeDocument/2006/relationships/hyperlink" Target="https://www.fangraphs.com/players/michael-helman/24605/stats" TargetMode="External"/><Relationship Id="rId2416" Type="http://schemas.openxmlformats.org/officeDocument/2006/relationships/hyperlink" Target="https://www.fangraphs.com/players/joc-pederson/11899/stats" TargetMode="External"/><Relationship Id="rId2623" Type="http://schemas.openxmlformats.org/officeDocument/2006/relationships/hyperlink" Target="https://www.fangraphs.com/players/joe-mantiply/14857/stats" TargetMode="External"/><Relationship Id="rId1018" Type="http://schemas.openxmlformats.org/officeDocument/2006/relationships/hyperlink" Target="https://www.fangraphs.com/players/alex-vesia/25007/stats" TargetMode="External"/><Relationship Id="rId1225" Type="http://schemas.openxmlformats.org/officeDocument/2006/relationships/hyperlink" Target="https://www.fangraphs.com/teams/pirates" TargetMode="External"/><Relationship Id="rId1432" Type="http://schemas.openxmlformats.org/officeDocument/2006/relationships/hyperlink" Target="https://www.fangraphs.com/players/matt-thaiss/19318/stats" TargetMode="External"/><Relationship Id="rId2830" Type="http://schemas.openxmlformats.org/officeDocument/2006/relationships/hyperlink" Target="https://www.fangraphs.com/players/kenedy-corona/26244/stats" TargetMode="External"/><Relationship Id="rId71" Type="http://schemas.openxmlformats.org/officeDocument/2006/relationships/hyperlink" Target="https://www.fangraphs.com/players/yordan-alvarez/19556/stats" TargetMode="External"/><Relationship Id="rId802" Type="http://schemas.openxmlformats.org/officeDocument/2006/relationships/hyperlink" Target="https://www.fangraphs.com/players/matt-svanson/29629/stats" TargetMode="External"/><Relationship Id="rId178" Type="http://schemas.openxmlformats.org/officeDocument/2006/relationships/hyperlink" Target="https://www.fangraphs.com/teams/astros" TargetMode="External"/><Relationship Id="rId385" Type="http://schemas.openxmlformats.org/officeDocument/2006/relationships/hyperlink" Target="https://www.fangraphs.com/players/carlos-rodon/16137/stats" TargetMode="External"/><Relationship Id="rId592" Type="http://schemas.openxmlformats.org/officeDocument/2006/relationships/hyperlink" Target="https://www.fangraphs.com/teams/giants" TargetMode="External"/><Relationship Id="rId2066" Type="http://schemas.openxmlformats.org/officeDocument/2006/relationships/hyperlink" Target="https://www.fangraphs.com/players/yilber-diaz/29271/stats" TargetMode="External"/><Relationship Id="rId2273" Type="http://schemas.openxmlformats.org/officeDocument/2006/relationships/hyperlink" Target="https://www.fangraphs.com/players/gordon-graceffo/29519/stats" TargetMode="External"/><Relationship Id="rId2480" Type="http://schemas.openxmlformats.org/officeDocument/2006/relationships/hyperlink" Target="https://www.fangraphs.com/players/orlando-ribalta/26247/stats" TargetMode="External"/><Relationship Id="rId245" Type="http://schemas.openxmlformats.org/officeDocument/2006/relationships/hyperlink" Target="https://www.fangraphs.com/players/daniel-palencia/27914/stats" TargetMode="External"/><Relationship Id="rId452" Type="http://schemas.openxmlformats.org/officeDocument/2006/relationships/hyperlink" Target="https://www.fangraphs.com/teams/cubs" TargetMode="External"/><Relationship Id="rId1082" Type="http://schemas.openxmlformats.org/officeDocument/2006/relationships/hyperlink" Target="https://www.fangraphs.com/teams/angels" TargetMode="External"/><Relationship Id="rId2133" Type="http://schemas.openxmlformats.org/officeDocument/2006/relationships/hyperlink" Target="https://www.fangraphs.com/teams/dodgers" TargetMode="External"/><Relationship Id="rId2340" Type="http://schemas.openxmlformats.org/officeDocument/2006/relationships/hyperlink" Target="https://www.fangraphs.com/players/cj-kayfus/33704/stats" TargetMode="External"/><Relationship Id="rId105" Type="http://schemas.openxmlformats.org/officeDocument/2006/relationships/hyperlink" Target="https://www.fangraphs.com/players/william-contreras/20503/stats" TargetMode="External"/><Relationship Id="rId312" Type="http://schemas.openxmlformats.org/officeDocument/2006/relationships/hyperlink" Target="https://www.fangraphs.com/teams/brewers" TargetMode="External"/><Relationship Id="rId2200" Type="http://schemas.openxmlformats.org/officeDocument/2006/relationships/hyperlink" Target="https://www.fangraphs.com/players/yennier-cano/25911/stats" TargetMode="External"/><Relationship Id="rId1899" Type="http://schemas.openxmlformats.org/officeDocument/2006/relationships/hyperlink" Target="https://www.fangraphs.com/teams/tigers" TargetMode="External"/><Relationship Id="rId1759" Type="http://schemas.openxmlformats.org/officeDocument/2006/relationships/hyperlink" Target="https://www.fangraphs.com/players/carl-edwards-jr/13607/stats" TargetMode="External"/><Relationship Id="rId1966" Type="http://schemas.openxmlformats.org/officeDocument/2006/relationships/hyperlink" Target="https://www.fangraphs.com/players/philip-abner/33821/stats" TargetMode="External"/><Relationship Id="rId1619" Type="http://schemas.openxmlformats.org/officeDocument/2006/relationships/hyperlink" Target="https://www.fangraphs.com/players/erasmo-ramirez/10314/stats" TargetMode="External"/><Relationship Id="rId1826" Type="http://schemas.openxmlformats.org/officeDocument/2006/relationships/hyperlink" Target="https://www.fangraphs.com/players/sebastian-rivero/21735/stats" TargetMode="External"/><Relationship Id="rId779" Type="http://schemas.openxmlformats.org/officeDocument/2006/relationships/hyperlink" Target="https://www.fangraphs.com/teams/diamondbacks" TargetMode="External"/><Relationship Id="rId986" Type="http://schemas.openxmlformats.org/officeDocument/2006/relationships/hyperlink" Target="https://www.fangraphs.com/players/nathan-lukes/18123/stats" TargetMode="External"/><Relationship Id="rId2667" Type="http://schemas.openxmlformats.org/officeDocument/2006/relationships/hyperlink" Target="https://www.fangraphs.com/teams/braves" TargetMode="External"/><Relationship Id="rId639" Type="http://schemas.openxmlformats.org/officeDocument/2006/relationships/hyperlink" Target="https://www.fangraphs.com/players/justin-sterner/27694/stats" TargetMode="External"/><Relationship Id="rId1269" Type="http://schemas.openxmlformats.org/officeDocument/2006/relationships/hyperlink" Target="https://www.fangraphs.com/players/jose-alvarado/17780/stats" TargetMode="External"/><Relationship Id="rId1476" Type="http://schemas.openxmlformats.org/officeDocument/2006/relationships/hyperlink" Target="https://www.fangraphs.com/players/freddy-tarnok/23324/stats" TargetMode="External"/><Relationship Id="rId2874" Type="http://schemas.openxmlformats.org/officeDocument/2006/relationships/hyperlink" Target="https://www.fangraphs.com/players/michael-stefanic/25353/stats" TargetMode="External"/><Relationship Id="rId846" Type="http://schemas.openxmlformats.org/officeDocument/2006/relationships/hyperlink" Target="https://www.fangraphs.com/teams/rangers" TargetMode="External"/><Relationship Id="rId1129" Type="http://schemas.openxmlformats.org/officeDocument/2006/relationships/hyperlink" Target="https://www.fangraphs.com/teams/dodgers" TargetMode="External"/><Relationship Id="rId1683" Type="http://schemas.openxmlformats.org/officeDocument/2006/relationships/hyperlink" Target="https://www.fangraphs.com/players/tomas-nido/13755/stats" TargetMode="External"/><Relationship Id="rId1890" Type="http://schemas.openxmlformats.org/officeDocument/2006/relationships/hyperlink" Target="https://www.fangraphs.com/teams/blue-jays" TargetMode="External"/><Relationship Id="rId2527" Type="http://schemas.openxmlformats.org/officeDocument/2006/relationships/hyperlink" Target="https://www.fangraphs.com/teams/nationals" TargetMode="External"/><Relationship Id="rId2734" Type="http://schemas.openxmlformats.org/officeDocument/2006/relationships/hyperlink" Target="https://www.fangraphs.com/players/pablo-reyes/16357/stats" TargetMode="External"/><Relationship Id="rId706" Type="http://schemas.openxmlformats.org/officeDocument/2006/relationships/hyperlink" Target="https://www.fangraphs.com/teams/twins" TargetMode="External"/><Relationship Id="rId913" Type="http://schemas.openxmlformats.org/officeDocument/2006/relationships/hyperlink" Target="https://www.fangraphs.com/players/patrick-bailey/27478/stats" TargetMode="External"/><Relationship Id="rId1336" Type="http://schemas.openxmlformats.org/officeDocument/2006/relationships/hyperlink" Target="https://www.fangraphs.com/players/brock-stewart/16727/stats" TargetMode="External"/><Relationship Id="rId1543" Type="http://schemas.openxmlformats.org/officeDocument/2006/relationships/hyperlink" Target="https://www.fangraphs.com/teams/giants" TargetMode="External"/><Relationship Id="rId1750" Type="http://schemas.openxmlformats.org/officeDocument/2006/relationships/hyperlink" Target="https://www.fangraphs.com/players/isiah-kiner-falefa/16512/stats" TargetMode="External"/><Relationship Id="rId2801" Type="http://schemas.openxmlformats.org/officeDocument/2006/relationships/hyperlink" Target="https://www.fangraphs.com/players/bobby-dalbec/19966/stats" TargetMode="External"/><Relationship Id="rId42" Type="http://schemas.openxmlformats.org/officeDocument/2006/relationships/hyperlink" Target="https://www.fangraphs.com/teams/brewers" TargetMode="External"/><Relationship Id="rId1403" Type="http://schemas.openxmlformats.org/officeDocument/2006/relationships/hyperlink" Target="https://www.fangraphs.com/teams/giants" TargetMode="External"/><Relationship Id="rId1610" Type="http://schemas.openxmlformats.org/officeDocument/2006/relationships/hyperlink" Target="https://www.fangraphs.com/teams/astros" TargetMode="External"/><Relationship Id="rId289" Type="http://schemas.openxmlformats.org/officeDocument/2006/relationships/hyperlink" Target="https://www.fangraphs.com/players/brandon-nimmo/12927/stats" TargetMode="External"/><Relationship Id="rId496" Type="http://schemas.openxmlformats.org/officeDocument/2006/relationships/hyperlink" Target="https://www.fangraphs.com/teams/mets" TargetMode="External"/><Relationship Id="rId2177" Type="http://schemas.openxmlformats.org/officeDocument/2006/relationships/hyperlink" Target="https://www.fangraphs.com/teams/cardinals" TargetMode="External"/><Relationship Id="rId2384" Type="http://schemas.openxmlformats.org/officeDocument/2006/relationships/hyperlink" Target="https://www.fangraphs.com/teams/diamondbacks" TargetMode="External"/><Relationship Id="rId2591" Type="http://schemas.openxmlformats.org/officeDocument/2006/relationships/hyperlink" Target="https://www.fangraphs.com/teams/angels" TargetMode="External"/><Relationship Id="rId149" Type="http://schemas.openxmlformats.org/officeDocument/2006/relationships/hyperlink" Target="https://www.fangraphs.com/players/joe-ryan/21390/stats" TargetMode="External"/><Relationship Id="rId356" Type="http://schemas.openxmlformats.org/officeDocument/2006/relationships/hyperlink" Target="https://www.fangraphs.com/teams/cardinals" TargetMode="External"/><Relationship Id="rId563" Type="http://schemas.openxmlformats.org/officeDocument/2006/relationships/hyperlink" Target="https://www.fangraphs.com/players/cedric-mullins/17929/stats" TargetMode="External"/><Relationship Id="rId770" Type="http://schemas.openxmlformats.org/officeDocument/2006/relationships/hyperlink" Target="https://www.fangraphs.com/players/josh-bell/13145/stats" TargetMode="External"/><Relationship Id="rId1193" Type="http://schemas.openxmlformats.org/officeDocument/2006/relationships/hyperlink" Target="https://www.fangraphs.com/players/kebryan-hayes/18577/stats" TargetMode="External"/><Relationship Id="rId2037" Type="http://schemas.openxmlformats.org/officeDocument/2006/relationships/hyperlink" Target="https://www.fangraphs.com/players/hunter-stratton/23455/stats" TargetMode="External"/><Relationship Id="rId2244" Type="http://schemas.openxmlformats.org/officeDocument/2006/relationships/hyperlink" Target="https://www.fangraphs.com/players/garrett-mcdaniels/31751/stats" TargetMode="External"/><Relationship Id="rId2451" Type="http://schemas.openxmlformats.org/officeDocument/2006/relationships/hyperlink" Target="https://www.fangraphs.com/teams/orioles" TargetMode="External"/><Relationship Id="rId216" Type="http://schemas.openxmlformats.org/officeDocument/2006/relationships/hyperlink" Target="https://www.fangraphs.com/teams/cubs" TargetMode="External"/><Relationship Id="rId423" Type="http://schemas.openxmlformats.org/officeDocument/2006/relationships/hyperlink" Target="https://www.fangraphs.com/players/aaron-nola/16149/stats" TargetMode="External"/><Relationship Id="rId1053" Type="http://schemas.openxmlformats.org/officeDocument/2006/relationships/hyperlink" Target="https://www.fangraphs.com/players/caleb-thielbar/10078/stats" TargetMode="External"/><Relationship Id="rId1260" Type="http://schemas.openxmlformats.org/officeDocument/2006/relationships/hyperlink" Target="https://www.fangraphs.com/teams/phillies" TargetMode="External"/><Relationship Id="rId2104" Type="http://schemas.openxmlformats.org/officeDocument/2006/relationships/hyperlink" Target="https://www.fangraphs.com/teams/blue-jays" TargetMode="External"/><Relationship Id="rId630" Type="http://schemas.openxmlformats.org/officeDocument/2006/relationships/hyperlink" Target="https://www.fangraphs.com/teams/braves" TargetMode="External"/><Relationship Id="rId2311" Type="http://schemas.openxmlformats.org/officeDocument/2006/relationships/hyperlink" Target="https://www.fangraphs.com/players/joe-la-sorsa/25481/stats" TargetMode="External"/><Relationship Id="rId1120" Type="http://schemas.openxmlformats.org/officeDocument/2006/relationships/hyperlink" Target="https://www.fangraphs.com/players/jose-de-leon/15463/stats" TargetMode="External"/><Relationship Id="rId1937" Type="http://schemas.openxmlformats.org/officeDocument/2006/relationships/hyperlink" Target="https://www.fangraphs.com/players/ryan-brasier/5615/stats" TargetMode="External"/><Relationship Id="rId280" Type="http://schemas.openxmlformats.org/officeDocument/2006/relationships/hyperlink" Target="https://www.fangraphs.com/teams/dodgers" TargetMode="External"/><Relationship Id="rId140" Type="http://schemas.openxmlformats.org/officeDocument/2006/relationships/hyperlink" Target="https://www.fangraphs.com/teams/dodgers" TargetMode="External"/><Relationship Id="rId6" Type="http://schemas.openxmlformats.org/officeDocument/2006/relationships/hyperlink" Target="https://www.fangraphs.com/teams/yankees" TargetMode="External"/><Relationship Id="rId2778" Type="http://schemas.openxmlformats.org/officeDocument/2006/relationships/hyperlink" Target="https://www.fangraphs.com/players/jose-miranda/20538/stats" TargetMode="External"/><Relationship Id="rId957" Type="http://schemas.openxmlformats.org/officeDocument/2006/relationships/hyperlink" Target="https://www.fangraphs.com/teams/cubs" TargetMode="External"/><Relationship Id="rId1587" Type="http://schemas.openxmlformats.org/officeDocument/2006/relationships/hyperlink" Target="https://www.fangraphs.com/players/jc-escarra/20084/stats" TargetMode="External"/><Relationship Id="rId1794" Type="http://schemas.openxmlformats.org/officeDocument/2006/relationships/hyperlink" Target="https://www.fangraphs.com/players/nicky-lopez/19339/stats" TargetMode="External"/><Relationship Id="rId2638" Type="http://schemas.openxmlformats.org/officeDocument/2006/relationships/hyperlink" Target="https://www.fangraphs.com/teams/guardians" TargetMode="External"/><Relationship Id="rId2845" Type="http://schemas.openxmlformats.org/officeDocument/2006/relationships/hyperlink" Target="https://www.fangraphs.com/players/jhostynxon-garcia/28142/stats" TargetMode="External"/><Relationship Id="rId86" Type="http://schemas.openxmlformats.org/officeDocument/2006/relationships/hyperlink" Target="https://www.fangraphs.com/teams/guardians" TargetMode="External"/><Relationship Id="rId817" Type="http://schemas.openxmlformats.org/officeDocument/2006/relationships/hyperlink" Target="https://www.fangraphs.com/teams/twins" TargetMode="External"/><Relationship Id="rId1447" Type="http://schemas.openxmlformats.org/officeDocument/2006/relationships/hyperlink" Target="https://www.fangraphs.com/teams/angels" TargetMode="External"/><Relationship Id="rId1654" Type="http://schemas.openxmlformats.org/officeDocument/2006/relationships/hyperlink" Target="https://www.fangraphs.com/players/randy-dobnak/23798/stats" TargetMode="External"/><Relationship Id="rId1861" Type="http://schemas.openxmlformats.org/officeDocument/2006/relationships/hyperlink" Target="https://www.fangraphs.com/players/tyler-owens/26030/stats" TargetMode="External"/><Relationship Id="rId2705" Type="http://schemas.openxmlformats.org/officeDocument/2006/relationships/hyperlink" Target="https://www.fangraphs.com/players/mark-canha/11445/stats" TargetMode="External"/><Relationship Id="rId2912" Type="http://schemas.openxmlformats.org/officeDocument/2006/relationships/hyperlink" Target="https://www.fangraphs.com/teams/rockies" TargetMode="External"/><Relationship Id="rId1307" Type="http://schemas.openxmlformats.org/officeDocument/2006/relationships/hyperlink" Target="https://www.fangraphs.com/players/nic-enright/25553/stats" TargetMode="External"/><Relationship Id="rId1514" Type="http://schemas.openxmlformats.org/officeDocument/2006/relationships/hyperlink" Target="https://www.fangraphs.com/players/elvis-alvarado/21662/stats" TargetMode="External"/><Relationship Id="rId1721" Type="http://schemas.openxmlformats.org/officeDocument/2006/relationships/hyperlink" Target="https://www.fangraphs.com/teams/mariners" TargetMode="External"/><Relationship Id="rId13" Type="http://schemas.openxmlformats.org/officeDocument/2006/relationships/hyperlink" Target="https://www.fangraphs.com/players/ronald-acuna-jr/18401/stats" TargetMode="External"/><Relationship Id="rId2288" Type="http://schemas.openxmlformats.org/officeDocument/2006/relationships/hyperlink" Target="https://www.fangraphs.com/teams/red-sox" TargetMode="External"/><Relationship Id="rId2495" Type="http://schemas.openxmlformats.org/officeDocument/2006/relationships/hyperlink" Target="https://www.fangraphs.com/players/chris-stratton/13761/stats" TargetMode="External"/><Relationship Id="rId467" Type="http://schemas.openxmlformats.org/officeDocument/2006/relationships/hyperlink" Target="https://www.fangraphs.com/players/merrill-kelly/11156/stats" TargetMode="External"/><Relationship Id="rId1097" Type="http://schemas.openxmlformats.org/officeDocument/2006/relationships/hyperlink" Target="https://www.fangraphs.com/teams/marlins" TargetMode="External"/><Relationship Id="rId2148" Type="http://schemas.openxmlformats.org/officeDocument/2006/relationships/hyperlink" Target="https://www.fangraphs.com/players/juan-burgos/27271/stats" TargetMode="External"/><Relationship Id="rId674" Type="http://schemas.openxmlformats.org/officeDocument/2006/relationships/hyperlink" Target="https://www.fangraphs.com/teams/tigers" TargetMode="External"/><Relationship Id="rId881" Type="http://schemas.openxmlformats.org/officeDocument/2006/relationships/hyperlink" Target="https://www.fangraphs.com/players/david-hamilton/27531/stats" TargetMode="External"/><Relationship Id="rId2355" Type="http://schemas.openxmlformats.org/officeDocument/2006/relationships/hyperlink" Target="https://www.fangraphs.com/players/leo-rivas/21009/stats" TargetMode="External"/><Relationship Id="rId2562" Type="http://schemas.openxmlformats.org/officeDocument/2006/relationships/hyperlink" Target="https://www.fangraphs.com/players/colin-holderman/22361/stats" TargetMode="External"/><Relationship Id="rId327" Type="http://schemas.openxmlformats.org/officeDocument/2006/relationships/hyperlink" Target="https://www.fangraphs.com/players/steven-kwan/24610/stats" TargetMode="External"/><Relationship Id="rId534" Type="http://schemas.openxmlformats.org/officeDocument/2006/relationships/hyperlink" Target="https://www.fangraphs.com/teams/mets" TargetMode="External"/><Relationship Id="rId741" Type="http://schemas.openxmlformats.org/officeDocument/2006/relationships/hyperlink" Target="https://www.fangraphs.com/teams/padres" TargetMode="External"/><Relationship Id="rId1164" Type="http://schemas.openxmlformats.org/officeDocument/2006/relationships/hyperlink" Target="https://www.fangraphs.com/teams/twins" TargetMode="External"/><Relationship Id="rId1371" Type="http://schemas.openxmlformats.org/officeDocument/2006/relationships/hyperlink" Target="https://www.fangraphs.com/players/valente-bellozo/23899/stats" TargetMode="External"/><Relationship Id="rId2008" Type="http://schemas.openxmlformats.org/officeDocument/2006/relationships/hyperlink" Target="https://www.fangraphs.com/teams/nationals" TargetMode="External"/><Relationship Id="rId2215" Type="http://schemas.openxmlformats.org/officeDocument/2006/relationships/hyperlink" Target="https://www.fangraphs.com/teams/astros" TargetMode="External"/><Relationship Id="rId2422" Type="http://schemas.openxmlformats.org/officeDocument/2006/relationships/hyperlink" Target="https://www.fangraphs.com/players/austin-slater/16153/stats" TargetMode="External"/><Relationship Id="rId601" Type="http://schemas.openxmlformats.org/officeDocument/2006/relationships/hyperlink" Target="https://www.fangraphs.com/players/matt-wallner/26466/stats" TargetMode="External"/><Relationship Id="rId1024" Type="http://schemas.openxmlformats.org/officeDocument/2006/relationships/hyperlink" Target="https://www.fangraphs.com/players/shelby-miller/10197/stats" TargetMode="External"/><Relationship Id="rId1231" Type="http://schemas.openxmlformats.org/officeDocument/2006/relationships/hyperlink" Target="https://www.fangraphs.com/players/hunter-gaddis/25636/stats" TargetMode="External"/><Relationship Id="rId184" Type="http://schemas.openxmlformats.org/officeDocument/2006/relationships/hyperlink" Target="https://www.fangraphs.com/teams/pirates" TargetMode="External"/><Relationship Id="rId391" Type="http://schemas.openxmlformats.org/officeDocument/2006/relationships/hyperlink" Target="https://www.fangraphs.com/players/daylen-lile/29995/stats" TargetMode="External"/><Relationship Id="rId1908" Type="http://schemas.openxmlformats.org/officeDocument/2006/relationships/hyperlink" Target="https://www.fangraphs.com/teams/rays" TargetMode="External"/><Relationship Id="rId2072" Type="http://schemas.openxmlformats.org/officeDocument/2006/relationships/hyperlink" Target="https://www.fangraphs.com/players/tucker-barnhart/10200/stats" TargetMode="External"/><Relationship Id="rId251" Type="http://schemas.openxmlformats.org/officeDocument/2006/relationships/hyperlink" Target="https://www.fangraphs.com/players/cam-schlittler/32095/stats" TargetMode="External"/><Relationship Id="rId2889" Type="http://schemas.openxmlformats.org/officeDocument/2006/relationships/hyperlink" Target="https://www.fangraphs.com/teams/braves" TargetMode="External"/><Relationship Id="rId111" Type="http://schemas.openxmlformats.org/officeDocument/2006/relationships/hyperlink" Target="https://www.fangraphs.com/players/roman-anthony/31812/stats" TargetMode="External"/><Relationship Id="rId1698" Type="http://schemas.openxmlformats.org/officeDocument/2006/relationships/hyperlink" Target="https://www.fangraphs.com/teams/orioles" TargetMode="External"/><Relationship Id="rId2749" Type="http://schemas.openxmlformats.org/officeDocument/2006/relationships/hyperlink" Target="https://www.fangraphs.com/players/ji-hwan-bae/23818/stats" TargetMode="External"/><Relationship Id="rId928" Type="http://schemas.openxmlformats.org/officeDocument/2006/relationships/hyperlink" Target="https://www.fangraphs.com/teams/marlins" TargetMode="External"/><Relationship Id="rId1558" Type="http://schemas.openxmlformats.org/officeDocument/2006/relationships/hyperlink" Target="https://www.fangraphs.com/teams/royals" TargetMode="External"/><Relationship Id="rId1765" Type="http://schemas.openxmlformats.org/officeDocument/2006/relationships/hyperlink" Target="https://www.fangraphs.com/players/yohan-ramirez/19444/stats" TargetMode="External"/><Relationship Id="rId2609" Type="http://schemas.openxmlformats.org/officeDocument/2006/relationships/hyperlink" Target="https://www.fangraphs.com/teams/twins" TargetMode="External"/><Relationship Id="rId57" Type="http://schemas.openxmlformats.org/officeDocument/2006/relationships/hyperlink" Target="https://www.fangraphs.com/players/trea-turner/16252/stats" TargetMode="External"/><Relationship Id="rId1418" Type="http://schemas.openxmlformats.org/officeDocument/2006/relationships/hyperlink" Target="https://www.fangraphs.com/players/dylan-dodd/29928/stats" TargetMode="External"/><Relationship Id="rId1972" Type="http://schemas.openxmlformats.org/officeDocument/2006/relationships/hyperlink" Target="https://www.fangraphs.com/players/luis-matos/26467/stats" TargetMode="External"/><Relationship Id="rId2816" Type="http://schemas.openxmlformats.org/officeDocument/2006/relationships/hyperlink" Target="https://www.fangraphs.com/teams/orioles" TargetMode="External"/><Relationship Id="rId1625" Type="http://schemas.openxmlformats.org/officeDocument/2006/relationships/hyperlink" Target="https://www.fangraphs.com/players/brian-navarreto/16398/stats" TargetMode="External"/><Relationship Id="rId1832" Type="http://schemas.openxmlformats.org/officeDocument/2006/relationships/hyperlink" Target="https://www.fangraphs.com/players/otto-kemp/31792/stats" TargetMode="External"/><Relationship Id="rId2399" Type="http://schemas.openxmlformats.org/officeDocument/2006/relationships/hyperlink" Target="https://www.fangraphs.com/teams/angels" TargetMode="External"/><Relationship Id="rId578" Type="http://schemas.openxmlformats.org/officeDocument/2006/relationships/hyperlink" Target="https://www.fangraphs.com/teams/rays" TargetMode="External"/><Relationship Id="rId785" Type="http://schemas.openxmlformats.org/officeDocument/2006/relationships/hyperlink" Target="https://www.fangraphs.com/teams/rays" TargetMode="External"/><Relationship Id="rId992" Type="http://schemas.openxmlformats.org/officeDocument/2006/relationships/hyperlink" Target="https://www.fangraphs.com/players/emmanuel-clase/21032/stats" TargetMode="External"/><Relationship Id="rId2259" Type="http://schemas.openxmlformats.org/officeDocument/2006/relationships/hyperlink" Target="https://www.fangraphs.com/players/drew-sommers/32026/stats" TargetMode="External"/><Relationship Id="rId2466" Type="http://schemas.openxmlformats.org/officeDocument/2006/relationships/hyperlink" Target="https://www.fangraphs.com/players/ian-anderson/19951/stats" TargetMode="External"/><Relationship Id="rId2673" Type="http://schemas.openxmlformats.org/officeDocument/2006/relationships/hyperlink" Target="https://www.fangraphs.com/teams/pirates" TargetMode="External"/><Relationship Id="rId2880" Type="http://schemas.openxmlformats.org/officeDocument/2006/relationships/hyperlink" Target="https://www.fangraphs.com/players/ryan-noda/23312/stats" TargetMode="External"/><Relationship Id="rId438" Type="http://schemas.openxmlformats.org/officeDocument/2006/relationships/hyperlink" Target="https://www.fangraphs.com/teams/tigers" TargetMode="External"/><Relationship Id="rId645" Type="http://schemas.openxmlformats.org/officeDocument/2006/relationships/hyperlink" Target="https://www.fangraphs.com/players/jacob-lopez/25098/stats" TargetMode="External"/><Relationship Id="rId852" Type="http://schemas.openxmlformats.org/officeDocument/2006/relationships/hyperlink" Target="https://www.fangraphs.com/teams/diamondbacks" TargetMode="External"/><Relationship Id="rId1068" Type="http://schemas.openxmlformats.org/officeDocument/2006/relationships/hyperlink" Target="https://www.fangraphs.com/teams/astros" TargetMode="External"/><Relationship Id="rId1275" Type="http://schemas.openxmlformats.org/officeDocument/2006/relationships/hyperlink" Target="https://www.fangraphs.com/players/rowdy-tellez/15679/stats" TargetMode="External"/><Relationship Id="rId1482" Type="http://schemas.openxmlformats.org/officeDocument/2006/relationships/hyperlink" Target="https://www.fangraphs.com/teams/giants" TargetMode="External"/><Relationship Id="rId2119" Type="http://schemas.openxmlformats.org/officeDocument/2006/relationships/hyperlink" Target="https://www.fangraphs.com/players/tyler-matzek/10058/stats" TargetMode="External"/><Relationship Id="rId2326" Type="http://schemas.openxmlformats.org/officeDocument/2006/relationships/hyperlink" Target="https://www.fangraphs.com/players/michael-massey/27684/stats" TargetMode="External"/><Relationship Id="rId2533" Type="http://schemas.openxmlformats.org/officeDocument/2006/relationships/hyperlink" Target="https://www.fangraphs.com/teams/astros" TargetMode="External"/><Relationship Id="rId2740" Type="http://schemas.openxmlformats.org/officeDocument/2006/relationships/hyperlink" Target="https://www.fangraphs.com/teams/pirates" TargetMode="External"/><Relationship Id="rId505" Type="http://schemas.openxmlformats.org/officeDocument/2006/relationships/hyperlink" Target="https://www.fangraphs.com/players/trent-grisham/18564/stats" TargetMode="External"/><Relationship Id="rId712" Type="http://schemas.openxmlformats.org/officeDocument/2006/relationships/hyperlink" Target="https://www.fangraphs.com/players/johan-oviedo/22487/stats" TargetMode="External"/><Relationship Id="rId1135" Type="http://schemas.openxmlformats.org/officeDocument/2006/relationships/hyperlink" Target="https://www.fangraphs.com/teams/tigers" TargetMode="External"/><Relationship Id="rId1342" Type="http://schemas.openxmlformats.org/officeDocument/2006/relationships/hyperlink" Target="https://www.fangraphs.com/players/graham-ashcraft/27552/stats" TargetMode="External"/><Relationship Id="rId1202" Type="http://schemas.openxmlformats.org/officeDocument/2006/relationships/hyperlink" Target="https://www.fangraphs.com/teams/twins" TargetMode="External"/><Relationship Id="rId2600" Type="http://schemas.openxmlformats.org/officeDocument/2006/relationships/hyperlink" Target="https://www.fangraphs.com/players/matt-vierling/21558/stats" TargetMode="External"/><Relationship Id="rId295" Type="http://schemas.openxmlformats.org/officeDocument/2006/relationships/hyperlink" Target="https://www.fangraphs.com/players/lawrence-butler/22542/stats" TargetMode="External"/><Relationship Id="rId2183" Type="http://schemas.openxmlformats.org/officeDocument/2006/relationships/hyperlink" Target="https://www.fangraphs.com/players/maverick-handley/26106/stats" TargetMode="External"/><Relationship Id="rId2390" Type="http://schemas.openxmlformats.org/officeDocument/2006/relationships/hyperlink" Target="https://www.fangraphs.com/teams/white-sox" TargetMode="External"/><Relationship Id="rId155" Type="http://schemas.openxmlformats.org/officeDocument/2006/relationships/hyperlink" Target="https://www.fangraphs.com/players/cody-bellinger/15998/stats" TargetMode="External"/><Relationship Id="rId362" Type="http://schemas.openxmlformats.org/officeDocument/2006/relationships/hyperlink" Target="https://www.fangraphs.com/teams/reds" TargetMode="External"/><Relationship Id="rId2043" Type="http://schemas.openxmlformats.org/officeDocument/2006/relationships/hyperlink" Target="https://www.fangraphs.com/players/austin-nola/15941/stats" TargetMode="External"/><Relationship Id="rId2250" Type="http://schemas.openxmlformats.org/officeDocument/2006/relationships/hyperlink" Target="https://www.fangraphs.com/players/joey-loperfido/29630/stats" TargetMode="External"/><Relationship Id="rId222" Type="http://schemas.openxmlformats.org/officeDocument/2006/relationships/hyperlink" Target="https://www.fangraphs.com/teams/reds" TargetMode="External"/><Relationship Id="rId2110" Type="http://schemas.openxmlformats.org/officeDocument/2006/relationships/hyperlink" Target="https://www.fangraphs.com/teams/astros" TargetMode="External"/><Relationship Id="rId1669" Type="http://schemas.openxmlformats.org/officeDocument/2006/relationships/hyperlink" Target="https://www.fangraphs.com/teams/cardinals" TargetMode="External"/><Relationship Id="rId1876" Type="http://schemas.openxmlformats.org/officeDocument/2006/relationships/hyperlink" Target="https://www.fangraphs.com/players/codi-heuer/23293/stats" TargetMode="External"/><Relationship Id="rId2927" Type="http://schemas.openxmlformats.org/officeDocument/2006/relationships/hyperlink" Target="https://www.fangraphs.com/players/jack-kochanowicz/27688/stats" TargetMode="External"/><Relationship Id="rId1529" Type="http://schemas.openxmlformats.org/officeDocument/2006/relationships/hyperlink" Target="https://www.fangraphs.com/players/martin-maldonado/6887/stats" TargetMode="External"/><Relationship Id="rId1736" Type="http://schemas.openxmlformats.org/officeDocument/2006/relationships/hyperlink" Target="https://www.fangraphs.com/players/bailey-horn/27753/stats" TargetMode="External"/><Relationship Id="rId1943" Type="http://schemas.openxmlformats.org/officeDocument/2006/relationships/hyperlink" Target="https://www.fangraphs.com/players/chadwick-tromp/16953/stats" TargetMode="External"/><Relationship Id="rId28" Type="http://schemas.openxmlformats.org/officeDocument/2006/relationships/hyperlink" Target="https://www.fangraphs.com/teams/orioles" TargetMode="External"/><Relationship Id="rId1803" Type="http://schemas.openxmlformats.org/officeDocument/2006/relationships/hyperlink" Target="https://www.fangraphs.com/players/eduardo-rodriguez/13164/stats" TargetMode="External"/><Relationship Id="rId689" Type="http://schemas.openxmlformats.org/officeDocument/2006/relationships/hyperlink" Target="https://www.fangraphs.com/players/jordan-leasure/29950/stats" TargetMode="External"/><Relationship Id="rId896" Type="http://schemas.openxmlformats.org/officeDocument/2006/relationships/hyperlink" Target="https://www.fangraphs.com/teams/athletics" TargetMode="External"/><Relationship Id="rId2577" Type="http://schemas.openxmlformats.org/officeDocument/2006/relationships/hyperlink" Target="https://www.fangraphs.com/teams/rockies" TargetMode="External"/><Relationship Id="rId2784" Type="http://schemas.openxmlformats.org/officeDocument/2006/relationships/hyperlink" Target="https://www.fangraphs.com/teams/nationals" TargetMode="External"/><Relationship Id="rId549" Type="http://schemas.openxmlformats.org/officeDocument/2006/relationships/hyperlink" Target="https://www.fangraphs.com/players/matt-shaw/33322/stats" TargetMode="External"/><Relationship Id="rId756" Type="http://schemas.openxmlformats.org/officeDocument/2006/relationships/hyperlink" Target="https://www.fangraphs.com/players/luis-morales/32227/stats" TargetMode="External"/><Relationship Id="rId1179" Type="http://schemas.openxmlformats.org/officeDocument/2006/relationships/hyperlink" Target="https://www.fangraphs.com/players/jimmy-herget/17556/stats" TargetMode="External"/><Relationship Id="rId1386" Type="http://schemas.openxmlformats.org/officeDocument/2006/relationships/hyperlink" Target="https://www.fangraphs.com/teams/guardians" TargetMode="External"/><Relationship Id="rId1593" Type="http://schemas.openxmlformats.org/officeDocument/2006/relationships/hyperlink" Target="https://www.fangraphs.com/teams/rockies" TargetMode="External"/><Relationship Id="rId2437" Type="http://schemas.openxmlformats.org/officeDocument/2006/relationships/hyperlink" Target="https://www.fangraphs.com/players/ezequiel-duran/23733/stats" TargetMode="External"/><Relationship Id="rId409" Type="http://schemas.openxmlformats.org/officeDocument/2006/relationships/hyperlink" Target="https://www.fangraphs.com/players/addison-barger/24598/stats" TargetMode="External"/><Relationship Id="rId963" Type="http://schemas.openxmlformats.org/officeDocument/2006/relationships/hyperlink" Target="https://www.fangraphs.com/teams/rangers" TargetMode="External"/><Relationship Id="rId1039" Type="http://schemas.openxmlformats.org/officeDocument/2006/relationships/hyperlink" Target="https://www.fangraphs.com/players/andrew-alvarez/29914/stats" TargetMode="External"/><Relationship Id="rId1246" Type="http://schemas.openxmlformats.org/officeDocument/2006/relationships/hyperlink" Target="https://www.fangraphs.com/players/keibert-ruiz/19610/stats" TargetMode="External"/><Relationship Id="rId2644" Type="http://schemas.openxmlformats.org/officeDocument/2006/relationships/hyperlink" Target="https://www.fangraphs.com/teams/rangers" TargetMode="External"/><Relationship Id="rId2851" Type="http://schemas.openxmlformats.org/officeDocument/2006/relationships/hyperlink" Target="https://www.fangraphs.com/players/zac-veen/27770/stats" TargetMode="External"/><Relationship Id="rId92" Type="http://schemas.openxmlformats.org/officeDocument/2006/relationships/hyperlink" Target="https://www.fangraphs.com/teams/royals" TargetMode="External"/><Relationship Id="rId616" Type="http://schemas.openxmlformats.org/officeDocument/2006/relationships/hyperlink" Target="https://www.fangraphs.com/teams/angels" TargetMode="External"/><Relationship Id="rId823" Type="http://schemas.openxmlformats.org/officeDocument/2006/relationships/hyperlink" Target="https://www.fangraphs.com/teams/yankees" TargetMode="External"/><Relationship Id="rId1453" Type="http://schemas.openxmlformats.org/officeDocument/2006/relationships/hyperlink" Target="https://www.fangraphs.com/teams/tigers" TargetMode="External"/><Relationship Id="rId1660" Type="http://schemas.openxmlformats.org/officeDocument/2006/relationships/hyperlink" Target="https://www.fangraphs.com/players/luis-vazquez/23442/stats" TargetMode="External"/><Relationship Id="rId2504" Type="http://schemas.openxmlformats.org/officeDocument/2006/relationships/hyperlink" Target="https://www.fangraphs.com/players/oswald-peraza/22823/stats" TargetMode="External"/><Relationship Id="rId2711" Type="http://schemas.openxmlformats.org/officeDocument/2006/relationships/hyperlink" Target="https://www.fangraphs.com/teams/astros" TargetMode="External"/><Relationship Id="rId1106" Type="http://schemas.openxmlformats.org/officeDocument/2006/relationships/hyperlink" Target="https://www.fangraphs.com/players/elias-diaz/11680/stats" TargetMode="External"/><Relationship Id="rId1313" Type="http://schemas.openxmlformats.org/officeDocument/2006/relationships/hyperlink" Target="https://www.fangraphs.com/players/daniel-lynch-iv/21537/stats" TargetMode="External"/><Relationship Id="rId1520" Type="http://schemas.openxmlformats.org/officeDocument/2006/relationships/hyperlink" Target="https://www.fangraphs.com/teams/padres" TargetMode="External"/><Relationship Id="rId199" Type="http://schemas.openxmlformats.org/officeDocument/2006/relationships/hyperlink" Target="https://www.fangraphs.com/players/corey-seager/13624/stats" TargetMode="External"/><Relationship Id="rId2087" Type="http://schemas.openxmlformats.org/officeDocument/2006/relationships/hyperlink" Target="https://www.fangraphs.com/teams/cubs" TargetMode="External"/><Relationship Id="rId2294" Type="http://schemas.openxmlformats.org/officeDocument/2006/relationships/hyperlink" Target="https://www.fangraphs.com/players/anthony-maldonado/26034/stats" TargetMode="External"/><Relationship Id="rId266" Type="http://schemas.openxmlformats.org/officeDocument/2006/relationships/hyperlink" Target="https://www.fangraphs.com/teams/giants" TargetMode="External"/><Relationship Id="rId473" Type="http://schemas.openxmlformats.org/officeDocument/2006/relationships/hyperlink" Target="https://www.fangraphs.com/players/ryan-weathers/23796/stats" TargetMode="External"/><Relationship Id="rId680" Type="http://schemas.openxmlformats.org/officeDocument/2006/relationships/hyperlink" Target="https://www.fangraphs.com/teams/royals" TargetMode="External"/><Relationship Id="rId2154" Type="http://schemas.openxmlformats.org/officeDocument/2006/relationships/hyperlink" Target="https://www.fangraphs.com/players/jon-gray/14916/stats" TargetMode="External"/><Relationship Id="rId2361" Type="http://schemas.openxmlformats.org/officeDocument/2006/relationships/hyperlink" Target="https://www.fangraphs.com/players/austin-nola/15941/stats" TargetMode="External"/><Relationship Id="rId126" Type="http://schemas.openxmlformats.org/officeDocument/2006/relationships/hyperlink" Target="https://www.fangraphs.com/teams/giants" TargetMode="External"/><Relationship Id="rId333" Type="http://schemas.openxmlformats.org/officeDocument/2006/relationships/hyperlink" Target="https://www.fangraphs.com/players/mackenzie-gore/22201/stats" TargetMode="External"/><Relationship Id="rId540" Type="http://schemas.openxmlformats.org/officeDocument/2006/relationships/hyperlink" Target="https://www.fangraphs.com/teams/rockies" TargetMode="External"/><Relationship Id="rId1170" Type="http://schemas.openxmlformats.org/officeDocument/2006/relationships/hyperlink" Target="https://www.fangraphs.com/teams/tigers" TargetMode="External"/><Relationship Id="rId2014" Type="http://schemas.openxmlformats.org/officeDocument/2006/relationships/hyperlink" Target="https://www.fangraphs.com/teams/pirates" TargetMode="External"/><Relationship Id="rId2221" Type="http://schemas.openxmlformats.org/officeDocument/2006/relationships/hyperlink" Target="https://www.fangraphs.com/players/cam-sanders/23479/stats" TargetMode="External"/><Relationship Id="rId1030" Type="http://schemas.openxmlformats.org/officeDocument/2006/relationships/hyperlink" Target="https://www.fangraphs.com/players/wilmer-flores/5827/stats" TargetMode="External"/><Relationship Id="rId400" Type="http://schemas.openxmlformats.org/officeDocument/2006/relationships/hyperlink" Target="https://www.fangraphs.com/teams/white-sox" TargetMode="External"/><Relationship Id="rId1987" Type="http://schemas.openxmlformats.org/officeDocument/2006/relationships/hyperlink" Target="https://www.fangraphs.com/teams/braves" TargetMode="External"/><Relationship Id="rId1847" Type="http://schemas.openxmlformats.org/officeDocument/2006/relationships/hyperlink" Target="https://www.fangraphs.com/players/zak-kent/25703/stats" TargetMode="External"/><Relationship Id="rId1707" Type="http://schemas.openxmlformats.org/officeDocument/2006/relationships/hyperlink" Target="https://www.fangraphs.com/teams/diamondbacks" TargetMode="External"/><Relationship Id="rId190" Type="http://schemas.openxmlformats.org/officeDocument/2006/relationships/hyperlink" Target="https://www.fangraphs.com/teams/royals" TargetMode="External"/><Relationship Id="rId1914" Type="http://schemas.openxmlformats.org/officeDocument/2006/relationships/hyperlink" Target="https://www.fangraphs.com/teams/diamondbacks" TargetMode="External"/><Relationship Id="rId2688" Type="http://schemas.openxmlformats.org/officeDocument/2006/relationships/hyperlink" Target="https://www.fangraphs.com/teams/diamondbacks" TargetMode="External"/><Relationship Id="rId2895" Type="http://schemas.openxmlformats.org/officeDocument/2006/relationships/hyperlink" Target="https://www.fangraphs.com/teams/angels" TargetMode="External"/><Relationship Id="rId867" Type="http://schemas.openxmlformats.org/officeDocument/2006/relationships/hyperlink" Target="https://www.fangraphs.com/players/nasim-nunez/25979/stats" TargetMode="External"/><Relationship Id="rId1497" Type="http://schemas.openxmlformats.org/officeDocument/2006/relationships/hyperlink" Target="https://www.fangraphs.com/teams/brewers" TargetMode="External"/><Relationship Id="rId2548" Type="http://schemas.openxmlformats.org/officeDocument/2006/relationships/hyperlink" Target="https://www.fangraphs.com/players/griffin-conine/21626/stats" TargetMode="External"/><Relationship Id="rId2755" Type="http://schemas.openxmlformats.org/officeDocument/2006/relationships/hyperlink" Target="https://www.fangraphs.com/players/tim-anderson/15172/stats" TargetMode="External"/><Relationship Id="rId727" Type="http://schemas.openxmlformats.org/officeDocument/2006/relationships/hyperlink" Target="https://www.fangraphs.com/teams/padres" TargetMode="External"/><Relationship Id="rId934" Type="http://schemas.openxmlformats.org/officeDocument/2006/relationships/hyperlink" Target="https://www.fangraphs.com/teams/orioles" TargetMode="External"/><Relationship Id="rId1357" Type="http://schemas.openxmlformats.org/officeDocument/2006/relationships/hyperlink" Target="https://www.fangraphs.com/teams/athletics" TargetMode="External"/><Relationship Id="rId1564" Type="http://schemas.openxmlformats.org/officeDocument/2006/relationships/hyperlink" Target="https://www.fangraphs.com/teams/cubs" TargetMode="External"/><Relationship Id="rId1771" Type="http://schemas.openxmlformats.org/officeDocument/2006/relationships/hyperlink" Target="https://www.fangraphs.com/players/reiver-sanmartin/19754/stats" TargetMode="External"/><Relationship Id="rId2408" Type="http://schemas.openxmlformats.org/officeDocument/2006/relationships/hyperlink" Target="https://www.fangraphs.com/players/kendall-graveman/15514/stats" TargetMode="External"/><Relationship Id="rId2615" Type="http://schemas.openxmlformats.org/officeDocument/2006/relationships/hyperlink" Target="https://www.fangraphs.com/teams/white-sox" TargetMode="External"/><Relationship Id="rId2822" Type="http://schemas.openxmlformats.org/officeDocument/2006/relationships/hyperlink" Target="https://www.fangraphs.com/teams/dodgers" TargetMode="External"/><Relationship Id="rId63" Type="http://schemas.openxmlformats.org/officeDocument/2006/relationships/hyperlink" Target="https://www.fangraphs.com/players/ketel-marte/13613/stats" TargetMode="External"/><Relationship Id="rId1217" Type="http://schemas.openxmlformats.org/officeDocument/2006/relationships/hyperlink" Target="https://www.fangraphs.com/players/logan-allen/27589/stats" TargetMode="External"/><Relationship Id="rId1424" Type="http://schemas.openxmlformats.org/officeDocument/2006/relationships/hyperlink" Target="https://www.fangraphs.com/players/christopher-morel/21897/stats" TargetMode="External"/><Relationship Id="rId1631" Type="http://schemas.openxmlformats.org/officeDocument/2006/relationships/hyperlink" Target="https://www.fangraphs.com/players/julian-fernandez/18341/stats" TargetMode="External"/><Relationship Id="rId2198" Type="http://schemas.openxmlformats.org/officeDocument/2006/relationships/hyperlink" Target="https://www.fangraphs.com/teams/cardinals" TargetMode="External"/><Relationship Id="rId377" Type="http://schemas.openxmlformats.org/officeDocument/2006/relationships/hyperlink" Target="https://www.fangraphs.com/players/griffin-jax/20253/stats" TargetMode="External"/><Relationship Id="rId584" Type="http://schemas.openxmlformats.org/officeDocument/2006/relationships/hyperlink" Target="https://www.fangraphs.com/teams/brewers" TargetMode="External"/><Relationship Id="rId2058" Type="http://schemas.openxmlformats.org/officeDocument/2006/relationships/hyperlink" Target="https://www.fangraphs.com/teams/reds" TargetMode="External"/><Relationship Id="rId2265" Type="http://schemas.openxmlformats.org/officeDocument/2006/relationships/hyperlink" Target="https://www.fangraphs.com/players/dane-dunning/19409/stats" TargetMode="External"/><Relationship Id="rId237" Type="http://schemas.openxmlformats.org/officeDocument/2006/relationships/hyperlink" Target="https://www.fangraphs.com/players/kevin-gausman/14107/stats" TargetMode="External"/><Relationship Id="rId791" Type="http://schemas.openxmlformats.org/officeDocument/2006/relationships/hyperlink" Target="https://www.fangraphs.com/teams/red-sox" TargetMode="External"/><Relationship Id="rId1074" Type="http://schemas.openxmlformats.org/officeDocument/2006/relationships/hyperlink" Target="https://www.fangraphs.com/teams/cubs" TargetMode="External"/><Relationship Id="rId2472" Type="http://schemas.openxmlformats.org/officeDocument/2006/relationships/hyperlink" Target="https://www.fangraphs.com/teams/rangers" TargetMode="External"/><Relationship Id="rId444" Type="http://schemas.openxmlformats.org/officeDocument/2006/relationships/hyperlink" Target="https://www.fangraphs.com/teams/astros" TargetMode="External"/><Relationship Id="rId651" Type="http://schemas.openxmlformats.org/officeDocument/2006/relationships/hyperlink" Target="https://www.fangraphs.com/players/chris-bassitt/12304/stats" TargetMode="External"/><Relationship Id="rId1281" Type="http://schemas.openxmlformats.org/officeDocument/2006/relationships/hyperlink" Target="https://www.fangraphs.com/teams/astros" TargetMode="External"/><Relationship Id="rId2125" Type="http://schemas.openxmlformats.org/officeDocument/2006/relationships/hyperlink" Target="https://www.fangraphs.com/players/carson-seymour/30084/stats" TargetMode="External"/><Relationship Id="rId2332" Type="http://schemas.openxmlformats.org/officeDocument/2006/relationships/hyperlink" Target="https://www.fangraphs.com/players/julian-merryweather/16703/stats" TargetMode="External"/><Relationship Id="rId304" Type="http://schemas.openxmlformats.org/officeDocument/2006/relationships/hyperlink" Target="https://www.fangraphs.com/teams/cubs" TargetMode="External"/><Relationship Id="rId511" Type="http://schemas.openxmlformats.org/officeDocument/2006/relationships/hyperlink" Target="https://www.fangraphs.com/players/colton-cowser/29591/stats" TargetMode="External"/><Relationship Id="rId1141" Type="http://schemas.openxmlformats.org/officeDocument/2006/relationships/hyperlink" Target="https://www.fangraphs.com/teams/padres" TargetMode="External"/><Relationship Id="rId1001" Type="http://schemas.openxmlformats.org/officeDocument/2006/relationships/hyperlink" Target="https://www.fangraphs.com/teams/pirates" TargetMode="External"/><Relationship Id="rId1958" Type="http://schemas.openxmlformats.org/officeDocument/2006/relationships/hyperlink" Target="https://www.fangraphs.com/players/matt-gage/17381/stats" TargetMode="External"/><Relationship Id="rId1818" Type="http://schemas.openxmlformats.org/officeDocument/2006/relationships/hyperlink" Target="https://www.fangraphs.com/teams/reds" TargetMode="External"/><Relationship Id="rId161" Type="http://schemas.openxmlformats.org/officeDocument/2006/relationships/hyperlink" Target="https://www.fangraphs.com/players/dylan-cease/18525/stats" TargetMode="External"/><Relationship Id="rId2799" Type="http://schemas.openxmlformats.org/officeDocument/2006/relationships/hyperlink" Target="https://www.fangraphs.com/teams/mariners" TargetMode="External"/><Relationship Id="rId978" Type="http://schemas.openxmlformats.org/officeDocument/2006/relationships/hyperlink" Target="https://www.fangraphs.com/players/jose-quintana/11423/stats" TargetMode="External"/><Relationship Id="rId2659" Type="http://schemas.openxmlformats.org/officeDocument/2006/relationships/hyperlink" Target="https://www.fangraphs.com/players/noah-davis/25862/stats" TargetMode="External"/><Relationship Id="rId2866" Type="http://schemas.openxmlformats.org/officeDocument/2006/relationships/hyperlink" Target="https://www.fangraphs.com/players/ryan-vilade/22165/stats" TargetMode="External"/><Relationship Id="rId838" Type="http://schemas.openxmlformats.org/officeDocument/2006/relationships/hyperlink" Target="https://www.fangraphs.com/teams/rockies" TargetMode="External"/><Relationship Id="rId1468" Type="http://schemas.openxmlformats.org/officeDocument/2006/relationships/hyperlink" Target="https://www.fangraphs.com/players/blade-tidwell/31701/stats" TargetMode="External"/><Relationship Id="rId1675" Type="http://schemas.openxmlformats.org/officeDocument/2006/relationships/hyperlink" Target="https://www.fangraphs.com/players/bryan-hoeing/26304/stats" TargetMode="External"/><Relationship Id="rId1882" Type="http://schemas.openxmlformats.org/officeDocument/2006/relationships/hyperlink" Target="https://www.fangraphs.com/teams/mets" TargetMode="External"/><Relationship Id="rId2519" Type="http://schemas.openxmlformats.org/officeDocument/2006/relationships/hyperlink" Target="https://www.fangraphs.com/players/adrian-del-castillo/29554/stats" TargetMode="External"/><Relationship Id="rId2726" Type="http://schemas.openxmlformats.org/officeDocument/2006/relationships/hyperlink" Target="https://www.fangraphs.com/teams/braves" TargetMode="External"/><Relationship Id="rId1328" Type="http://schemas.openxmlformats.org/officeDocument/2006/relationships/hyperlink" Target="https://www.fangraphs.com/players/kolby-allard/18694/stats" TargetMode="External"/><Relationship Id="rId1535" Type="http://schemas.openxmlformats.org/officeDocument/2006/relationships/hyperlink" Target="https://www.fangraphs.com/teams/twins" TargetMode="External"/><Relationship Id="rId905" Type="http://schemas.openxmlformats.org/officeDocument/2006/relationships/hyperlink" Target="https://www.fangraphs.com/players/paul-goldschmidt/9218/stats" TargetMode="External"/><Relationship Id="rId1742" Type="http://schemas.openxmlformats.org/officeDocument/2006/relationships/hyperlink" Target="https://www.fangraphs.com/players/luke-maile/13355/stats" TargetMode="External"/><Relationship Id="rId34" Type="http://schemas.openxmlformats.org/officeDocument/2006/relationships/hyperlink" Target="https://www.fangraphs.com/teams/rays" TargetMode="External"/><Relationship Id="rId1602" Type="http://schemas.openxmlformats.org/officeDocument/2006/relationships/hyperlink" Target="https://www.fangraphs.com/teams/dodgers" TargetMode="External"/><Relationship Id="rId488" Type="http://schemas.openxmlformats.org/officeDocument/2006/relationships/hyperlink" Target="https://www.fangraphs.com/teams/dodgers" TargetMode="External"/><Relationship Id="rId695" Type="http://schemas.openxmlformats.org/officeDocument/2006/relationships/hyperlink" Target="https://www.fangraphs.com/players/grant-holmes/16944/stats" TargetMode="External"/><Relationship Id="rId2169" Type="http://schemas.openxmlformats.org/officeDocument/2006/relationships/hyperlink" Target="https://www.fangraphs.com/players/andy-ibanez/18819/stats" TargetMode="External"/><Relationship Id="rId2376" Type="http://schemas.openxmlformats.org/officeDocument/2006/relationships/hyperlink" Target="https://www.fangraphs.com/players/cole-young/31680/stats" TargetMode="External"/><Relationship Id="rId2583" Type="http://schemas.openxmlformats.org/officeDocument/2006/relationships/hyperlink" Target="https://www.fangraphs.com/teams/twins" TargetMode="External"/><Relationship Id="rId2790" Type="http://schemas.openxmlformats.org/officeDocument/2006/relationships/hyperlink" Target="https://www.fangraphs.com/players/cal-stevenson/22411/stats" TargetMode="External"/><Relationship Id="rId348" Type="http://schemas.openxmlformats.org/officeDocument/2006/relationships/hyperlink" Target="https://www.fangraphs.com/teams/orioles" TargetMode="External"/><Relationship Id="rId555" Type="http://schemas.openxmlformats.org/officeDocument/2006/relationships/hyperlink" Target="https://www.fangraphs.com/players/kirby-yates/9073/stats" TargetMode="External"/><Relationship Id="rId762" Type="http://schemas.openxmlformats.org/officeDocument/2006/relationships/hyperlink" Target="https://www.fangraphs.com/players/michael-wacha/14078/stats" TargetMode="External"/><Relationship Id="rId1185" Type="http://schemas.openxmlformats.org/officeDocument/2006/relationships/hyperlink" Target="https://www.fangraphs.com/players/bryan-baker/19804/stats" TargetMode="External"/><Relationship Id="rId1392" Type="http://schemas.openxmlformats.org/officeDocument/2006/relationships/hyperlink" Target="https://www.fangraphs.com/players/nestor-cortes/17874/stats" TargetMode="External"/><Relationship Id="rId2029" Type="http://schemas.openxmlformats.org/officeDocument/2006/relationships/hyperlink" Target="https://www.fangraphs.com/teams/brewers" TargetMode="External"/><Relationship Id="rId2236" Type="http://schemas.openxmlformats.org/officeDocument/2006/relationships/hyperlink" Target="https://www.fangraphs.com/teams/brewers" TargetMode="External"/><Relationship Id="rId2443" Type="http://schemas.openxmlformats.org/officeDocument/2006/relationships/hyperlink" Target="https://www.fangraphs.com/players/zach-pop/20185/stats" TargetMode="External"/><Relationship Id="rId2650" Type="http://schemas.openxmlformats.org/officeDocument/2006/relationships/hyperlink" Target="https://www.fangraphs.com/players/george-valera/22541/stats" TargetMode="External"/><Relationship Id="rId208" Type="http://schemas.openxmlformats.org/officeDocument/2006/relationships/hyperlink" Target="https://www.fangraphs.com/teams/dodgers" TargetMode="External"/><Relationship Id="rId415" Type="http://schemas.openxmlformats.org/officeDocument/2006/relationships/hyperlink" Target="https://www.fangraphs.com/players/daulton-varsho/19918/stats" TargetMode="External"/><Relationship Id="rId622" Type="http://schemas.openxmlformats.org/officeDocument/2006/relationships/hyperlink" Target="https://www.fangraphs.com/teams/mets" TargetMode="External"/><Relationship Id="rId1045" Type="http://schemas.openxmlformats.org/officeDocument/2006/relationships/hyperlink" Target="https://www.fangraphs.com/players/ben-lively/14932/stats" TargetMode="External"/><Relationship Id="rId1252" Type="http://schemas.openxmlformats.org/officeDocument/2006/relationships/hyperlink" Target="https://www.fangraphs.com/teams/reds" TargetMode="External"/><Relationship Id="rId2303" Type="http://schemas.openxmlformats.org/officeDocument/2006/relationships/hyperlink" Target="https://www.fangraphs.com/players/jhonny-pereda/19802/stats" TargetMode="External"/><Relationship Id="rId2510" Type="http://schemas.openxmlformats.org/officeDocument/2006/relationships/hyperlink" Target="https://www.fangraphs.com/players/alex-verdugo/17027/stats" TargetMode="External"/><Relationship Id="rId1112" Type="http://schemas.openxmlformats.org/officeDocument/2006/relationships/hyperlink" Target="https://www.fangraphs.com/players/logan-evans/33699/stats" TargetMode="External"/><Relationship Id="rId1929" Type="http://schemas.openxmlformats.org/officeDocument/2006/relationships/hyperlink" Target="https://www.fangraphs.com/teams/athletics" TargetMode="External"/><Relationship Id="rId2093" Type="http://schemas.openxmlformats.org/officeDocument/2006/relationships/hyperlink" Target="https://www.fangraphs.com/teams/yankees" TargetMode="External"/><Relationship Id="rId272" Type="http://schemas.openxmlformats.org/officeDocument/2006/relationships/hyperlink" Target="https://www.fangraphs.com/teams/brewers" TargetMode="External"/><Relationship Id="rId2160" Type="http://schemas.openxmlformats.org/officeDocument/2006/relationships/hyperlink" Target="https://www.fangraphs.com/players/jonathan-cannon/31730/stats" TargetMode="External"/><Relationship Id="rId132" Type="http://schemas.openxmlformats.org/officeDocument/2006/relationships/hyperlink" Target="https://www.fangraphs.com/teams/mariners" TargetMode="External"/><Relationship Id="rId2020" Type="http://schemas.openxmlformats.org/officeDocument/2006/relationships/hyperlink" Target="https://www.fangraphs.com/teams/angels" TargetMode="External"/><Relationship Id="rId1579" Type="http://schemas.openxmlformats.org/officeDocument/2006/relationships/hyperlink" Target="https://www.fangraphs.com/players/yuki-matsui/33826/stats" TargetMode="External"/><Relationship Id="rId949" Type="http://schemas.openxmlformats.org/officeDocument/2006/relationships/hyperlink" Target="https://www.fangraphs.com/players/clayton-kershaw/2036/stats" TargetMode="External"/><Relationship Id="rId1786" Type="http://schemas.openxmlformats.org/officeDocument/2006/relationships/hyperlink" Target="https://www.fangraphs.com/players/fraser-ellard/29530/stats" TargetMode="External"/><Relationship Id="rId1993" Type="http://schemas.openxmlformats.org/officeDocument/2006/relationships/hyperlink" Target="https://www.fangraphs.com/players/endy-rodriguez/25332/stats" TargetMode="External"/><Relationship Id="rId2837" Type="http://schemas.openxmlformats.org/officeDocument/2006/relationships/hyperlink" Target="https://www.fangraphs.com/teams/royals" TargetMode="External"/><Relationship Id="rId78" Type="http://schemas.openxmlformats.org/officeDocument/2006/relationships/hyperlink" Target="https://www.fangraphs.com/teams/braves" TargetMode="External"/><Relationship Id="rId809" Type="http://schemas.openxmlformats.org/officeDocument/2006/relationships/hyperlink" Target="https://www.fangraphs.com/teams/rays" TargetMode="External"/><Relationship Id="rId1439" Type="http://schemas.openxmlformats.org/officeDocument/2006/relationships/hyperlink" Target="https://www.fangraphs.com/teams/royals" TargetMode="External"/><Relationship Id="rId1646" Type="http://schemas.openxmlformats.org/officeDocument/2006/relationships/hyperlink" Target="https://www.fangraphs.com/players/evan-sisk/24995/stats" TargetMode="External"/><Relationship Id="rId1853" Type="http://schemas.openxmlformats.org/officeDocument/2006/relationships/hyperlink" Target="https://www.fangraphs.com/players/logan-porter/20626/stats" TargetMode="External"/><Relationship Id="rId2904" Type="http://schemas.openxmlformats.org/officeDocument/2006/relationships/hyperlink" Target="https://www.fangraphs.com/players/leo-jimenez/23782/stats" TargetMode="External"/><Relationship Id="rId1506" Type="http://schemas.openxmlformats.org/officeDocument/2006/relationships/hyperlink" Target="https://www.fangraphs.com/players/eric-orze/27626/stats" TargetMode="External"/><Relationship Id="rId1713" Type="http://schemas.openxmlformats.org/officeDocument/2006/relationships/hyperlink" Target="https://www.fangraphs.com/teams/braves" TargetMode="External"/><Relationship Id="rId1920" Type="http://schemas.openxmlformats.org/officeDocument/2006/relationships/hyperlink" Target="https://www.fangraphs.com/teams/red-sox" TargetMode="External"/><Relationship Id="rId599" Type="http://schemas.openxmlformats.org/officeDocument/2006/relationships/hyperlink" Target="https://www.fangraphs.com/players/jose-soriano/22100/stats" TargetMode="External"/><Relationship Id="rId2487" Type="http://schemas.openxmlformats.org/officeDocument/2006/relationships/hyperlink" Target="https://www.fangraphs.com/teams/marlins" TargetMode="External"/><Relationship Id="rId2694" Type="http://schemas.openxmlformats.org/officeDocument/2006/relationships/hyperlink" Target="https://www.fangraphs.com/teams/brewers" TargetMode="External"/><Relationship Id="rId459" Type="http://schemas.openxmlformats.org/officeDocument/2006/relationships/hyperlink" Target="https://www.fangraphs.com/players/caleb-durbin/29646/stats" TargetMode="External"/><Relationship Id="rId666" Type="http://schemas.openxmlformats.org/officeDocument/2006/relationships/hyperlink" Target="https://www.fangraphs.com/teams/angels" TargetMode="External"/><Relationship Id="rId873" Type="http://schemas.openxmlformats.org/officeDocument/2006/relationships/hyperlink" Target="https://www.fangraphs.com/players/ha-seong-kim/27506/stats" TargetMode="External"/><Relationship Id="rId1089" Type="http://schemas.openxmlformats.org/officeDocument/2006/relationships/hyperlink" Target="https://www.fangraphs.com/players/aj-smith-shawver/29960/stats" TargetMode="External"/><Relationship Id="rId1296" Type="http://schemas.openxmlformats.org/officeDocument/2006/relationships/hyperlink" Target="https://www.fangraphs.com/teams/cardinals" TargetMode="External"/><Relationship Id="rId2347" Type="http://schemas.openxmlformats.org/officeDocument/2006/relationships/hyperlink" Target="https://www.fangraphs.com/players/thairo-estrada/16426/stats" TargetMode="External"/><Relationship Id="rId2554" Type="http://schemas.openxmlformats.org/officeDocument/2006/relationships/hyperlink" Target="https://www.fangraphs.com/players/forrest-whitley/19586/stats" TargetMode="External"/><Relationship Id="rId319" Type="http://schemas.openxmlformats.org/officeDocument/2006/relationships/hyperlink" Target="https://www.fangraphs.com/players/dylan-crews/33541/stats" TargetMode="External"/><Relationship Id="rId526" Type="http://schemas.openxmlformats.org/officeDocument/2006/relationships/hyperlink" Target="https://www.fangraphs.com/teams/phillies" TargetMode="External"/><Relationship Id="rId1156" Type="http://schemas.openxmlformats.org/officeDocument/2006/relationships/hyperlink" Target="https://www.fangraphs.com/teams/reds" TargetMode="External"/><Relationship Id="rId1363" Type="http://schemas.openxmlformats.org/officeDocument/2006/relationships/hyperlink" Target="https://www.fangraphs.com/teams/nationals" TargetMode="External"/><Relationship Id="rId2207" Type="http://schemas.openxmlformats.org/officeDocument/2006/relationships/hyperlink" Target="https://www.fangraphs.com/players/mike-clevinger/12808/stats" TargetMode="External"/><Relationship Id="rId2761" Type="http://schemas.openxmlformats.org/officeDocument/2006/relationships/hyperlink" Target="https://www.fangraphs.com/players/adael-amador/27962/stats" TargetMode="External"/><Relationship Id="rId733" Type="http://schemas.openxmlformats.org/officeDocument/2006/relationships/hyperlink" Target="https://www.fangraphs.com/teams/white-sox" TargetMode="External"/><Relationship Id="rId940" Type="http://schemas.openxmlformats.org/officeDocument/2006/relationships/hyperlink" Target="https://www.fangraphs.com/teams/twins" TargetMode="External"/><Relationship Id="rId1016" Type="http://schemas.openxmlformats.org/officeDocument/2006/relationships/hyperlink" Target="https://www.fangraphs.com/players/steven-okert/13580/stats" TargetMode="External"/><Relationship Id="rId1570" Type="http://schemas.openxmlformats.org/officeDocument/2006/relationships/hyperlink" Target="https://www.fangraphs.com/teams/rangers" TargetMode="External"/><Relationship Id="rId2414" Type="http://schemas.openxmlformats.org/officeDocument/2006/relationships/hyperlink" Target="https://www.fangraphs.com/players/jonah-bride/24703/stats" TargetMode="External"/><Relationship Id="rId2621" Type="http://schemas.openxmlformats.org/officeDocument/2006/relationships/hyperlink" Target="https://www.fangraphs.com/players/nick-yorke/27504/stats" TargetMode="External"/><Relationship Id="rId800" Type="http://schemas.openxmlformats.org/officeDocument/2006/relationships/hyperlink" Target="https://www.fangraphs.com/players/lourdes-gurriel-jr/19238/stats" TargetMode="External"/><Relationship Id="rId1223" Type="http://schemas.openxmlformats.org/officeDocument/2006/relationships/hyperlink" Target="https://www.fangraphs.com/players/jalen-beeks/17192/stats" TargetMode="External"/><Relationship Id="rId1430" Type="http://schemas.openxmlformats.org/officeDocument/2006/relationships/hyperlink" Target="https://www.fangraphs.com/players/brayan-rocchio/23690/stats" TargetMode="External"/><Relationship Id="rId176" Type="http://schemas.openxmlformats.org/officeDocument/2006/relationships/hyperlink" Target="https://www.fangraphs.com/teams/tigers" TargetMode="External"/><Relationship Id="rId383" Type="http://schemas.openxmlformats.org/officeDocument/2006/relationships/hyperlink" Target="https://www.fangraphs.com/players/jonathan-aranda/21837/stats" TargetMode="External"/><Relationship Id="rId590" Type="http://schemas.openxmlformats.org/officeDocument/2006/relationships/hyperlink" Target="https://www.fangraphs.com/teams/brewers" TargetMode="External"/><Relationship Id="rId2064" Type="http://schemas.openxmlformats.org/officeDocument/2006/relationships/hyperlink" Target="https://www.fangraphs.com/teams/blue-jays" TargetMode="External"/><Relationship Id="rId2271" Type="http://schemas.openxmlformats.org/officeDocument/2006/relationships/hyperlink" Target="https://www.fangraphs.com/players/alek-jacob/29628/stats" TargetMode="External"/><Relationship Id="rId243" Type="http://schemas.openxmlformats.org/officeDocument/2006/relationships/hyperlink" Target="https://www.fangraphs.com/players/jo-adell/20220/stats" TargetMode="External"/><Relationship Id="rId450" Type="http://schemas.openxmlformats.org/officeDocument/2006/relationships/hyperlink" Target="https://www.fangraphs.com/teams/dodgers" TargetMode="External"/><Relationship Id="rId1080" Type="http://schemas.openxmlformats.org/officeDocument/2006/relationships/hyperlink" Target="https://www.fangraphs.com/teams/padres" TargetMode="External"/><Relationship Id="rId2131" Type="http://schemas.openxmlformats.org/officeDocument/2006/relationships/hyperlink" Target="https://www.fangraphs.com/teams/reds" TargetMode="External"/><Relationship Id="rId103" Type="http://schemas.openxmlformats.org/officeDocument/2006/relationships/hyperlink" Target="https://www.fangraphs.com/players/brice-turang/22186/stats" TargetMode="External"/><Relationship Id="rId310" Type="http://schemas.openxmlformats.org/officeDocument/2006/relationships/hyperlink" Target="https://www.fangraphs.com/teams/braves" TargetMode="External"/><Relationship Id="rId1897" Type="http://schemas.openxmlformats.org/officeDocument/2006/relationships/hyperlink" Target="https://www.fangraphs.com/teams/giants" TargetMode="External"/><Relationship Id="rId1757" Type="http://schemas.openxmlformats.org/officeDocument/2006/relationships/hyperlink" Target="https://www.fangraphs.com/players/jacob-stallings/13723/stats" TargetMode="External"/><Relationship Id="rId1964" Type="http://schemas.openxmlformats.org/officeDocument/2006/relationships/hyperlink" Target="https://www.fangraphs.com/players/justin-garza/19784/stats" TargetMode="External"/><Relationship Id="rId2808" Type="http://schemas.openxmlformats.org/officeDocument/2006/relationships/hyperlink" Target="https://www.fangraphs.com/teams/diamondbacks" TargetMode="External"/><Relationship Id="rId49" Type="http://schemas.openxmlformats.org/officeDocument/2006/relationships/hyperlink" Target="https://www.fangraphs.com/players/pete-alonso/19251/stats" TargetMode="External"/><Relationship Id="rId1617" Type="http://schemas.openxmlformats.org/officeDocument/2006/relationships/hyperlink" Target="https://www.fangraphs.com/players/connor-gillispie/26171/stats" TargetMode="External"/><Relationship Id="rId1824" Type="http://schemas.openxmlformats.org/officeDocument/2006/relationships/hyperlink" Target="https://www.fangraphs.com/players/tim-mayza/15042/stats" TargetMode="External"/><Relationship Id="rId2598" Type="http://schemas.openxmlformats.org/officeDocument/2006/relationships/hyperlink" Target="https://www.fangraphs.com/players/jonatan-clase/26599/stats" TargetMode="External"/><Relationship Id="rId777" Type="http://schemas.openxmlformats.org/officeDocument/2006/relationships/hyperlink" Target="https://www.fangraphs.com/teams/rangers" TargetMode="External"/><Relationship Id="rId984" Type="http://schemas.openxmlformats.org/officeDocument/2006/relationships/hyperlink" Target="https://www.fangraphs.com/players/janson-junk/23301/stats" TargetMode="External"/><Relationship Id="rId2458" Type="http://schemas.openxmlformats.org/officeDocument/2006/relationships/hyperlink" Target="https://www.fangraphs.com/players/zach-cole/31583/stats" TargetMode="External"/><Relationship Id="rId2665" Type="http://schemas.openxmlformats.org/officeDocument/2006/relationships/hyperlink" Target="https://www.fangraphs.com/teams/mets" TargetMode="External"/><Relationship Id="rId2872" Type="http://schemas.openxmlformats.org/officeDocument/2006/relationships/hyperlink" Target="https://www.fangraphs.com/players/alan-trejo/20056/stats" TargetMode="External"/><Relationship Id="rId637" Type="http://schemas.openxmlformats.org/officeDocument/2006/relationships/hyperlink" Target="https://www.fangraphs.com/players/justin-steele/17312/stats" TargetMode="External"/><Relationship Id="rId844" Type="http://schemas.openxmlformats.org/officeDocument/2006/relationships/hyperlink" Target="https://www.fangraphs.com/teams/padres" TargetMode="External"/><Relationship Id="rId1267" Type="http://schemas.openxmlformats.org/officeDocument/2006/relationships/hyperlink" Target="https://www.fangraphs.com/players/huascar-brazoban/6107/stats" TargetMode="External"/><Relationship Id="rId1474" Type="http://schemas.openxmlformats.org/officeDocument/2006/relationships/hyperlink" Target="https://www.fangraphs.com/players/ryan-zeferjahn/25420/stats" TargetMode="External"/><Relationship Id="rId1681" Type="http://schemas.openxmlformats.org/officeDocument/2006/relationships/hyperlink" Target="https://www.fangraphs.com/players/tom-cosgrove/23443/stats" TargetMode="External"/><Relationship Id="rId2318" Type="http://schemas.openxmlformats.org/officeDocument/2006/relationships/hyperlink" Target="https://www.fangraphs.com/teams/angels" TargetMode="External"/><Relationship Id="rId2525" Type="http://schemas.openxmlformats.org/officeDocument/2006/relationships/hyperlink" Target="https://www.fangraphs.com/players/justin-turner/5235/stats" TargetMode="External"/><Relationship Id="rId2732" Type="http://schemas.openxmlformats.org/officeDocument/2006/relationships/hyperlink" Target="https://www.fangraphs.com/players/matt-gorski/25855/stats" TargetMode="External"/><Relationship Id="rId704" Type="http://schemas.openxmlformats.org/officeDocument/2006/relationships/hyperlink" Target="https://www.fangraphs.com/teams/white-sox" TargetMode="External"/><Relationship Id="rId911" Type="http://schemas.openxmlformats.org/officeDocument/2006/relationships/hyperlink" Target="https://www.fangraphs.com/players/jacob-young/29931/stats" TargetMode="External"/><Relationship Id="rId1127" Type="http://schemas.openxmlformats.org/officeDocument/2006/relationships/hyperlink" Target="https://www.fangraphs.com/players/tony-gonsolin/19388/stats" TargetMode="External"/><Relationship Id="rId1334" Type="http://schemas.openxmlformats.org/officeDocument/2006/relationships/hyperlink" Target="https://www.fangraphs.com/players/erik-miller/26252/stats" TargetMode="External"/><Relationship Id="rId1541" Type="http://schemas.openxmlformats.org/officeDocument/2006/relationships/hyperlink" Target="https://www.fangraphs.com/teams/orioles" TargetMode="External"/><Relationship Id="rId40" Type="http://schemas.openxmlformats.org/officeDocument/2006/relationships/hyperlink" Target="https://www.fangraphs.com/teams/mariners" TargetMode="External"/><Relationship Id="rId1401" Type="http://schemas.openxmlformats.org/officeDocument/2006/relationships/hyperlink" Target="https://www.fangraphs.com/teams/astros" TargetMode="External"/><Relationship Id="rId287" Type="http://schemas.openxmlformats.org/officeDocument/2006/relationships/hyperlink" Target="https://www.fangraphs.com/players/bubba-chandler/29868/stats" TargetMode="External"/><Relationship Id="rId494" Type="http://schemas.openxmlformats.org/officeDocument/2006/relationships/hyperlink" Target="https://www.fangraphs.com/teams/rangers" TargetMode="External"/><Relationship Id="rId2175" Type="http://schemas.openxmlformats.org/officeDocument/2006/relationships/hyperlink" Target="https://www.fangraphs.com/players/anthony-veneziano/27453/stats" TargetMode="External"/><Relationship Id="rId2382" Type="http://schemas.openxmlformats.org/officeDocument/2006/relationships/hyperlink" Target="https://www.fangraphs.com/players/tj-mcfarland/3237/stats" TargetMode="External"/><Relationship Id="rId147" Type="http://schemas.openxmlformats.org/officeDocument/2006/relationships/hyperlink" Target="https://www.fangraphs.com/players/jarren-duran/24617/stats" TargetMode="External"/><Relationship Id="rId354" Type="http://schemas.openxmlformats.org/officeDocument/2006/relationships/hyperlink" Target="https://www.fangraphs.com/teams/diamondbacks" TargetMode="External"/><Relationship Id="rId1191" Type="http://schemas.openxmlformats.org/officeDocument/2006/relationships/hyperlink" Target="https://www.fangraphs.com/players/tomoyuki-sugano/35321/stats" TargetMode="External"/><Relationship Id="rId2035" Type="http://schemas.openxmlformats.org/officeDocument/2006/relationships/hyperlink" Target="https://www.fangraphs.com/players/josh-walker/23617/stats" TargetMode="External"/><Relationship Id="rId561" Type="http://schemas.openxmlformats.org/officeDocument/2006/relationships/hyperlink" Target="https://www.fangraphs.com/players/ryan-jeffers/24618/stats" TargetMode="External"/><Relationship Id="rId2242" Type="http://schemas.openxmlformats.org/officeDocument/2006/relationships/hyperlink" Target="https://www.fangraphs.com/players/gerson-garabito/19835/stats" TargetMode="External"/><Relationship Id="rId214" Type="http://schemas.openxmlformats.org/officeDocument/2006/relationships/hyperlink" Target="https://www.fangraphs.com/teams/red-sox" TargetMode="External"/><Relationship Id="rId421" Type="http://schemas.openxmlformats.org/officeDocument/2006/relationships/hyperlink" Target="https://www.fangraphs.com/players/sal-frelick/29622/stats" TargetMode="External"/><Relationship Id="rId1051" Type="http://schemas.openxmlformats.org/officeDocument/2006/relationships/hyperlink" Target="https://www.fangraphs.com/players/mike-vasil/30105/stats" TargetMode="External"/><Relationship Id="rId2102" Type="http://schemas.openxmlformats.org/officeDocument/2006/relationships/hyperlink" Target="https://www.fangraphs.com/players/jon-berti/12037/stats" TargetMode="External"/><Relationship Id="rId1868" Type="http://schemas.openxmlformats.org/officeDocument/2006/relationships/hyperlink" Target="https://www.fangraphs.com/players/kevin-newman/17696/stats" TargetMode="External"/><Relationship Id="rId2919" Type="http://schemas.openxmlformats.org/officeDocument/2006/relationships/hyperlink" Target="https://www.fangraphs.com/players/niko-kavadas/29782/stats" TargetMode="External"/><Relationship Id="rId1728" Type="http://schemas.openxmlformats.org/officeDocument/2006/relationships/hyperlink" Target="https://www.fangraphs.com/players/tyrone-taylor/13675/stats" TargetMode="External"/><Relationship Id="rId1935" Type="http://schemas.openxmlformats.org/officeDocument/2006/relationships/hyperlink" Target="https://www.fangraphs.com/players/gregory-soto/19677/stats" TargetMode="External"/><Relationship Id="rId4" Type="http://schemas.openxmlformats.org/officeDocument/2006/relationships/hyperlink" Target="https://www.fangraphs.com/teams/dodgers" TargetMode="External"/><Relationship Id="rId888" Type="http://schemas.openxmlformats.org/officeDocument/2006/relationships/hyperlink" Target="https://www.fangraphs.com/teams/orioles" TargetMode="External"/><Relationship Id="rId2569" Type="http://schemas.openxmlformats.org/officeDocument/2006/relationships/hyperlink" Target="https://www.fangraphs.com/teams/cardinals" TargetMode="External"/><Relationship Id="rId2776" Type="http://schemas.openxmlformats.org/officeDocument/2006/relationships/hyperlink" Target="https://www.fangraphs.com/players/billy-cook/29573/stats" TargetMode="External"/><Relationship Id="rId748" Type="http://schemas.openxmlformats.org/officeDocument/2006/relationships/hyperlink" Target="https://www.fangraphs.com/players/marcelo-mayer/29668/stats" TargetMode="External"/><Relationship Id="rId955" Type="http://schemas.openxmlformats.org/officeDocument/2006/relationships/hyperlink" Target="https://www.fangraphs.com/teams/tigers" TargetMode="External"/><Relationship Id="rId1378" Type="http://schemas.openxmlformats.org/officeDocument/2006/relationships/hyperlink" Target="https://www.fangraphs.com/players/victor-mederos/31533/stats" TargetMode="External"/><Relationship Id="rId1585" Type="http://schemas.openxmlformats.org/officeDocument/2006/relationships/hyperlink" Target="https://www.fangraphs.com/players/hunter-bigge/26259/stats" TargetMode="External"/><Relationship Id="rId1792" Type="http://schemas.openxmlformats.org/officeDocument/2006/relationships/hyperlink" Target="https://www.fangraphs.com/players/dugan-darnell/27812/stats" TargetMode="External"/><Relationship Id="rId2429" Type="http://schemas.openxmlformats.org/officeDocument/2006/relationships/hyperlink" Target="https://www.fangraphs.com/players/leody-taveras/18900/stats" TargetMode="External"/><Relationship Id="rId2636" Type="http://schemas.openxmlformats.org/officeDocument/2006/relationships/hyperlink" Target="https://www.fangraphs.com/teams/padres" TargetMode="External"/><Relationship Id="rId2843" Type="http://schemas.openxmlformats.org/officeDocument/2006/relationships/hyperlink" Target="https://www.fangraphs.com/players/andres-chaparro/21797/stats" TargetMode="External"/><Relationship Id="rId84" Type="http://schemas.openxmlformats.org/officeDocument/2006/relationships/hyperlink" Target="https://www.fangraphs.com/teams/phillies" TargetMode="External"/><Relationship Id="rId608" Type="http://schemas.openxmlformats.org/officeDocument/2006/relationships/hyperlink" Target="https://www.fangraphs.com/teams/cubs" TargetMode="External"/><Relationship Id="rId815" Type="http://schemas.openxmlformats.org/officeDocument/2006/relationships/hyperlink" Target="https://www.fangraphs.com/teams/twins" TargetMode="External"/><Relationship Id="rId1238" Type="http://schemas.openxmlformats.org/officeDocument/2006/relationships/hyperlink" Target="https://www.fangraphs.com/teams/giants" TargetMode="External"/><Relationship Id="rId1445" Type="http://schemas.openxmlformats.org/officeDocument/2006/relationships/hyperlink" Target="https://www.fangraphs.com/teams/blue-jays" TargetMode="External"/><Relationship Id="rId1652" Type="http://schemas.openxmlformats.org/officeDocument/2006/relationships/hyperlink" Target="https://www.fangraphs.com/players/nick-burdi/16074/stats" TargetMode="External"/><Relationship Id="rId1305" Type="http://schemas.openxmlformats.org/officeDocument/2006/relationships/hyperlink" Target="https://www.fangraphs.com/players/mason-fluharty/31553/stats" TargetMode="External"/><Relationship Id="rId2703" Type="http://schemas.openxmlformats.org/officeDocument/2006/relationships/hyperlink" Target="https://www.fangraphs.com/players/jose-azocar/18821/stats" TargetMode="External"/><Relationship Id="rId2910" Type="http://schemas.openxmlformats.org/officeDocument/2006/relationships/hyperlink" Target="https://www.fangraphs.com/players/cam-devanney/25688/stats" TargetMode="External"/><Relationship Id="rId1512" Type="http://schemas.openxmlformats.org/officeDocument/2006/relationships/hyperlink" Target="https://www.fangraphs.com/players/chris-devenski/12763/stats" TargetMode="External"/><Relationship Id="rId11" Type="http://schemas.openxmlformats.org/officeDocument/2006/relationships/hyperlink" Target="https://www.fangraphs.com/players/jose-ramirez/13510/stats" TargetMode="External"/><Relationship Id="rId398" Type="http://schemas.openxmlformats.org/officeDocument/2006/relationships/hyperlink" Target="https://www.fangraphs.com/teams/braves" TargetMode="External"/><Relationship Id="rId2079" Type="http://schemas.openxmlformats.org/officeDocument/2006/relationships/hyperlink" Target="https://www.fangraphs.com/teams/rangers" TargetMode="External"/><Relationship Id="rId2286" Type="http://schemas.openxmlformats.org/officeDocument/2006/relationships/hyperlink" Target="https://www.fangraphs.com/teams/tigers" TargetMode="External"/><Relationship Id="rId2493" Type="http://schemas.openxmlformats.org/officeDocument/2006/relationships/hyperlink" Target="https://www.fangraphs.com/players/jake-irvin/21504/stats" TargetMode="External"/><Relationship Id="rId258" Type="http://schemas.openxmlformats.org/officeDocument/2006/relationships/hyperlink" Target="https://www.fangraphs.com/teams/marlins" TargetMode="External"/><Relationship Id="rId465" Type="http://schemas.openxmlformats.org/officeDocument/2006/relationships/hyperlink" Target="https://www.fangraphs.com/players/luis-garcia-jr/20391/stats" TargetMode="External"/><Relationship Id="rId672" Type="http://schemas.openxmlformats.org/officeDocument/2006/relationships/hyperlink" Target="https://www.fangraphs.com/teams/cardinals" TargetMode="External"/><Relationship Id="rId1095" Type="http://schemas.openxmlformats.org/officeDocument/2006/relationships/hyperlink" Target="https://www.fangraphs.com/players/max-kepler/12144/stats" TargetMode="External"/><Relationship Id="rId2146" Type="http://schemas.openxmlformats.org/officeDocument/2006/relationships/hyperlink" Target="https://www.fangraphs.com/players/blake-perkins/19921/stats" TargetMode="External"/><Relationship Id="rId2353" Type="http://schemas.openxmlformats.org/officeDocument/2006/relationships/hyperlink" Target="https://www.fangraphs.com/players/tyler-fitzgerald/26208/stats" TargetMode="External"/><Relationship Id="rId2560" Type="http://schemas.openxmlformats.org/officeDocument/2006/relationships/hyperlink" Target="https://www.fangraphs.com/players/vidal-brujan/20536/stats" TargetMode="External"/><Relationship Id="rId118" Type="http://schemas.openxmlformats.org/officeDocument/2006/relationships/hyperlink" Target="https://www.fangraphs.com/teams/mets" TargetMode="External"/><Relationship Id="rId325" Type="http://schemas.openxmlformats.org/officeDocument/2006/relationships/hyperlink" Target="https://www.fangraphs.com/players/ryan-walker/20423/stats" TargetMode="External"/><Relationship Id="rId532" Type="http://schemas.openxmlformats.org/officeDocument/2006/relationships/hyperlink" Target="https://www.fangraphs.com/teams/cardinals" TargetMode="External"/><Relationship Id="rId1162" Type="http://schemas.openxmlformats.org/officeDocument/2006/relationships/hyperlink" Target="https://www.fangraphs.com/teams/rockies" TargetMode="External"/><Relationship Id="rId2006" Type="http://schemas.openxmlformats.org/officeDocument/2006/relationships/hyperlink" Target="https://www.fangraphs.com/teams/yankees" TargetMode="External"/><Relationship Id="rId2213" Type="http://schemas.openxmlformats.org/officeDocument/2006/relationships/hyperlink" Target="https://www.fangraphs.com/teams/yankees" TargetMode="External"/><Relationship Id="rId2420" Type="http://schemas.openxmlformats.org/officeDocument/2006/relationships/hyperlink" Target="https://www.fangraphs.com/players/tyler-zuber/20379/stats" TargetMode="External"/><Relationship Id="rId1022" Type="http://schemas.openxmlformats.org/officeDocument/2006/relationships/hyperlink" Target="https://www.fangraphs.com/players/javier-assad/21741/stats" TargetMode="External"/><Relationship Id="rId1979" Type="http://schemas.openxmlformats.org/officeDocument/2006/relationships/hyperlink" Target="https://www.fangraphs.com/teams/guardians" TargetMode="External"/><Relationship Id="rId1839" Type="http://schemas.openxmlformats.org/officeDocument/2006/relationships/hyperlink" Target="https://www.fangraphs.com/teams/royals" TargetMode="External"/><Relationship Id="rId182" Type="http://schemas.openxmlformats.org/officeDocument/2006/relationships/hyperlink" Target="https://www.fangraphs.com/teams/astros" TargetMode="External"/><Relationship Id="rId1906" Type="http://schemas.openxmlformats.org/officeDocument/2006/relationships/hyperlink" Target="https://www.fangraphs.com/teams/athletics" TargetMode="External"/><Relationship Id="rId2070" Type="http://schemas.openxmlformats.org/officeDocument/2006/relationships/hyperlink" Target="https://www.fangraphs.com/players/abraham-toro/19844/stats" TargetMode="External"/><Relationship Id="rId999" Type="http://schemas.openxmlformats.org/officeDocument/2006/relationships/hyperlink" Target="https://www.fangraphs.com/teams/tigers" TargetMode="External"/><Relationship Id="rId2887" Type="http://schemas.openxmlformats.org/officeDocument/2006/relationships/hyperlink" Target="https://www.fangraphs.com/players/hunter-renfroe/15464/stats" TargetMode="External"/><Relationship Id="rId859" Type="http://schemas.openxmlformats.org/officeDocument/2006/relationships/hyperlink" Target="https://www.fangraphs.com/players/slade-cecconi/27500/stats" TargetMode="External"/><Relationship Id="rId1489" Type="http://schemas.openxmlformats.org/officeDocument/2006/relationships/hyperlink" Target="https://www.fangraphs.com/teams/pirates" TargetMode="External"/><Relationship Id="rId1696" Type="http://schemas.openxmlformats.org/officeDocument/2006/relationships/hyperlink" Target="https://www.fangraphs.com/teams/royals" TargetMode="External"/><Relationship Id="rId1349" Type="http://schemas.openxmlformats.org/officeDocument/2006/relationships/hyperlink" Target="https://www.fangraphs.com/teams/dodgers" TargetMode="External"/><Relationship Id="rId2747" Type="http://schemas.openxmlformats.org/officeDocument/2006/relationships/hyperlink" Target="https://www.fangraphs.com/players/jorbit-vivas/23917/stats" TargetMode="External"/><Relationship Id="rId719" Type="http://schemas.openxmlformats.org/officeDocument/2006/relationships/hyperlink" Target="https://www.fangraphs.com/teams/cubs" TargetMode="External"/><Relationship Id="rId926" Type="http://schemas.openxmlformats.org/officeDocument/2006/relationships/hyperlink" Target="https://www.fangraphs.com/teams/mariners" TargetMode="External"/><Relationship Id="rId1556" Type="http://schemas.openxmlformats.org/officeDocument/2006/relationships/hyperlink" Target="https://www.fangraphs.com/players/david-robertson/8241/stats" TargetMode="External"/><Relationship Id="rId1763" Type="http://schemas.openxmlformats.org/officeDocument/2006/relationships/hyperlink" Target="https://www.fangraphs.com/teams/royals" TargetMode="External"/><Relationship Id="rId1970" Type="http://schemas.openxmlformats.org/officeDocument/2006/relationships/hyperlink" Target="https://www.fangraphs.com/players/paul-gervase/31571/stats" TargetMode="External"/><Relationship Id="rId2607" Type="http://schemas.openxmlformats.org/officeDocument/2006/relationships/hyperlink" Target="https://www.fangraphs.com/teams/rockies" TargetMode="External"/><Relationship Id="rId2814" Type="http://schemas.openxmlformats.org/officeDocument/2006/relationships/hyperlink" Target="https://www.fangraphs.com/teams/diamondbacks" TargetMode="External"/><Relationship Id="rId55" Type="http://schemas.openxmlformats.org/officeDocument/2006/relationships/hyperlink" Target="https://www.fangraphs.com/players/yoshinobu-yamamoto/33825/stats" TargetMode="External"/><Relationship Id="rId1209" Type="http://schemas.openxmlformats.org/officeDocument/2006/relationships/hyperlink" Target="https://www.fangraphs.com/players/carlos-santana/2396/stats" TargetMode="External"/><Relationship Id="rId1416" Type="http://schemas.openxmlformats.org/officeDocument/2006/relationships/hyperlink" Target="https://www.fangraphs.com/players/travis-darnaud/7739/stats" TargetMode="External"/><Relationship Id="rId1623" Type="http://schemas.openxmlformats.org/officeDocument/2006/relationships/hyperlink" Target="https://www.fangraphs.com/teams/phillies" TargetMode="External"/><Relationship Id="rId1830" Type="http://schemas.openxmlformats.org/officeDocument/2006/relationships/hyperlink" Target="https://www.fangraphs.com/players/niko-kavadas/29782/stats" TargetMode="External"/><Relationship Id="rId2397" Type="http://schemas.openxmlformats.org/officeDocument/2006/relationships/hyperlink" Target="https://www.fangraphs.com/players/emmanuel-rivera/19890/stats" TargetMode="External"/><Relationship Id="rId369" Type="http://schemas.openxmlformats.org/officeDocument/2006/relationships/hyperlink" Target="https://www.fangraphs.com/players/kyle-teel/33549/stats" TargetMode="External"/><Relationship Id="rId576" Type="http://schemas.openxmlformats.org/officeDocument/2006/relationships/hyperlink" Target="https://www.fangraphs.com/teams/braves" TargetMode="External"/><Relationship Id="rId783" Type="http://schemas.openxmlformats.org/officeDocument/2006/relationships/hyperlink" Target="https://www.fangraphs.com/teams/marlins" TargetMode="External"/><Relationship Id="rId990" Type="http://schemas.openxmlformats.org/officeDocument/2006/relationships/hyperlink" Target="https://www.fangraphs.com/players/gabe-speier/17170/stats" TargetMode="External"/><Relationship Id="rId2257" Type="http://schemas.openxmlformats.org/officeDocument/2006/relationships/hyperlink" Target="https://www.fangraphs.com/players/juan-morillo/21924/stats" TargetMode="External"/><Relationship Id="rId2464" Type="http://schemas.openxmlformats.org/officeDocument/2006/relationships/hyperlink" Target="https://www.fangraphs.com/players/paul-blackburn/14739/stats" TargetMode="External"/><Relationship Id="rId2671" Type="http://schemas.openxmlformats.org/officeDocument/2006/relationships/hyperlink" Target="https://www.fangraphs.com/teams/athletics" TargetMode="External"/><Relationship Id="rId229" Type="http://schemas.openxmlformats.org/officeDocument/2006/relationships/hyperlink" Target="https://www.fangraphs.com/players/blake-snell/13543/stats" TargetMode="External"/><Relationship Id="rId436" Type="http://schemas.openxmlformats.org/officeDocument/2006/relationships/hyperlink" Target="https://www.fangraphs.com/teams/astros" TargetMode="External"/><Relationship Id="rId643" Type="http://schemas.openxmlformats.org/officeDocument/2006/relationships/hyperlink" Target="https://www.fangraphs.com/players/victor-vodnik/24614/stats" TargetMode="External"/><Relationship Id="rId1066" Type="http://schemas.openxmlformats.org/officeDocument/2006/relationships/hyperlink" Target="https://www.fangraphs.com/teams/brewers" TargetMode="External"/><Relationship Id="rId1273" Type="http://schemas.openxmlformats.org/officeDocument/2006/relationships/hyperlink" Target="https://www.fangraphs.com/players/pierce-johnson/13435/stats" TargetMode="External"/><Relationship Id="rId1480" Type="http://schemas.openxmlformats.org/officeDocument/2006/relationships/hyperlink" Target="https://www.fangraphs.com/teams/rockies" TargetMode="External"/><Relationship Id="rId2117" Type="http://schemas.openxmlformats.org/officeDocument/2006/relationships/hyperlink" Target="https://www.fangraphs.com/players/alex-jackson/17276/stats" TargetMode="External"/><Relationship Id="rId2324" Type="http://schemas.openxmlformats.org/officeDocument/2006/relationships/hyperlink" Target="https://www.fangraphs.com/players/jordan-hicks/19618/stats" TargetMode="External"/><Relationship Id="rId850" Type="http://schemas.openxmlformats.org/officeDocument/2006/relationships/hyperlink" Target="https://www.fangraphs.com/teams/mets" TargetMode="External"/><Relationship Id="rId1133" Type="http://schemas.openxmlformats.org/officeDocument/2006/relationships/hyperlink" Target="https://www.fangraphs.com/teams/nationals" TargetMode="External"/><Relationship Id="rId2531" Type="http://schemas.openxmlformats.org/officeDocument/2006/relationships/hyperlink" Target="https://www.fangraphs.com/teams/yankees" TargetMode="External"/><Relationship Id="rId503" Type="http://schemas.openxmlformats.org/officeDocument/2006/relationships/hyperlink" Target="https://www.fangraphs.com/players/connelly-early/33666/stats" TargetMode="External"/><Relationship Id="rId710" Type="http://schemas.openxmlformats.org/officeDocument/2006/relationships/hyperlink" Target="https://www.fangraphs.com/players/mitch-keller/17594/stats" TargetMode="External"/><Relationship Id="rId1340" Type="http://schemas.openxmlformats.org/officeDocument/2006/relationships/hyperlink" Target="https://www.fangraphs.com/players/john-curtiss/16128/stats" TargetMode="External"/><Relationship Id="rId1200" Type="http://schemas.openxmlformats.org/officeDocument/2006/relationships/hyperlink" Target="https://www.fangraphs.com/teams/mets" TargetMode="External"/><Relationship Id="rId293" Type="http://schemas.openxmlformats.org/officeDocument/2006/relationships/hyperlink" Target="https://www.fangraphs.com/players/sandy-alcantara/18684/stats" TargetMode="External"/><Relationship Id="rId2181" Type="http://schemas.openxmlformats.org/officeDocument/2006/relationships/hyperlink" Target="https://www.fangraphs.com/teams/brewers" TargetMode="External"/><Relationship Id="rId153" Type="http://schemas.openxmlformats.org/officeDocument/2006/relationships/hyperlink" Target="https://www.fangraphs.com/players/geraldo-perdomo/22799/stats" TargetMode="External"/><Relationship Id="rId360" Type="http://schemas.openxmlformats.org/officeDocument/2006/relationships/hyperlink" Target="https://www.fangraphs.com/teams/cubs" TargetMode="External"/><Relationship Id="rId2041" Type="http://schemas.openxmlformats.org/officeDocument/2006/relationships/hyperlink" Target="https://www.fangraphs.com/players/jose-urquidy/18413/stats" TargetMode="External"/><Relationship Id="rId220" Type="http://schemas.openxmlformats.org/officeDocument/2006/relationships/hyperlink" Target="https://www.fangraphs.com/teams/brew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213"/>
  <sheetViews>
    <sheetView tabSelected="1" workbookViewId="0">
      <selection activeCell="C21" sqref="C21"/>
    </sheetView>
  </sheetViews>
  <sheetFormatPr baseColWidth="10" defaultColWidth="8.83203125" defaultRowHeight="15" x14ac:dyDescent="0.2"/>
  <cols>
    <col min="1" max="1" width="19.33203125" style="2" bestFit="1" customWidth="1"/>
    <col min="2" max="2" width="22.33203125" bestFit="1" customWidth="1"/>
    <col min="3" max="3" width="20.1640625" style="15" bestFit="1" customWidth="1"/>
    <col min="4" max="4" width="17.83203125" style="3" bestFit="1" customWidth="1"/>
    <col min="5" max="5" width="15.6640625" style="3" customWidth="1"/>
    <col min="6" max="6" width="17.1640625" bestFit="1" customWidth="1"/>
    <col min="7" max="7" width="24.33203125" bestFit="1" customWidth="1"/>
    <col min="8" max="8" width="12.5" bestFit="1" customWidth="1"/>
    <col min="9" max="9" width="10.1640625" style="2" bestFit="1" customWidth="1"/>
    <col min="10" max="10" width="9.5" style="2" bestFit="1" customWidth="1"/>
    <col min="11" max="11" width="12.5" style="2" bestFit="1" customWidth="1"/>
    <col min="12" max="12" width="25.33203125" bestFit="1" customWidth="1"/>
    <col min="13" max="13" width="21.1640625" bestFit="1" customWidth="1"/>
    <col min="14" max="14" width="37.1640625" bestFit="1" customWidth="1"/>
    <col min="15" max="15" width="10.5" style="9" bestFit="1" customWidth="1"/>
  </cols>
  <sheetData>
    <row r="1" spans="1:15" ht="19.5" customHeight="1" x14ac:dyDescent="0.2">
      <c r="A1" s="13" t="s">
        <v>999</v>
      </c>
      <c r="B1" s="12" t="s">
        <v>1103</v>
      </c>
      <c r="C1" s="14" t="s">
        <v>1104</v>
      </c>
      <c r="D1" s="13" t="s">
        <v>1105</v>
      </c>
      <c r="E1" s="3" t="s">
        <v>1834</v>
      </c>
    </row>
    <row r="2" spans="1:15" ht="17.25" customHeight="1" x14ac:dyDescent="0.2">
      <c r="A2" s="11">
        <v>1</v>
      </c>
      <c r="B2" s="30" t="s">
        <v>67</v>
      </c>
      <c r="C2" s="32" t="s">
        <v>1056</v>
      </c>
      <c r="D2" s="32" t="s">
        <v>1370</v>
      </c>
      <c r="E2" s="3" t="s">
        <v>1833</v>
      </c>
    </row>
    <row r="3" spans="1:15" ht="17.25" customHeight="1" x14ac:dyDescent="0.2">
      <c r="A3" s="11">
        <v>2</v>
      </c>
      <c r="B3" s="4" t="s">
        <v>110</v>
      </c>
      <c r="C3" s="15" t="s">
        <v>1832</v>
      </c>
      <c r="D3" s="3" t="s">
        <v>1833</v>
      </c>
    </row>
    <row r="4" spans="1:15" ht="19.5" customHeight="1" x14ac:dyDescent="0.2">
      <c r="A4" s="11">
        <v>3</v>
      </c>
      <c r="B4" s="4" t="s">
        <v>389</v>
      </c>
      <c r="C4" s="15" t="s">
        <v>323</v>
      </c>
      <c r="D4" s="3" t="s">
        <v>1817</v>
      </c>
      <c r="H4" s="12"/>
      <c r="I4" s="13" t="s">
        <v>1106</v>
      </c>
      <c r="J4" s="13" t="s">
        <v>1107</v>
      </c>
      <c r="K4" s="13" t="s">
        <v>1108</v>
      </c>
      <c r="L4" s="12" t="s">
        <v>1109</v>
      </c>
      <c r="M4" s="12" t="s">
        <v>1110</v>
      </c>
      <c r="N4" s="12" t="s">
        <v>1111</v>
      </c>
      <c r="O4"/>
    </row>
    <row r="5" spans="1:15" ht="17.25" customHeight="1" x14ac:dyDescent="0.2">
      <c r="A5" s="11">
        <v>4</v>
      </c>
      <c r="B5" s="4" t="s">
        <v>65</v>
      </c>
      <c r="C5" s="15" t="s">
        <v>35</v>
      </c>
      <c r="D5" s="3" t="s">
        <v>1835</v>
      </c>
      <c r="E5" s="3" t="s">
        <v>123</v>
      </c>
      <c r="H5" t="s">
        <v>1112</v>
      </c>
      <c r="I5" s="11">
        <v>7</v>
      </c>
      <c r="J5" s="11">
        <v>5</v>
      </c>
      <c r="K5" s="11">
        <v>7</v>
      </c>
      <c r="L5" t="s">
        <v>1372</v>
      </c>
      <c r="M5" t="s">
        <v>1838</v>
      </c>
      <c r="N5" t="s">
        <v>1372</v>
      </c>
      <c r="O5"/>
    </row>
    <row r="6" spans="1:15" ht="17.25" customHeight="1" x14ac:dyDescent="0.2">
      <c r="A6" s="11">
        <v>5</v>
      </c>
      <c r="B6" s="31" t="s">
        <v>136</v>
      </c>
      <c r="C6" s="3" t="s">
        <v>81</v>
      </c>
      <c r="D6" s="32" t="s">
        <v>849</v>
      </c>
      <c r="E6" s="15" t="s">
        <v>1836</v>
      </c>
      <c r="H6" t="s">
        <v>1113</v>
      </c>
      <c r="I6" s="11">
        <v>2</v>
      </c>
      <c r="J6" s="11">
        <v>2</v>
      </c>
      <c r="K6" s="11">
        <v>5</v>
      </c>
      <c r="L6" t="s">
        <v>1839</v>
      </c>
      <c r="M6" t="s">
        <v>1839</v>
      </c>
      <c r="N6" t="s">
        <v>1840</v>
      </c>
      <c r="O6"/>
    </row>
    <row r="7" spans="1:15" ht="17.25" customHeight="1" x14ac:dyDescent="0.2">
      <c r="A7" s="11">
        <v>6</v>
      </c>
      <c r="B7" s="4" t="s">
        <v>71</v>
      </c>
      <c r="C7" s="15" t="s">
        <v>96</v>
      </c>
      <c r="D7" s="3" t="s">
        <v>1837</v>
      </c>
      <c r="H7" t="s">
        <v>1114</v>
      </c>
      <c r="I7" s="11">
        <v>15</v>
      </c>
      <c r="J7" s="11">
        <v>3</v>
      </c>
      <c r="K7" s="11">
        <v>20</v>
      </c>
      <c r="L7" t="s">
        <v>291</v>
      </c>
      <c r="M7" t="s">
        <v>51</v>
      </c>
      <c r="N7" t="s">
        <v>1841</v>
      </c>
    </row>
    <row r="8" spans="1:15" ht="17.25" customHeight="1" x14ac:dyDescent="0.2">
      <c r="A8" s="11">
        <v>7</v>
      </c>
      <c r="B8" s="31" t="s">
        <v>1837</v>
      </c>
      <c r="C8" s="15" t="s">
        <v>1824</v>
      </c>
      <c r="D8" s="3" t="s">
        <v>86</v>
      </c>
      <c r="E8" s="3" t="s">
        <v>47</v>
      </c>
      <c r="H8" t="s">
        <v>1115</v>
      </c>
      <c r="I8" s="11">
        <v>9</v>
      </c>
      <c r="J8" s="11">
        <v>3</v>
      </c>
      <c r="K8" s="11">
        <v>18</v>
      </c>
      <c r="L8" t="s">
        <v>139</v>
      </c>
      <c r="M8" t="s">
        <v>93</v>
      </c>
      <c r="N8" t="s">
        <v>1846</v>
      </c>
    </row>
    <row r="9" spans="1:15" ht="17.25" customHeight="1" x14ac:dyDescent="0.2">
      <c r="A9" s="11">
        <v>8</v>
      </c>
      <c r="B9" s="4" t="s">
        <v>11</v>
      </c>
      <c r="C9" s="26"/>
      <c r="D9" s="27"/>
      <c r="H9" t="s">
        <v>1117</v>
      </c>
      <c r="I9" s="11">
        <v>4</v>
      </c>
      <c r="J9" s="11">
        <v>3</v>
      </c>
      <c r="K9" s="11">
        <v>16</v>
      </c>
      <c r="L9" t="s">
        <v>65</v>
      </c>
      <c r="M9" t="s">
        <v>65</v>
      </c>
      <c r="N9" t="s">
        <v>1842</v>
      </c>
    </row>
    <row r="10" spans="1:15" ht="17.25" customHeight="1" x14ac:dyDescent="0.2">
      <c r="A10" s="11">
        <v>9</v>
      </c>
      <c r="B10" s="4" t="s">
        <v>139</v>
      </c>
      <c r="H10" t="s">
        <v>1118</v>
      </c>
      <c r="I10" s="11">
        <v>1</v>
      </c>
      <c r="J10" s="11">
        <v>1</v>
      </c>
      <c r="K10" s="11">
        <v>1</v>
      </c>
      <c r="L10" t="s">
        <v>67</v>
      </c>
      <c r="M10" t="s">
        <v>1370</v>
      </c>
      <c r="N10" t="s">
        <v>1843</v>
      </c>
    </row>
    <row r="11" spans="1:15" ht="17.25" customHeight="1" x14ac:dyDescent="0.2">
      <c r="A11" s="11">
        <v>10</v>
      </c>
      <c r="B11" s="4" t="s">
        <v>350</v>
      </c>
      <c r="H11" t="s">
        <v>1118</v>
      </c>
      <c r="I11" s="11">
        <v>3</v>
      </c>
      <c r="J11" s="11">
        <v>2</v>
      </c>
      <c r="K11" s="11">
        <v>6</v>
      </c>
      <c r="L11" t="s">
        <v>389</v>
      </c>
      <c r="M11" t="s">
        <v>1844</v>
      </c>
      <c r="N11" t="s">
        <v>71</v>
      </c>
    </row>
    <row r="12" spans="1:15" ht="17.25" customHeight="1" x14ac:dyDescent="0.2">
      <c r="A12" s="11">
        <v>11</v>
      </c>
      <c r="B12" s="4" t="s">
        <v>300</v>
      </c>
      <c r="H12" t="s">
        <v>1118</v>
      </c>
      <c r="I12" s="11">
        <v>11</v>
      </c>
      <c r="J12" s="11">
        <v>6</v>
      </c>
      <c r="K12" s="11">
        <v>17</v>
      </c>
      <c r="L12" t="s">
        <v>300</v>
      </c>
      <c r="M12" t="s">
        <v>71</v>
      </c>
      <c r="N12" t="s">
        <v>1243</v>
      </c>
    </row>
    <row r="13" spans="1:15" ht="17.25" customHeight="1" x14ac:dyDescent="0.2">
      <c r="A13" s="11">
        <v>12</v>
      </c>
      <c r="B13" s="4" t="s">
        <v>1823</v>
      </c>
      <c r="H13" s="28" t="s">
        <v>1120</v>
      </c>
      <c r="I13" s="29">
        <v>5</v>
      </c>
      <c r="J13" s="29">
        <v>5</v>
      </c>
      <c r="K13" s="29">
        <v>11</v>
      </c>
      <c r="L13" s="28" t="s">
        <v>1840</v>
      </c>
      <c r="M13" s="28"/>
      <c r="N13" s="28"/>
    </row>
    <row r="14" spans="1:15" ht="17.25" customHeight="1" x14ac:dyDescent="0.2">
      <c r="A14" s="11">
        <v>13</v>
      </c>
      <c r="B14" s="4" t="s">
        <v>63</v>
      </c>
      <c r="H14" t="s">
        <v>1120</v>
      </c>
      <c r="I14" s="11">
        <v>6</v>
      </c>
      <c r="J14" s="11">
        <v>11</v>
      </c>
      <c r="K14" s="11">
        <v>20</v>
      </c>
      <c r="L14" s="28" t="s">
        <v>71</v>
      </c>
      <c r="M14" t="s">
        <v>855</v>
      </c>
    </row>
    <row r="15" spans="1:15" ht="17.25" customHeight="1" x14ac:dyDescent="0.2">
      <c r="A15" s="11">
        <v>14</v>
      </c>
      <c r="B15" s="4" t="s">
        <v>372</v>
      </c>
      <c r="H15" t="s">
        <v>1121</v>
      </c>
      <c r="I15" s="11">
        <v>8</v>
      </c>
      <c r="J15" s="11">
        <v>4</v>
      </c>
      <c r="K15" s="11">
        <v>8</v>
      </c>
      <c r="L15" t="s">
        <v>11</v>
      </c>
      <c r="M15" t="s">
        <v>1845</v>
      </c>
    </row>
    <row r="16" spans="1:15" ht="17.25" customHeight="1" x14ac:dyDescent="0.2">
      <c r="A16" s="11">
        <v>15</v>
      </c>
      <c r="B16" s="4" t="s">
        <v>291</v>
      </c>
      <c r="H16" t="s">
        <v>1121</v>
      </c>
      <c r="I16" s="11">
        <v>10</v>
      </c>
      <c r="J16" s="11">
        <v>9</v>
      </c>
      <c r="K16" s="11">
        <v>12</v>
      </c>
      <c r="L16" t="s">
        <v>350</v>
      </c>
    </row>
    <row r="17" spans="1:14" ht="17.25" customHeight="1" x14ac:dyDescent="0.2">
      <c r="A17" s="11">
        <v>16</v>
      </c>
      <c r="B17" s="4" t="s">
        <v>492</v>
      </c>
      <c r="H17" t="s">
        <v>1124</v>
      </c>
      <c r="I17" s="11">
        <v>16</v>
      </c>
      <c r="J17" s="11">
        <v>12</v>
      </c>
      <c r="K17" s="11">
        <v>19</v>
      </c>
      <c r="L17" t="s">
        <v>492</v>
      </c>
    </row>
    <row r="18" spans="1:14" ht="17.25" customHeight="1" x14ac:dyDescent="0.2">
      <c r="A18" s="11">
        <v>17</v>
      </c>
      <c r="B18" s="4" t="s">
        <v>1243</v>
      </c>
      <c r="H18" t="s">
        <v>1124</v>
      </c>
      <c r="I18" s="11">
        <v>20</v>
      </c>
      <c r="J18" s="11">
        <v>15</v>
      </c>
      <c r="K18" s="11">
        <v>20</v>
      </c>
      <c r="L18" t="s">
        <v>239</v>
      </c>
    </row>
    <row r="19" spans="1:14" ht="17.25" customHeight="1" x14ac:dyDescent="0.2">
      <c r="A19" s="11">
        <v>18</v>
      </c>
      <c r="B19" s="4" t="s">
        <v>1417</v>
      </c>
      <c r="H19" t="s">
        <v>1125</v>
      </c>
      <c r="I19" s="11">
        <v>12</v>
      </c>
      <c r="J19" s="11">
        <v>11</v>
      </c>
      <c r="K19" s="11">
        <v>17</v>
      </c>
      <c r="L19" t="s">
        <v>1823</v>
      </c>
    </row>
    <row r="20" spans="1:14" ht="17.25" customHeight="1" x14ac:dyDescent="0.2">
      <c r="A20" s="11">
        <v>19</v>
      </c>
      <c r="B20" s="4" t="s">
        <v>437</v>
      </c>
      <c r="H20" t="s">
        <v>1125</v>
      </c>
      <c r="I20" s="11">
        <v>13</v>
      </c>
      <c r="J20" s="11">
        <v>13</v>
      </c>
      <c r="K20" s="11">
        <v>18</v>
      </c>
      <c r="L20" t="s">
        <v>63</v>
      </c>
    </row>
    <row r="21" spans="1:14" ht="17.25" customHeight="1" x14ac:dyDescent="0.2">
      <c r="A21" s="11">
        <v>20</v>
      </c>
      <c r="B21" s="4" t="s">
        <v>239</v>
      </c>
      <c r="H21" t="s">
        <v>1125</v>
      </c>
      <c r="I21" s="11">
        <v>14</v>
      </c>
      <c r="J21" s="11">
        <v>15</v>
      </c>
      <c r="K21" s="11">
        <v>19</v>
      </c>
      <c r="L21" t="s">
        <v>372</v>
      </c>
    </row>
    <row r="22" spans="1:14" ht="17.25" customHeight="1" x14ac:dyDescent="0.2">
      <c r="A22" s="11">
        <v>21</v>
      </c>
      <c r="B22" s="4" t="s">
        <v>498</v>
      </c>
      <c r="H22" t="s">
        <v>1125</v>
      </c>
      <c r="I22" s="11">
        <v>18</v>
      </c>
      <c r="J22" s="11">
        <v>16</v>
      </c>
      <c r="K22" s="11">
        <v>20</v>
      </c>
      <c r="L22" t="s">
        <v>1417</v>
      </c>
    </row>
    <row r="23" spans="1:14" ht="17.25" customHeight="1" x14ac:dyDescent="0.2">
      <c r="A23" s="11">
        <v>22</v>
      </c>
      <c r="B23" s="4" t="s">
        <v>421</v>
      </c>
      <c r="H23" t="s">
        <v>1120</v>
      </c>
      <c r="I23" s="11">
        <v>17</v>
      </c>
      <c r="J23" s="11">
        <v>17</v>
      </c>
      <c r="K23" s="11">
        <v>22</v>
      </c>
      <c r="L23" t="s">
        <v>1243</v>
      </c>
      <c r="M23" t="s">
        <v>1243</v>
      </c>
      <c r="N23" t="s">
        <v>437</v>
      </c>
    </row>
    <row r="24" spans="1:14" ht="17.25" customHeight="1" x14ac:dyDescent="0.2">
      <c r="A24" s="11">
        <v>23</v>
      </c>
      <c r="B24" s="4" t="s">
        <v>1479</v>
      </c>
      <c r="F24" s="3" t="s">
        <v>1847</v>
      </c>
      <c r="H24" t="s">
        <v>1120</v>
      </c>
      <c r="I24" s="11">
        <v>19</v>
      </c>
      <c r="J24" s="11">
        <v>18</v>
      </c>
      <c r="K24" s="11">
        <v>23</v>
      </c>
      <c r="L24" t="s">
        <v>437</v>
      </c>
      <c r="M24" t="s">
        <v>1243</v>
      </c>
      <c r="N24" t="s">
        <v>787</v>
      </c>
    </row>
    <row r="25" spans="1:14" ht="17.25" customHeight="1" x14ac:dyDescent="0.2">
      <c r="A25" s="11"/>
      <c r="H25" t="s">
        <v>1125</v>
      </c>
      <c r="I25" s="11">
        <v>21</v>
      </c>
      <c r="J25" s="11">
        <v>19</v>
      </c>
      <c r="K25" s="11">
        <v>21</v>
      </c>
      <c r="L25" t="s">
        <v>498</v>
      </c>
    </row>
    <row r="26" spans="1:14" ht="17.25" customHeight="1" x14ac:dyDescent="0.2">
      <c r="H26" t="s">
        <v>1125</v>
      </c>
      <c r="I26" s="11">
        <v>22</v>
      </c>
      <c r="J26" s="11">
        <v>20</v>
      </c>
      <c r="K26" s="11">
        <v>22</v>
      </c>
      <c r="L26" t="s">
        <v>421</v>
      </c>
    </row>
    <row r="27" spans="1:14" ht="17.25" customHeight="1" x14ac:dyDescent="0.2">
      <c r="H27" t="s">
        <v>1125</v>
      </c>
      <c r="I27" s="11">
        <v>23</v>
      </c>
      <c r="J27" s="11">
        <v>21</v>
      </c>
      <c r="K27" s="11">
        <v>23</v>
      </c>
      <c r="L27" t="s">
        <v>1479</v>
      </c>
    </row>
    <row r="28" spans="1:14" ht="17.25" customHeight="1" x14ac:dyDescent="0.2"/>
    <row r="29" spans="1:14" ht="17.25" customHeight="1" x14ac:dyDescent="0.2">
      <c r="L29" t="s">
        <v>1126</v>
      </c>
    </row>
    <row r="30" spans="1:14" ht="17.25" customHeight="1" x14ac:dyDescent="0.2"/>
    <row r="31" spans="1:14" ht="17.25" customHeight="1" x14ac:dyDescent="0.2">
      <c r="A31" s="13" t="s">
        <v>1</v>
      </c>
      <c r="B31" s="12" t="s">
        <v>1127</v>
      </c>
      <c r="C31" s="14" t="s">
        <v>998</v>
      </c>
      <c r="D31" s="13" t="s">
        <v>4</v>
      </c>
      <c r="E31" s="13" t="s">
        <v>999</v>
      </c>
      <c r="F31" s="12" t="s">
        <v>1128</v>
      </c>
      <c r="G31" s="12" t="s">
        <v>1129</v>
      </c>
      <c r="H31" s="12"/>
    </row>
    <row r="32" spans="1:14" ht="17.25" hidden="1" customHeight="1" x14ac:dyDescent="0.2">
      <c r="A32" s="2" t="s">
        <v>11</v>
      </c>
      <c r="B32" t="s">
        <v>13</v>
      </c>
      <c r="C32" s="16">
        <v>0.92943644999999997</v>
      </c>
      <c r="D32" s="10">
        <v>1.5</v>
      </c>
      <c r="E32" s="11">
        <v>1</v>
      </c>
      <c r="F32" t="s">
        <v>1029</v>
      </c>
      <c r="G32" t="s">
        <v>1006</v>
      </c>
    </row>
    <row r="33" spans="1:7" ht="17.25" hidden="1" customHeight="1" x14ac:dyDescent="0.2">
      <c r="A33" s="2" t="s">
        <v>14</v>
      </c>
      <c r="B33" t="s">
        <v>16</v>
      </c>
      <c r="C33" s="16">
        <v>0.91629530000000003</v>
      </c>
      <c r="D33" s="10">
        <v>3.4</v>
      </c>
      <c r="E33" s="11">
        <v>1</v>
      </c>
      <c r="F33" t="s">
        <v>1130</v>
      </c>
      <c r="G33" t="s">
        <v>1006</v>
      </c>
    </row>
    <row r="34" spans="1:7" ht="17.25" hidden="1" customHeight="1" x14ac:dyDescent="0.2">
      <c r="A34" s="2" t="s">
        <v>41</v>
      </c>
      <c r="B34" t="s">
        <v>43</v>
      </c>
      <c r="C34" s="16">
        <v>0.91178219999999999</v>
      </c>
      <c r="D34" s="10">
        <v>14.4</v>
      </c>
      <c r="E34" s="11">
        <v>2</v>
      </c>
      <c r="F34" t="s">
        <v>1130</v>
      </c>
      <c r="G34" t="s">
        <v>1006</v>
      </c>
    </row>
    <row r="35" spans="1:7" ht="17.25" hidden="1" customHeight="1" x14ac:dyDescent="0.2">
      <c r="A35" s="2" t="s">
        <v>203</v>
      </c>
      <c r="B35" t="s">
        <v>25</v>
      </c>
      <c r="C35" s="16">
        <v>0.91174140000000004</v>
      </c>
      <c r="D35" s="10">
        <v>10.6</v>
      </c>
      <c r="E35" s="11">
        <v>1</v>
      </c>
      <c r="F35" t="s">
        <v>1130</v>
      </c>
      <c r="G35" t="s">
        <v>1006</v>
      </c>
    </row>
    <row r="36" spans="1:7" ht="17.25" hidden="1" customHeight="1" x14ac:dyDescent="0.2">
      <c r="A36" s="2" t="s">
        <v>466</v>
      </c>
      <c r="B36" t="s">
        <v>69</v>
      </c>
      <c r="C36" s="16">
        <v>0.91593469999999999</v>
      </c>
      <c r="D36" s="3" t="s">
        <v>1006</v>
      </c>
      <c r="E36" s="3" t="s">
        <v>1006</v>
      </c>
      <c r="F36" t="s">
        <v>1006</v>
      </c>
      <c r="G36" t="s">
        <v>1006</v>
      </c>
    </row>
    <row r="37" spans="1:7" ht="17.25" hidden="1" customHeight="1" x14ac:dyDescent="0.2">
      <c r="A37" s="2" t="s">
        <v>23</v>
      </c>
      <c r="B37" t="s">
        <v>25</v>
      </c>
      <c r="C37" s="16">
        <v>0.86973935000000002</v>
      </c>
      <c r="D37" s="10">
        <v>7.8</v>
      </c>
      <c r="E37" s="11">
        <v>1</v>
      </c>
      <c r="F37" t="s">
        <v>1130</v>
      </c>
      <c r="G37" t="s">
        <v>1006</v>
      </c>
    </row>
    <row r="38" spans="1:7" ht="17.25" hidden="1" customHeight="1" x14ac:dyDescent="0.2">
      <c r="A38" s="2" t="s">
        <v>1131</v>
      </c>
      <c r="B38" t="s">
        <v>69</v>
      </c>
      <c r="C38" s="16">
        <v>0.89849199999999996</v>
      </c>
      <c r="D38" s="3" t="s">
        <v>1006</v>
      </c>
      <c r="E38" s="3" t="s">
        <v>1006</v>
      </c>
      <c r="F38" t="s">
        <v>1006</v>
      </c>
      <c r="G38" t="s">
        <v>1006</v>
      </c>
    </row>
    <row r="39" spans="1:7" ht="17.25" hidden="1" customHeight="1" x14ac:dyDescent="0.2">
      <c r="A39" s="2" t="s">
        <v>49</v>
      </c>
      <c r="B39" t="s">
        <v>16</v>
      </c>
      <c r="C39" s="16">
        <v>0.86548610000000004</v>
      </c>
      <c r="D39" s="10">
        <v>17.600000000000001</v>
      </c>
      <c r="E39" s="11">
        <v>2</v>
      </c>
      <c r="F39" t="s">
        <v>1029</v>
      </c>
      <c r="G39" t="s">
        <v>1006</v>
      </c>
    </row>
    <row r="40" spans="1:7" ht="17.25" hidden="1" customHeight="1" x14ac:dyDescent="0.2">
      <c r="A40" s="2" t="s">
        <v>516</v>
      </c>
      <c r="B40" t="s">
        <v>69</v>
      </c>
      <c r="C40" s="16">
        <v>0.89844780000000002</v>
      </c>
      <c r="D40" s="3" t="s">
        <v>1006</v>
      </c>
      <c r="E40" s="3" t="s">
        <v>1006</v>
      </c>
      <c r="F40" t="s">
        <v>1006</v>
      </c>
      <c r="G40" t="s">
        <v>1006</v>
      </c>
    </row>
    <row r="41" spans="1:7" ht="17.25" hidden="1" customHeight="1" x14ac:dyDescent="0.2">
      <c r="A41" s="2" t="s">
        <v>96</v>
      </c>
      <c r="B41" t="s">
        <v>87</v>
      </c>
      <c r="C41" s="16">
        <v>0.85800560000000003</v>
      </c>
      <c r="D41" s="10">
        <v>34.799999999999997</v>
      </c>
      <c r="E41" s="11">
        <v>3</v>
      </c>
      <c r="F41" t="s">
        <v>1029</v>
      </c>
      <c r="G41" t="s">
        <v>1006</v>
      </c>
    </row>
    <row r="42" spans="1:7" ht="17.25" hidden="1" customHeight="1" x14ac:dyDescent="0.2">
      <c r="A42" s="2" t="s">
        <v>606</v>
      </c>
      <c r="B42" t="s">
        <v>69</v>
      </c>
      <c r="C42" s="16">
        <v>0.89481204999999997</v>
      </c>
      <c r="D42" s="11">
        <v>240</v>
      </c>
      <c r="E42" s="11">
        <v>20</v>
      </c>
      <c r="F42" t="s">
        <v>1006</v>
      </c>
      <c r="G42" t="s">
        <v>1006</v>
      </c>
    </row>
    <row r="43" spans="1:7" ht="17.25" hidden="1" customHeight="1" x14ac:dyDescent="0.2">
      <c r="A43" s="2" t="s">
        <v>230</v>
      </c>
      <c r="B43" t="s">
        <v>69</v>
      </c>
      <c r="C43" s="16">
        <v>0.88249339999999998</v>
      </c>
      <c r="D43" s="11">
        <v>239</v>
      </c>
      <c r="E43" s="11">
        <v>20</v>
      </c>
      <c r="F43" t="s">
        <v>1006</v>
      </c>
      <c r="G43" t="s">
        <v>1006</v>
      </c>
    </row>
    <row r="44" spans="1:7" ht="17.25" hidden="1" customHeight="1" x14ac:dyDescent="0.2">
      <c r="A44" s="2" t="s">
        <v>285</v>
      </c>
      <c r="B44" t="s">
        <v>87</v>
      </c>
      <c r="C44" s="16">
        <v>0.84943590000000002</v>
      </c>
      <c r="D44" s="10">
        <v>29.5</v>
      </c>
      <c r="E44" s="11">
        <v>3</v>
      </c>
      <c r="F44" t="s">
        <v>1029</v>
      </c>
      <c r="G44" t="s">
        <v>1006</v>
      </c>
    </row>
    <row r="45" spans="1:7" ht="17.25" hidden="1" customHeight="1" x14ac:dyDescent="0.2">
      <c r="A45" s="2" t="s">
        <v>731</v>
      </c>
      <c r="B45" t="s">
        <v>69</v>
      </c>
      <c r="C45" s="16">
        <v>0.88222929999999999</v>
      </c>
      <c r="D45" s="3" t="s">
        <v>1006</v>
      </c>
      <c r="E45" s="3" t="s">
        <v>1006</v>
      </c>
      <c r="F45" t="s">
        <v>1006</v>
      </c>
      <c r="G45" t="s">
        <v>1006</v>
      </c>
    </row>
    <row r="46" spans="1:7" ht="17.25" hidden="1" customHeight="1" x14ac:dyDescent="0.2">
      <c r="A46" s="2" t="s">
        <v>17</v>
      </c>
      <c r="B46" t="s">
        <v>19</v>
      </c>
      <c r="C46" s="16">
        <v>0.84757923999999996</v>
      </c>
      <c r="D46" s="10">
        <v>1.6</v>
      </c>
      <c r="E46" s="11">
        <v>1</v>
      </c>
      <c r="F46" t="s">
        <v>1130</v>
      </c>
      <c r="G46" t="s">
        <v>1006</v>
      </c>
    </row>
    <row r="47" spans="1:7" ht="17.25" hidden="1" customHeight="1" x14ac:dyDescent="0.2">
      <c r="A47" s="2" t="s">
        <v>787</v>
      </c>
      <c r="B47" t="s">
        <v>152</v>
      </c>
      <c r="C47" s="16">
        <v>0.82757979999999998</v>
      </c>
      <c r="D47" s="3" t="s">
        <v>1006</v>
      </c>
      <c r="E47" s="3" t="s">
        <v>1006</v>
      </c>
      <c r="F47" t="s">
        <v>1006</v>
      </c>
      <c r="G47" t="s">
        <v>1006</v>
      </c>
    </row>
    <row r="48" spans="1:7" ht="17.25" hidden="1" customHeight="1" x14ac:dyDescent="0.2">
      <c r="A48" s="2" t="s">
        <v>114</v>
      </c>
      <c r="B48" t="s">
        <v>69</v>
      </c>
      <c r="C48" s="16">
        <v>0.87516254000000004</v>
      </c>
      <c r="D48" s="10">
        <v>50.7</v>
      </c>
      <c r="E48" s="11">
        <v>5</v>
      </c>
      <c r="F48" t="s">
        <v>1006</v>
      </c>
      <c r="G48" t="s">
        <v>1006</v>
      </c>
    </row>
    <row r="49" spans="1:7" ht="17.25" customHeight="1" x14ac:dyDescent="0.2">
      <c r="A49" s="2" t="s">
        <v>191</v>
      </c>
      <c r="B49" t="s">
        <v>28</v>
      </c>
      <c r="C49" s="16">
        <v>0.84137620000000002</v>
      </c>
      <c r="D49" s="10">
        <v>40.6</v>
      </c>
      <c r="E49" s="11">
        <v>4</v>
      </c>
      <c r="F49" t="s">
        <v>1006</v>
      </c>
      <c r="G49" t="s">
        <v>1006</v>
      </c>
    </row>
    <row r="50" spans="1:7" ht="17.25" customHeight="1" x14ac:dyDescent="0.2">
      <c r="A50" s="2" t="s">
        <v>56</v>
      </c>
      <c r="B50" t="s">
        <v>28</v>
      </c>
      <c r="C50" s="16">
        <v>0.83403899999999997</v>
      </c>
      <c r="D50" s="10">
        <v>11.3</v>
      </c>
      <c r="E50" s="11">
        <v>1</v>
      </c>
      <c r="F50" t="s">
        <v>1006</v>
      </c>
      <c r="G50" t="s">
        <v>1006</v>
      </c>
    </row>
    <row r="51" spans="1:7" ht="17.25" hidden="1" customHeight="1" x14ac:dyDescent="0.2">
      <c r="A51" s="2" t="s">
        <v>371</v>
      </c>
      <c r="B51" t="s">
        <v>69</v>
      </c>
      <c r="C51" s="16">
        <v>0.87516254000000004</v>
      </c>
      <c r="D51" s="11">
        <v>254</v>
      </c>
      <c r="E51" s="11">
        <v>22</v>
      </c>
      <c r="F51" t="s">
        <v>1006</v>
      </c>
      <c r="G51" t="s">
        <v>1006</v>
      </c>
    </row>
    <row r="52" spans="1:7" ht="17.25" hidden="1" customHeight="1" x14ac:dyDescent="0.2">
      <c r="A52" s="2" t="s">
        <v>549</v>
      </c>
      <c r="B52" t="s">
        <v>69</v>
      </c>
      <c r="C52" s="16">
        <v>0.87165486999999997</v>
      </c>
      <c r="D52" s="3" t="s">
        <v>1006</v>
      </c>
      <c r="E52" s="3" t="s">
        <v>1006</v>
      </c>
      <c r="F52" t="s">
        <v>1006</v>
      </c>
      <c r="G52" t="s">
        <v>1006</v>
      </c>
    </row>
    <row r="53" spans="1:7" ht="17.25" hidden="1" customHeight="1" x14ac:dyDescent="0.2">
      <c r="A53" s="2" t="s">
        <v>139</v>
      </c>
      <c r="B53" t="s">
        <v>19</v>
      </c>
      <c r="C53" s="16">
        <v>0.75745605999999999</v>
      </c>
      <c r="D53" s="11">
        <v>40</v>
      </c>
      <c r="E53" s="11">
        <v>4</v>
      </c>
      <c r="F53" t="s">
        <v>1029</v>
      </c>
      <c r="G53" t="s">
        <v>1006</v>
      </c>
    </row>
    <row r="54" spans="1:7" ht="17.25" customHeight="1" x14ac:dyDescent="0.2">
      <c r="A54" s="2" t="s">
        <v>157</v>
      </c>
      <c r="B54" t="s">
        <v>28</v>
      </c>
      <c r="C54" s="16">
        <v>0.80664670000000005</v>
      </c>
      <c r="D54" s="10">
        <v>24.8</v>
      </c>
      <c r="E54" s="11">
        <v>3</v>
      </c>
      <c r="F54" t="s">
        <v>1006</v>
      </c>
      <c r="G54" t="s">
        <v>1006</v>
      </c>
    </row>
    <row r="55" spans="1:7" ht="17.25" hidden="1" customHeight="1" x14ac:dyDescent="0.2">
      <c r="A55" s="2" t="s">
        <v>633</v>
      </c>
      <c r="B55" t="s">
        <v>69</v>
      </c>
      <c r="C55" s="16">
        <v>0.87133247000000003</v>
      </c>
      <c r="D55" s="3" t="s">
        <v>1006</v>
      </c>
      <c r="E55" s="3" t="s">
        <v>1006</v>
      </c>
      <c r="F55" t="s">
        <v>1006</v>
      </c>
      <c r="G55" t="s">
        <v>1006</v>
      </c>
    </row>
    <row r="56" spans="1:7" ht="17.25" hidden="1" customHeight="1" x14ac:dyDescent="0.2">
      <c r="A56" s="2" t="s">
        <v>94</v>
      </c>
      <c r="B56" t="s">
        <v>87</v>
      </c>
      <c r="C56" s="16">
        <v>0.7129335</v>
      </c>
      <c r="D56" s="10">
        <v>130.19999999999999</v>
      </c>
      <c r="E56" s="11">
        <v>11</v>
      </c>
      <c r="F56" t="s">
        <v>1029</v>
      </c>
      <c r="G56" t="s">
        <v>1006</v>
      </c>
    </row>
    <row r="57" spans="1:7" ht="17.25" customHeight="1" x14ac:dyDescent="0.2">
      <c r="A57" s="2" t="s">
        <v>1019</v>
      </c>
      <c r="B57" t="s">
        <v>28</v>
      </c>
      <c r="C57" s="16">
        <v>0.80416750000000004</v>
      </c>
      <c r="D57" s="10">
        <v>156.19999999999999</v>
      </c>
      <c r="E57" s="11">
        <v>14</v>
      </c>
      <c r="F57" t="s">
        <v>1006</v>
      </c>
      <c r="G57" t="s">
        <v>1006</v>
      </c>
    </row>
    <row r="58" spans="1:7" ht="17.25" hidden="1" customHeight="1" x14ac:dyDescent="0.2">
      <c r="A58" s="2" t="s">
        <v>29</v>
      </c>
      <c r="B58" t="s">
        <v>19</v>
      </c>
      <c r="C58" s="16">
        <v>0.65990393999999997</v>
      </c>
      <c r="D58" s="10">
        <v>6.1</v>
      </c>
      <c r="E58" s="11">
        <v>1</v>
      </c>
      <c r="F58" t="s">
        <v>1029</v>
      </c>
      <c r="G58" t="s">
        <v>1006</v>
      </c>
    </row>
    <row r="59" spans="1:7" ht="17.25" hidden="1" customHeight="1" x14ac:dyDescent="0.2">
      <c r="A59" s="2" t="s">
        <v>723</v>
      </c>
      <c r="B59" t="s">
        <v>25</v>
      </c>
      <c r="C59" s="16">
        <v>0.65877859999999999</v>
      </c>
      <c r="D59" s="10">
        <v>124.5</v>
      </c>
      <c r="E59" s="11">
        <v>11</v>
      </c>
      <c r="F59" t="s">
        <v>1006</v>
      </c>
      <c r="G59" t="s">
        <v>1006</v>
      </c>
    </row>
    <row r="60" spans="1:7" ht="17.25" hidden="1" customHeight="1" x14ac:dyDescent="0.2">
      <c r="A60" s="2" t="s">
        <v>293</v>
      </c>
      <c r="B60" t="s">
        <v>13</v>
      </c>
      <c r="C60" s="16">
        <v>0.65087430000000002</v>
      </c>
      <c r="D60" s="10">
        <v>381.6</v>
      </c>
      <c r="E60" s="11">
        <v>32</v>
      </c>
      <c r="F60" t="s">
        <v>1130</v>
      </c>
      <c r="G60" t="s">
        <v>1006</v>
      </c>
    </row>
    <row r="61" spans="1:7" ht="17.25" hidden="1" customHeight="1" x14ac:dyDescent="0.2">
      <c r="A61" s="2" t="s">
        <v>305</v>
      </c>
      <c r="B61" t="s">
        <v>69</v>
      </c>
      <c r="C61" s="16">
        <v>0.86921680000000001</v>
      </c>
      <c r="D61" s="11">
        <v>128</v>
      </c>
      <c r="E61" s="11">
        <v>12</v>
      </c>
      <c r="F61" t="s">
        <v>1006</v>
      </c>
      <c r="G61" t="s">
        <v>1006</v>
      </c>
    </row>
    <row r="62" spans="1:7" ht="17.25" hidden="1" customHeight="1" x14ac:dyDescent="0.2">
      <c r="A62" s="2" t="s">
        <v>239</v>
      </c>
      <c r="B62" t="s">
        <v>69</v>
      </c>
      <c r="C62" s="16">
        <v>0.86921680000000001</v>
      </c>
      <c r="D62" s="11">
        <v>228</v>
      </c>
      <c r="E62" s="11">
        <v>20</v>
      </c>
      <c r="F62" t="s">
        <v>1006</v>
      </c>
      <c r="G62" t="s">
        <v>1006</v>
      </c>
    </row>
    <row r="63" spans="1:7" ht="17.25" hidden="1" customHeight="1" x14ac:dyDescent="0.2">
      <c r="A63" s="2" t="s">
        <v>71</v>
      </c>
      <c r="B63" t="s">
        <v>25</v>
      </c>
      <c r="C63" s="16">
        <v>0.60806304</v>
      </c>
      <c r="D63" s="10">
        <v>25.6</v>
      </c>
      <c r="E63" s="11">
        <v>3</v>
      </c>
      <c r="F63" t="s">
        <v>1029</v>
      </c>
      <c r="G63" t="s">
        <v>1006</v>
      </c>
    </row>
    <row r="64" spans="1:7" ht="17.25" hidden="1" customHeight="1" x14ac:dyDescent="0.2">
      <c r="A64" s="2" t="s">
        <v>170</v>
      </c>
      <c r="B64" t="s">
        <v>82</v>
      </c>
      <c r="C64" s="16">
        <v>0.54935025999999998</v>
      </c>
      <c r="D64" s="10">
        <v>95.3</v>
      </c>
      <c r="E64" s="11">
        <v>8</v>
      </c>
      <c r="F64" t="s">
        <v>1130</v>
      </c>
      <c r="G64" t="s">
        <v>1006</v>
      </c>
    </row>
    <row r="65" spans="1:7" ht="17.25" hidden="1" customHeight="1" x14ac:dyDescent="0.2">
      <c r="A65" s="2" t="s">
        <v>258</v>
      </c>
      <c r="B65" t="s">
        <v>206</v>
      </c>
      <c r="C65" s="16">
        <v>0.5130863</v>
      </c>
      <c r="D65" s="10">
        <v>90.5</v>
      </c>
      <c r="E65" s="11">
        <v>8</v>
      </c>
      <c r="F65" t="s">
        <v>1029</v>
      </c>
      <c r="G65" t="s">
        <v>1006</v>
      </c>
    </row>
    <row r="66" spans="1:7" ht="17.25" customHeight="1" x14ac:dyDescent="0.2">
      <c r="A66" s="2" t="s">
        <v>123</v>
      </c>
      <c r="B66" t="s">
        <v>28</v>
      </c>
      <c r="C66" s="16">
        <v>0.79037802999999995</v>
      </c>
      <c r="D66" s="11">
        <v>139</v>
      </c>
      <c r="E66" s="11">
        <v>14</v>
      </c>
      <c r="F66" t="s">
        <v>1006</v>
      </c>
      <c r="G66" t="s">
        <v>1006</v>
      </c>
    </row>
    <row r="67" spans="1:7" ht="17.25" hidden="1" customHeight="1" x14ac:dyDescent="0.2">
      <c r="A67" s="2" t="s">
        <v>136</v>
      </c>
      <c r="B67" t="s">
        <v>82</v>
      </c>
      <c r="C67" s="16">
        <v>0.4927301</v>
      </c>
      <c r="D67" s="10">
        <v>38.700000000000003</v>
      </c>
      <c r="E67" s="11">
        <v>4</v>
      </c>
      <c r="F67" t="s">
        <v>1029</v>
      </c>
      <c r="G67" t="s">
        <v>1006</v>
      </c>
    </row>
    <row r="68" spans="1:7" ht="17.25" hidden="1" customHeight="1" x14ac:dyDescent="0.2">
      <c r="A68" s="2" t="s">
        <v>1132</v>
      </c>
      <c r="B68" t="s">
        <v>69</v>
      </c>
      <c r="C68" s="16">
        <v>0.86621550000000003</v>
      </c>
      <c r="D68" s="10">
        <v>87.3</v>
      </c>
      <c r="E68" s="11">
        <v>8</v>
      </c>
      <c r="F68" t="s">
        <v>1006</v>
      </c>
      <c r="G68" t="s">
        <v>1006</v>
      </c>
    </row>
    <row r="69" spans="1:7" ht="17.25" hidden="1" customHeight="1" x14ac:dyDescent="0.2">
      <c r="A69" s="2" t="s">
        <v>223</v>
      </c>
      <c r="B69" t="s">
        <v>25</v>
      </c>
      <c r="C69" s="16">
        <v>0.48360713999999999</v>
      </c>
      <c r="D69" s="10">
        <v>240.7</v>
      </c>
      <c r="E69" s="11">
        <v>21</v>
      </c>
      <c r="F69" t="s">
        <v>1130</v>
      </c>
      <c r="G69" t="s">
        <v>1006</v>
      </c>
    </row>
    <row r="70" spans="1:7" ht="17.25" hidden="1" customHeight="1" x14ac:dyDescent="0.2">
      <c r="A70" s="2" t="s">
        <v>207</v>
      </c>
      <c r="B70" t="s">
        <v>69</v>
      </c>
      <c r="C70" s="16">
        <v>0.86508660000000004</v>
      </c>
      <c r="D70" s="10">
        <v>44.1</v>
      </c>
      <c r="E70" s="11">
        <v>4</v>
      </c>
      <c r="F70" t="s">
        <v>1006</v>
      </c>
      <c r="G70" t="s">
        <v>1006</v>
      </c>
    </row>
    <row r="71" spans="1:7" ht="17.25" customHeight="1" x14ac:dyDescent="0.2">
      <c r="A71" s="2" t="s">
        <v>107</v>
      </c>
      <c r="B71" t="s">
        <v>28</v>
      </c>
      <c r="C71" s="16">
        <v>0.73539880000000002</v>
      </c>
      <c r="D71" s="10">
        <v>45.8</v>
      </c>
      <c r="E71" s="11">
        <v>4</v>
      </c>
      <c r="F71" t="s">
        <v>1006</v>
      </c>
      <c r="G71" t="s">
        <v>1029</v>
      </c>
    </row>
    <row r="72" spans="1:7" ht="17.25" customHeight="1" x14ac:dyDescent="0.2">
      <c r="A72" s="2" t="s">
        <v>222</v>
      </c>
      <c r="B72" t="s">
        <v>28</v>
      </c>
      <c r="C72" s="16">
        <v>0.73369660000000003</v>
      </c>
      <c r="D72" s="10">
        <v>172.8</v>
      </c>
      <c r="E72" s="11">
        <v>15</v>
      </c>
      <c r="F72" t="s">
        <v>1006</v>
      </c>
      <c r="G72" t="s">
        <v>1038</v>
      </c>
    </row>
    <row r="73" spans="1:7" ht="17.25" hidden="1" customHeight="1" x14ac:dyDescent="0.2">
      <c r="A73" s="2" t="s">
        <v>323</v>
      </c>
      <c r="B73" t="s">
        <v>25</v>
      </c>
      <c r="C73" s="16">
        <v>0.48242711999999999</v>
      </c>
      <c r="D73" s="10">
        <v>144.6</v>
      </c>
      <c r="E73" s="11">
        <v>13</v>
      </c>
      <c r="F73" t="s">
        <v>1006</v>
      </c>
      <c r="G73" t="s">
        <v>1006</v>
      </c>
    </row>
    <row r="74" spans="1:7" ht="17.25" customHeight="1" x14ac:dyDescent="0.2">
      <c r="A74" s="2" t="s">
        <v>59</v>
      </c>
      <c r="B74" t="s">
        <v>28</v>
      </c>
      <c r="C74" s="16">
        <v>0.65819220000000001</v>
      </c>
      <c r="D74" s="11">
        <v>26</v>
      </c>
      <c r="E74" s="11">
        <v>3</v>
      </c>
      <c r="F74" t="s">
        <v>1006</v>
      </c>
      <c r="G74" t="s">
        <v>1130</v>
      </c>
    </row>
    <row r="75" spans="1:7" ht="17.25" hidden="1" customHeight="1" x14ac:dyDescent="0.2">
      <c r="A75" s="2" t="s">
        <v>1016</v>
      </c>
      <c r="B75" t="s">
        <v>69</v>
      </c>
      <c r="C75" s="16">
        <v>0.86323589999999994</v>
      </c>
      <c r="D75" s="3" t="s">
        <v>1006</v>
      </c>
      <c r="E75" s="3" t="s">
        <v>1006</v>
      </c>
      <c r="F75" t="s">
        <v>1006</v>
      </c>
      <c r="G75" t="s">
        <v>1006</v>
      </c>
    </row>
    <row r="76" spans="1:7" ht="17.25" hidden="1" customHeight="1" x14ac:dyDescent="0.2">
      <c r="A76" s="2" t="s">
        <v>410</v>
      </c>
      <c r="B76" t="s">
        <v>238</v>
      </c>
      <c r="C76" s="16">
        <v>0.85348889999999999</v>
      </c>
      <c r="D76" s="11">
        <v>245</v>
      </c>
      <c r="E76" s="11">
        <v>21</v>
      </c>
      <c r="F76" t="s">
        <v>1006</v>
      </c>
      <c r="G76" t="s">
        <v>1006</v>
      </c>
    </row>
    <row r="77" spans="1:7" ht="17.25" hidden="1" customHeight="1" x14ac:dyDescent="0.2">
      <c r="A77" s="2" t="s">
        <v>51</v>
      </c>
      <c r="B77" t="s">
        <v>53</v>
      </c>
      <c r="C77" s="16">
        <v>0.47614032000000001</v>
      </c>
      <c r="D77" s="10">
        <v>32.4</v>
      </c>
      <c r="E77" s="11">
        <v>3</v>
      </c>
      <c r="F77" t="s">
        <v>1029</v>
      </c>
      <c r="G77" t="s">
        <v>1006</v>
      </c>
    </row>
    <row r="78" spans="1:7" ht="17.25" hidden="1" customHeight="1" x14ac:dyDescent="0.2">
      <c r="A78" s="2" t="s">
        <v>611</v>
      </c>
      <c r="B78" t="s">
        <v>612</v>
      </c>
      <c r="C78" s="16">
        <v>0.38101044000000001</v>
      </c>
      <c r="D78" s="10">
        <v>645.79999999999995</v>
      </c>
      <c r="E78" s="11">
        <v>54</v>
      </c>
      <c r="F78" t="s">
        <v>1006</v>
      </c>
      <c r="G78" t="s">
        <v>1006</v>
      </c>
    </row>
    <row r="79" spans="1:7" ht="17.25" hidden="1" customHeight="1" x14ac:dyDescent="0.2">
      <c r="A79" s="2" t="s">
        <v>272</v>
      </c>
      <c r="B79" t="s">
        <v>25</v>
      </c>
      <c r="C79" s="16">
        <v>0.37992690000000001</v>
      </c>
      <c r="D79" s="10">
        <v>37.9</v>
      </c>
      <c r="E79" s="11">
        <v>4</v>
      </c>
      <c r="F79" t="s">
        <v>1038</v>
      </c>
      <c r="G79" t="s">
        <v>1006</v>
      </c>
    </row>
    <row r="80" spans="1:7" ht="17.25" customHeight="1" x14ac:dyDescent="0.2">
      <c r="A80" s="2" t="s">
        <v>26</v>
      </c>
      <c r="B80" t="s">
        <v>28</v>
      </c>
      <c r="C80" s="16">
        <v>0.65359160000000005</v>
      </c>
      <c r="D80" s="10">
        <v>13.8</v>
      </c>
      <c r="E80" s="11">
        <v>2</v>
      </c>
      <c r="F80" t="s">
        <v>1006</v>
      </c>
      <c r="G80" t="s">
        <v>1130</v>
      </c>
    </row>
    <row r="81" spans="1:7" ht="17.25" customHeight="1" x14ac:dyDescent="0.2">
      <c r="A81" s="2" t="s">
        <v>216</v>
      </c>
      <c r="B81" t="s">
        <v>28</v>
      </c>
      <c r="C81" s="16">
        <v>0.65281579999999995</v>
      </c>
      <c r="D81" s="11">
        <v>121</v>
      </c>
      <c r="E81" s="11">
        <v>11</v>
      </c>
      <c r="F81" t="s">
        <v>1006</v>
      </c>
      <c r="G81" t="s">
        <v>1006</v>
      </c>
    </row>
    <row r="82" spans="1:7" ht="17.25" hidden="1" customHeight="1" x14ac:dyDescent="0.2">
      <c r="A82" s="2" t="s">
        <v>208</v>
      </c>
      <c r="B82" t="s">
        <v>25</v>
      </c>
      <c r="C82" s="16">
        <v>0.37840049999999997</v>
      </c>
      <c r="D82" s="10">
        <v>8.3000000000000007</v>
      </c>
      <c r="E82" s="11">
        <v>1</v>
      </c>
      <c r="F82" t="s">
        <v>1029</v>
      </c>
      <c r="G82" t="s">
        <v>1006</v>
      </c>
    </row>
    <row r="83" spans="1:7" ht="17.25" hidden="1" customHeight="1" x14ac:dyDescent="0.2">
      <c r="A83" s="2" t="s">
        <v>90</v>
      </c>
      <c r="B83" t="s">
        <v>25</v>
      </c>
      <c r="C83" s="16">
        <v>0.37210742000000002</v>
      </c>
      <c r="D83" s="10">
        <v>16.600000000000001</v>
      </c>
      <c r="E83" s="11">
        <v>2</v>
      </c>
      <c r="F83" t="s">
        <v>1029</v>
      </c>
      <c r="G83" t="s">
        <v>1006</v>
      </c>
    </row>
    <row r="84" spans="1:7" ht="17.25" hidden="1" customHeight="1" x14ac:dyDescent="0.2">
      <c r="A84" s="2" t="s">
        <v>531</v>
      </c>
      <c r="B84" t="s">
        <v>25</v>
      </c>
      <c r="C84" s="16">
        <v>0.36942365999999999</v>
      </c>
      <c r="D84" s="11">
        <v>239</v>
      </c>
      <c r="E84" s="11">
        <v>20</v>
      </c>
      <c r="F84" t="s">
        <v>1130</v>
      </c>
      <c r="G84" t="s">
        <v>1006</v>
      </c>
    </row>
    <row r="85" spans="1:7" ht="17.25" hidden="1" customHeight="1" x14ac:dyDescent="0.2">
      <c r="A85" s="2" t="s">
        <v>101</v>
      </c>
      <c r="B85" t="s">
        <v>25</v>
      </c>
      <c r="C85" s="16">
        <v>0.34996724000000001</v>
      </c>
      <c r="D85" s="10">
        <v>13.7</v>
      </c>
      <c r="E85" s="11">
        <v>2</v>
      </c>
      <c r="F85" t="s">
        <v>1029</v>
      </c>
      <c r="G85" t="s">
        <v>1006</v>
      </c>
    </row>
    <row r="86" spans="1:7" ht="17.25" hidden="1" customHeight="1" x14ac:dyDescent="0.2">
      <c r="A86" s="2" t="s">
        <v>331</v>
      </c>
      <c r="B86" t="s">
        <v>25</v>
      </c>
      <c r="C86" s="16">
        <v>0.34912145</v>
      </c>
      <c r="D86" s="11">
        <v>452</v>
      </c>
      <c r="E86" s="11">
        <v>38</v>
      </c>
      <c r="F86" t="s">
        <v>1006</v>
      </c>
      <c r="G86" t="s">
        <v>1006</v>
      </c>
    </row>
    <row r="87" spans="1:7" ht="17.25" customHeight="1" x14ac:dyDescent="0.2">
      <c r="A87" s="2" t="s">
        <v>146</v>
      </c>
      <c r="B87" t="s">
        <v>28</v>
      </c>
      <c r="C87" s="16">
        <v>0.62830322999999999</v>
      </c>
      <c r="D87" s="11">
        <v>251</v>
      </c>
      <c r="E87" s="11">
        <v>21</v>
      </c>
      <c r="F87" t="s">
        <v>1006</v>
      </c>
      <c r="G87" t="s">
        <v>1006</v>
      </c>
    </row>
    <row r="88" spans="1:7" ht="17.25" hidden="1" customHeight="1" x14ac:dyDescent="0.2">
      <c r="A88" s="2" t="s">
        <v>291</v>
      </c>
      <c r="B88" t="s">
        <v>53</v>
      </c>
      <c r="C88" s="16">
        <v>0.33452216000000001</v>
      </c>
      <c r="D88" s="10">
        <v>232.8</v>
      </c>
      <c r="E88" s="11">
        <v>20</v>
      </c>
      <c r="F88" t="s">
        <v>1029</v>
      </c>
      <c r="G88" t="s">
        <v>1006</v>
      </c>
    </row>
    <row r="89" spans="1:7" ht="17.25" hidden="1" customHeight="1" x14ac:dyDescent="0.2">
      <c r="A89" s="2" t="s">
        <v>210</v>
      </c>
      <c r="B89" t="s">
        <v>25</v>
      </c>
      <c r="C89" s="16">
        <v>0.32095595999999998</v>
      </c>
      <c r="D89" s="10">
        <v>233.9</v>
      </c>
      <c r="E89" s="11">
        <v>20</v>
      </c>
      <c r="F89" t="s">
        <v>1006</v>
      </c>
      <c r="G89" t="s">
        <v>1006</v>
      </c>
    </row>
    <row r="90" spans="1:7" ht="17.25" customHeight="1" x14ac:dyDescent="0.2">
      <c r="A90" s="2" t="s">
        <v>98</v>
      </c>
      <c r="B90" t="s">
        <v>28</v>
      </c>
      <c r="C90" s="16">
        <v>0.60481995</v>
      </c>
      <c r="D90" s="10">
        <v>95.8</v>
      </c>
      <c r="E90" s="11">
        <v>8</v>
      </c>
      <c r="F90" t="s">
        <v>1006</v>
      </c>
      <c r="G90" t="s">
        <v>1006</v>
      </c>
    </row>
    <row r="91" spans="1:7" ht="17.25" hidden="1" customHeight="1" x14ac:dyDescent="0.2">
      <c r="A91" s="2" t="s">
        <v>149</v>
      </c>
      <c r="B91" t="s">
        <v>78</v>
      </c>
      <c r="C91" s="16">
        <v>0.31668463000000002</v>
      </c>
      <c r="D91" s="10">
        <v>101.1</v>
      </c>
      <c r="E91" s="11">
        <v>9</v>
      </c>
      <c r="F91" t="s">
        <v>1038</v>
      </c>
      <c r="G91" t="s">
        <v>1006</v>
      </c>
    </row>
    <row r="92" spans="1:7" ht="17.25" customHeight="1" x14ac:dyDescent="0.2">
      <c r="A92" s="2" t="s">
        <v>86</v>
      </c>
      <c r="B92" t="s">
        <v>28</v>
      </c>
      <c r="C92" s="16">
        <v>0.57228869999999998</v>
      </c>
      <c r="D92" s="10">
        <v>46.3</v>
      </c>
      <c r="E92" s="11">
        <v>4</v>
      </c>
      <c r="F92" t="s">
        <v>1006</v>
      </c>
      <c r="G92" t="s">
        <v>1130</v>
      </c>
    </row>
    <row r="93" spans="1:7" ht="17.25" hidden="1" customHeight="1" x14ac:dyDescent="0.2">
      <c r="A93" s="2" t="s">
        <v>61</v>
      </c>
      <c r="B93" t="s">
        <v>62</v>
      </c>
      <c r="C93" s="16">
        <v>0.31409046000000002</v>
      </c>
      <c r="D93" s="10">
        <v>74.3</v>
      </c>
      <c r="E93" s="11">
        <v>7</v>
      </c>
      <c r="F93" t="s">
        <v>1006</v>
      </c>
      <c r="G93" t="s">
        <v>1006</v>
      </c>
    </row>
    <row r="94" spans="1:7" ht="17.25" customHeight="1" x14ac:dyDescent="0.2">
      <c r="A94" s="2" t="s">
        <v>155</v>
      </c>
      <c r="B94" t="s">
        <v>28</v>
      </c>
      <c r="C94" s="16">
        <v>0.52986069999999996</v>
      </c>
      <c r="D94" s="10">
        <v>99.4</v>
      </c>
      <c r="E94" s="11">
        <v>9</v>
      </c>
      <c r="F94" t="s">
        <v>1006</v>
      </c>
      <c r="G94" t="s">
        <v>1029</v>
      </c>
    </row>
    <row r="95" spans="1:7" ht="17.25" customHeight="1" x14ac:dyDescent="0.2">
      <c r="A95" s="2" t="s">
        <v>102</v>
      </c>
      <c r="B95" t="s">
        <v>28</v>
      </c>
      <c r="C95" s="16">
        <v>0.52285117000000003</v>
      </c>
      <c r="D95" s="10">
        <v>165.5</v>
      </c>
      <c r="E95" s="11">
        <v>14</v>
      </c>
      <c r="F95" t="s">
        <v>1006</v>
      </c>
      <c r="G95" t="s">
        <v>1006</v>
      </c>
    </row>
    <row r="96" spans="1:7" ht="17.25" customHeight="1" x14ac:dyDescent="0.2">
      <c r="A96" s="2" t="s">
        <v>335</v>
      </c>
      <c r="B96" t="s">
        <v>28</v>
      </c>
      <c r="C96" s="16">
        <v>0.47025584999999998</v>
      </c>
      <c r="D96" s="11">
        <v>149</v>
      </c>
      <c r="E96" s="11">
        <v>13</v>
      </c>
      <c r="F96" t="s">
        <v>1006</v>
      </c>
      <c r="G96" t="s">
        <v>1006</v>
      </c>
    </row>
    <row r="97" spans="1:7" ht="17.25" customHeight="1" x14ac:dyDescent="0.2">
      <c r="A97" s="2" t="s">
        <v>336</v>
      </c>
      <c r="B97" t="s">
        <v>28</v>
      </c>
      <c r="C97" s="16">
        <v>0.44297387999999999</v>
      </c>
      <c r="D97" s="3" t="s">
        <v>1006</v>
      </c>
      <c r="E97" s="3" t="s">
        <v>1006</v>
      </c>
      <c r="F97" t="s">
        <v>1006</v>
      </c>
      <c r="G97" t="s">
        <v>1130</v>
      </c>
    </row>
    <row r="98" spans="1:7" ht="17.25" customHeight="1" x14ac:dyDescent="0.2">
      <c r="A98" s="2" t="s">
        <v>103</v>
      </c>
      <c r="B98" t="s">
        <v>28</v>
      </c>
      <c r="C98" s="16">
        <v>0.42130622000000001</v>
      </c>
      <c r="D98" s="10">
        <v>49.5</v>
      </c>
      <c r="E98" s="11">
        <v>5</v>
      </c>
      <c r="F98" t="s">
        <v>1006</v>
      </c>
      <c r="G98" t="s">
        <v>1029</v>
      </c>
    </row>
    <row r="99" spans="1:7" ht="17.25" customHeight="1" x14ac:dyDescent="0.2">
      <c r="A99" s="2" t="s">
        <v>91</v>
      </c>
      <c r="B99" t="s">
        <v>28</v>
      </c>
      <c r="C99" s="16">
        <v>0.40907442999999999</v>
      </c>
      <c r="D99" s="10">
        <v>246.3</v>
      </c>
      <c r="E99" s="11">
        <v>21</v>
      </c>
      <c r="F99" t="s">
        <v>1006</v>
      </c>
      <c r="G99" t="s">
        <v>1006</v>
      </c>
    </row>
    <row r="100" spans="1:7" ht="17.25" hidden="1" customHeight="1" x14ac:dyDescent="0.2">
      <c r="A100" s="2" t="s">
        <v>65</v>
      </c>
      <c r="B100" t="s">
        <v>22</v>
      </c>
      <c r="C100" s="16">
        <v>0.29959409999999997</v>
      </c>
      <c r="D100" s="10">
        <v>38.299999999999997</v>
      </c>
      <c r="E100" s="11">
        <v>4</v>
      </c>
      <c r="F100" t="s">
        <v>1029</v>
      </c>
      <c r="G100" t="s">
        <v>1006</v>
      </c>
    </row>
    <row r="101" spans="1:7" ht="17.25" hidden="1" customHeight="1" x14ac:dyDescent="0.2">
      <c r="A101" s="2" t="s">
        <v>128</v>
      </c>
      <c r="B101" t="s">
        <v>112</v>
      </c>
      <c r="C101" s="16">
        <v>0.29848033000000002</v>
      </c>
      <c r="D101" s="10">
        <v>42.5</v>
      </c>
      <c r="E101" s="11">
        <v>4</v>
      </c>
      <c r="F101" t="s">
        <v>1130</v>
      </c>
      <c r="G101" t="s">
        <v>1006</v>
      </c>
    </row>
    <row r="102" spans="1:7" ht="17.25" customHeight="1" x14ac:dyDescent="0.2">
      <c r="A102" s="2" t="s">
        <v>126</v>
      </c>
      <c r="B102" t="s">
        <v>28</v>
      </c>
      <c r="C102" s="16">
        <v>0.38718066000000001</v>
      </c>
      <c r="D102" s="10">
        <v>109.9</v>
      </c>
      <c r="E102" s="11">
        <v>10</v>
      </c>
      <c r="F102" t="s">
        <v>1006</v>
      </c>
      <c r="G102" t="s">
        <v>1029</v>
      </c>
    </row>
    <row r="103" spans="1:7" ht="17.25" hidden="1" customHeight="1" x14ac:dyDescent="0.2">
      <c r="A103" s="2" t="s">
        <v>44</v>
      </c>
      <c r="B103" t="s">
        <v>13</v>
      </c>
      <c r="C103" s="16">
        <v>0.29585363999999997</v>
      </c>
      <c r="D103" s="10">
        <v>71.5</v>
      </c>
      <c r="E103" s="11">
        <v>6</v>
      </c>
      <c r="F103" t="s">
        <v>1130</v>
      </c>
      <c r="G103" t="s">
        <v>1006</v>
      </c>
    </row>
    <row r="104" spans="1:7" ht="17.25" hidden="1" customHeight="1" x14ac:dyDescent="0.2">
      <c r="A104" s="2" t="s">
        <v>389</v>
      </c>
      <c r="B104" t="s">
        <v>25</v>
      </c>
      <c r="C104" s="16">
        <v>0.29177787999999999</v>
      </c>
      <c r="D104" s="10">
        <v>56.4</v>
      </c>
      <c r="E104" s="11">
        <v>5</v>
      </c>
      <c r="F104" t="s">
        <v>1029</v>
      </c>
      <c r="G104" t="s">
        <v>1006</v>
      </c>
    </row>
    <row r="105" spans="1:7" ht="17.25" customHeight="1" x14ac:dyDescent="0.2">
      <c r="A105" s="2" t="s">
        <v>165</v>
      </c>
      <c r="B105" t="s">
        <v>28</v>
      </c>
      <c r="C105" s="16">
        <v>0.37231350000000002</v>
      </c>
      <c r="D105" s="10">
        <v>200.4</v>
      </c>
      <c r="E105" s="11">
        <v>17</v>
      </c>
      <c r="F105" t="s">
        <v>1006</v>
      </c>
      <c r="G105" t="s">
        <v>1029</v>
      </c>
    </row>
    <row r="106" spans="1:7" ht="17.25" hidden="1" customHeight="1" x14ac:dyDescent="0.2">
      <c r="A106" s="17" t="s">
        <v>1133</v>
      </c>
      <c r="B106" s="18" t="s">
        <v>69</v>
      </c>
      <c r="C106" s="19">
        <v>0.85112286000000004</v>
      </c>
      <c r="D106" s="17" t="s">
        <v>1006</v>
      </c>
      <c r="E106" s="17" t="s">
        <v>1006</v>
      </c>
      <c r="F106" s="18" t="s">
        <v>1006</v>
      </c>
      <c r="G106" s="18" t="s">
        <v>1006</v>
      </c>
    </row>
    <row r="107" spans="1:7" ht="17.25" hidden="1" customHeight="1" x14ac:dyDescent="0.2">
      <c r="A107" s="2" t="s">
        <v>774</v>
      </c>
      <c r="B107" t="s">
        <v>87</v>
      </c>
      <c r="C107" s="16">
        <v>0.29131645</v>
      </c>
      <c r="D107" s="3" t="s">
        <v>1006</v>
      </c>
      <c r="E107" s="3" t="s">
        <v>1006</v>
      </c>
      <c r="F107" t="s">
        <v>1006</v>
      </c>
      <c r="G107" t="s">
        <v>1006</v>
      </c>
    </row>
    <row r="108" spans="1:7" ht="17.25" hidden="1" customHeight="1" x14ac:dyDescent="0.2">
      <c r="A108" s="2" t="s">
        <v>558</v>
      </c>
      <c r="B108" t="s">
        <v>280</v>
      </c>
      <c r="C108" s="16">
        <v>0.28288071999999997</v>
      </c>
      <c r="D108" s="10">
        <v>519.79999999999995</v>
      </c>
      <c r="E108" s="11">
        <v>44</v>
      </c>
      <c r="F108" t="s">
        <v>1006</v>
      </c>
      <c r="G108" t="s">
        <v>1006</v>
      </c>
    </row>
    <row r="109" spans="1:7" ht="17.25" customHeight="1" x14ac:dyDescent="0.2">
      <c r="A109" s="2" t="s">
        <v>80</v>
      </c>
      <c r="B109" t="s">
        <v>28</v>
      </c>
      <c r="C109" s="16">
        <v>0.34113149999999998</v>
      </c>
      <c r="D109" s="10">
        <v>38.9</v>
      </c>
      <c r="E109" s="11">
        <v>4</v>
      </c>
      <c r="F109" t="s">
        <v>1006</v>
      </c>
      <c r="G109" t="s">
        <v>1038</v>
      </c>
    </row>
    <row r="110" spans="1:7" ht="17.25" hidden="1" customHeight="1" x14ac:dyDescent="0.2">
      <c r="A110" s="2" t="s">
        <v>37</v>
      </c>
      <c r="B110" t="s">
        <v>19</v>
      </c>
      <c r="C110" s="16">
        <v>0.28262769999999998</v>
      </c>
      <c r="D110" s="10">
        <v>15.2</v>
      </c>
      <c r="E110" s="11">
        <v>2</v>
      </c>
      <c r="F110" t="s">
        <v>1029</v>
      </c>
      <c r="G110" t="s">
        <v>1006</v>
      </c>
    </row>
    <row r="111" spans="1:7" ht="17.25" customHeight="1" x14ac:dyDescent="0.2">
      <c r="A111" s="2" t="s">
        <v>218</v>
      </c>
      <c r="B111" t="s">
        <v>28</v>
      </c>
      <c r="C111" s="16">
        <v>0.33580303</v>
      </c>
      <c r="D111" s="11">
        <v>98</v>
      </c>
      <c r="E111" s="11">
        <v>9</v>
      </c>
      <c r="F111" t="s">
        <v>1006</v>
      </c>
      <c r="G111" t="s">
        <v>1029</v>
      </c>
    </row>
    <row r="112" spans="1:7" ht="17.25" hidden="1" customHeight="1" x14ac:dyDescent="0.2">
      <c r="A112" s="2" t="s">
        <v>409</v>
      </c>
      <c r="B112" t="s">
        <v>16</v>
      </c>
      <c r="C112" s="16">
        <v>0.28084906999999998</v>
      </c>
      <c r="D112" s="10">
        <v>556.70000000000005</v>
      </c>
      <c r="E112" s="11">
        <v>47</v>
      </c>
      <c r="F112" t="s">
        <v>1029</v>
      </c>
      <c r="G112" t="s">
        <v>1006</v>
      </c>
    </row>
    <row r="113" spans="1:7" ht="17.25" customHeight="1" x14ac:dyDescent="0.2">
      <c r="A113" s="2" t="s">
        <v>85</v>
      </c>
      <c r="B113" t="s">
        <v>28</v>
      </c>
      <c r="C113" s="16">
        <v>0.30962187000000002</v>
      </c>
      <c r="D113" s="10">
        <v>61.3</v>
      </c>
      <c r="E113" s="11">
        <v>6</v>
      </c>
      <c r="F113" t="s">
        <v>1006</v>
      </c>
      <c r="G113" t="s">
        <v>1029</v>
      </c>
    </row>
    <row r="114" spans="1:7" ht="17.25" hidden="1" customHeight="1" x14ac:dyDescent="0.2">
      <c r="A114" s="2" t="s">
        <v>47</v>
      </c>
      <c r="B114" t="s">
        <v>25</v>
      </c>
      <c r="C114" s="16">
        <v>0.27815846</v>
      </c>
      <c r="D114" s="10">
        <v>21.1</v>
      </c>
      <c r="E114" s="11">
        <v>2</v>
      </c>
      <c r="F114" t="s">
        <v>1029</v>
      </c>
      <c r="G114" t="s">
        <v>1006</v>
      </c>
    </row>
    <row r="115" spans="1:7" ht="17.25" hidden="1" customHeight="1" x14ac:dyDescent="0.2">
      <c r="A115" s="2" t="s">
        <v>673</v>
      </c>
      <c r="B115" t="s">
        <v>74</v>
      </c>
      <c r="C115" s="16">
        <v>0.27546074999999998</v>
      </c>
      <c r="D115" s="3" t="s">
        <v>1006</v>
      </c>
      <c r="E115" s="3" t="s">
        <v>1006</v>
      </c>
      <c r="F115" t="s">
        <v>1006</v>
      </c>
      <c r="G115" t="s">
        <v>1006</v>
      </c>
    </row>
    <row r="116" spans="1:7" ht="17.25" customHeight="1" x14ac:dyDescent="0.2">
      <c r="A116" s="2" t="s">
        <v>304</v>
      </c>
      <c r="B116" t="s">
        <v>28</v>
      </c>
      <c r="C116" s="16">
        <v>0.30158094000000002</v>
      </c>
      <c r="D116" s="11">
        <v>226</v>
      </c>
      <c r="E116" s="11">
        <v>19</v>
      </c>
      <c r="F116" t="s">
        <v>1006</v>
      </c>
      <c r="G116" t="s">
        <v>1006</v>
      </c>
    </row>
    <row r="117" spans="1:7" ht="17.25" customHeight="1" x14ac:dyDescent="0.2">
      <c r="A117" s="2" t="s">
        <v>31</v>
      </c>
      <c r="B117" t="s">
        <v>28</v>
      </c>
      <c r="C117" s="16">
        <v>0.28649574999999999</v>
      </c>
      <c r="D117" s="10">
        <v>21.1</v>
      </c>
      <c r="E117" s="11">
        <v>2</v>
      </c>
      <c r="F117" t="s">
        <v>1006</v>
      </c>
      <c r="G117" t="s">
        <v>1130</v>
      </c>
    </row>
    <row r="118" spans="1:7" ht="17.25" customHeight="1" x14ac:dyDescent="0.2">
      <c r="A118" s="2" t="s">
        <v>365</v>
      </c>
      <c r="B118" t="s">
        <v>28</v>
      </c>
      <c r="C118" s="16">
        <v>0.28205168000000003</v>
      </c>
      <c r="D118" s="3" t="s">
        <v>1006</v>
      </c>
      <c r="E118" s="3" t="s">
        <v>1006</v>
      </c>
      <c r="F118" t="s">
        <v>1006</v>
      </c>
      <c r="G118" t="s">
        <v>1006</v>
      </c>
    </row>
    <row r="119" spans="1:7" ht="17.25" hidden="1" customHeight="1" x14ac:dyDescent="0.2">
      <c r="A119" s="2" t="s">
        <v>421</v>
      </c>
      <c r="B119" t="s">
        <v>69</v>
      </c>
      <c r="C119" s="16">
        <v>0.84517883999999999</v>
      </c>
      <c r="D119" s="3" t="s">
        <v>1006</v>
      </c>
      <c r="E119" s="3" t="s">
        <v>1006</v>
      </c>
      <c r="F119" t="s">
        <v>1006</v>
      </c>
      <c r="G119" t="s">
        <v>1006</v>
      </c>
    </row>
    <row r="120" spans="1:7" ht="17.25" hidden="1" customHeight="1" x14ac:dyDescent="0.2">
      <c r="A120" s="2" t="s">
        <v>72</v>
      </c>
      <c r="B120" t="s">
        <v>16</v>
      </c>
      <c r="C120" s="16">
        <v>0.25792983000000003</v>
      </c>
      <c r="D120" s="10">
        <v>102.4</v>
      </c>
      <c r="E120" s="11">
        <v>9</v>
      </c>
      <c r="F120" t="s">
        <v>1038</v>
      </c>
      <c r="G120" t="s">
        <v>1006</v>
      </c>
    </row>
    <row r="121" spans="1:7" ht="17.25" hidden="1" customHeight="1" x14ac:dyDescent="0.2">
      <c r="A121" s="2" t="s">
        <v>1134</v>
      </c>
      <c r="B121" t="s">
        <v>25</v>
      </c>
      <c r="C121" s="16">
        <v>0.25737127999999998</v>
      </c>
      <c r="D121" s="3" t="s">
        <v>1006</v>
      </c>
      <c r="E121" s="3" t="s">
        <v>1006</v>
      </c>
      <c r="F121" t="s">
        <v>1006</v>
      </c>
      <c r="G121" t="s">
        <v>1006</v>
      </c>
    </row>
    <row r="122" spans="1:7" ht="17.25" hidden="1" customHeight="1" x14ac:dyDescent="0.2">
      <c r="A122" s="2" t="s">
        <v>153</v>
      </c>
      <c r="B122" t="s">
        <v>16</v>
      </c>
      <c r="C122" s="16">
        <v>0.25652166999999998</v>
      </c>
      <c r="D122" s="10">
        <v>44.2</v>
      </c>
      <c r="E122" s="11">
        <v>4</v>
      </c>
      <c r="F122" t="s">
        <v>1029</v>
      </c>
      <c r="G122" t="s">
        <v>1006</v>
      </c>
    </row>
    <row r="123" spans="1:7" ht="17.25" hidden="1" customHeight="1" x14ac:dyDescent="0.2">
      <c r="A123" s="2" t="s">
        <v>58</v>
      </c>
      <c r="B123" t="s">
        <v>13</v>
      </c>
      <c r="C123" s="16">
        <v>0.2555714</v>
      </c>
      <c r="D123" s="10">
        <v>77.7</v>
      </c>
      <c r="E123" s="11">
        <v>7</v>
      </c>
      <c r="F123" t="s">
        <v>1130</v>
      </c>
      <c r="G123" t="s">
        <v>1006</v>
      </c>
    </row>
    <row r="124" spans="1:7" ht="17.25" hidden="1" customHeight="1" x14ac:dyDescent="0.2">
      <c r="A124" s="2" t="s">
        <v>38</v>
      </c>
      <c r="B124" t="s">
        <v>40</v>
      </c>
      <c r="C124" s="16">
        <v>0.23598749999999999</v>
      </c>
      <c r="D124" s="10">
        <v>24.1</v>
      </c>
      <c r="E124" s="11">
        <v>3</v>
      </c>
      <c r="F124" t="s">
        <v>1029</v>
      </c>
      <c r="G124" t="s">
        <v>1006</v>
      </c>
    </row>
    <row r="125" spans="1:7" ht="17.25" customHeight="1" x14ac:dyDescent="0.2">
      <c r="A125" s="2" t="s">
        <v>242</v>
      </c>
      <c r="B125" t="s">
        <v>28</v>
      </c>
      <c r="C125" s="16">
        <v>0.27405341999999999</v>
      </c>
      <c r="D125" s="3" t="s">
        <v>1006</v>
      </c>
      <c r="E125" s="3" t="s">
        <v>1006</v>
      </c>
      <c r="F125" t="s">
        <v>1006</v>
      </c>
      <c r="G125" t="s">
        <v>1006</v>
      </c>
    </row>
    <row r="126" spans="1:7" ht="17.25" hidden="1" customHeight="1" x14ac:dyDescent="0.2">
      <c r="A126" s="2" t="s">
        <v>261</v>
      </c>
      <c r="B126" t="s">
        <v>16</v>
      </c>
      <c r="C126" s="16">
        <v>0.22138526</v>
      </c>
      <c r="D126" s="10">
        <v>120.3</v>
      </c>
      <c r="E126" s="11">
        <v>11</v>
      </c>
      <c r="F126" t="s">
        <v>1130</v>
      </c>
      <c r="G126" t="s">
        <v>1006</v>
      </c>
    </row>
    <row r="127" spans="1:7" ht="17.25" hidden="1" customHeight="1" x14ac:dyDescent="0.2">
      <c r="A127" s="2" t="s">
        <v>449</v>
      </c>
      <c r="B127" t="s">
        <v>25</v>
      </c>
      <c r="C127" s="16">
        <v>0.21989455999999999</v>
      </c>
      <c r="D127" s="10">
        <v>259.5</v>
      </c>
      <c r="E127" s="11">
        <v>22</v>
      </c>
      <c r="F127" t="s">
        <v>1029</v>
      </c>
      <c r="G127" t="s">
        <v>1006</v>
      </c>
    </row>
    <row r="128" spans="1:7" ht="17.25" hidden="1" customHeight="1" x14ac:dyDescent="0.2">
      <c r="A128" s="2" t="s">
        <v>619</v>
      </c>
      <c r="B128" t="s">
        <v>25</v>
      </c>
      <c r="C128" s="16">
        <v>0.21935777000000001</v>
      </c>
      <c r="D128" s="10">
        <v>604.29999999999995</v>
      </c>
      <c r="E128" s="11">
        <v>51</v>
      </c>
      <c r="F128" t="s">
        <v>1006</v>
      </c>
      <c r="G128" t="s">
        <v>1006</v>
      </c>
    </row>
    <row r="129" spans="1:7" ht="17.25" hidden="1" customHeight="1" x14ac:dyDescent="0.2">
      <c r="A129" s="2" t="s">
        <v>88</v>
      </c>
      <c r="B129" t="s">
        <v>25</v>
      </c>
      <c r="C129" s="16">
        <v>0.21612680000000001</v>
      </c>
      <c r="D129" s="10">
        <v>76.599999999999994</v>
      </c>
      <c r="E129" s="11">
        <v>7</v>
      </c>
      <c r="F129" t="s">
        <v>1006</v>
      </c>
      <c r="G129" t="s">
        <v>1006</v>
      </c>
    </row>
    <row r="130" spans="1:7" ht="17.25" hidden="1" customHeight="1" x14ac:dyDescent="0.2">
      <c r="A130" s="2" t="s">
        <v>881</v>
      </c>
      <c r="B130" t="s">
        <v>84</v>
      </c>
      <c r="C130" s="16">
        <v>0.20638184000000001</v>
      </c>
      <c r="D130" s="3" t="s">
        <v>1006</v>
      </c>
      <c r="E130" s="3" t="s">
        <v>1006</v>
      </c>
      <c r="F130" t="s">
        <v>1006</v>
      </c>
      <c r="G130" t="s">
        <v>1006</v>
      </c>
    </row>
    <row r="131" spans="1:7" ht="17.25" customHeight="1" x14ac:dyDescent="0.2">
      <c r="A131" s="2" t="s">
        <v>173</v>
      </c>
      <c r="B131" t="s">
        <v>28</v>
      </c>
      <c r="C131" s="16">
        <v>0.2700745</v>
      </c>
      <c r="D131" s="10">
        <v>92.2</v>
      </c>
      <c r="E131" s="11">
        <v>8</v>
      </c>
      <c r="F131" t="s">
        <v>1006</v>
      </c>
      <c r="G131" t="s">
        <v>1006</v>
      </c>
    </row>
    <row r="132" spans="1:7" ht="17.25" hidden="1" customHeight="1" x14ac:dyDescent="0.2">
      <c r="A132" s="2" t="s">
        <v>763</v>
      </c>
      <c r="B132" t="s">
        <v>82</v>
      </c>
      <c r="C132" s="16">
        <v>0.20087272</v>
      </c>
      <c r="D132" s="3" t="s">
        <v>1006</v>
      </c>
      <c r="E132" s="3" t="s">
        <v>1006</v>
      </c>
      <c r="F132" t="s">
        <v>1006</v>
      </c>
      <c r="G132" t="s">
        <v>1006</v>
      </c>
    </row>
    <row r="133" spans="1:7" ht="17.25" customHeight="1" x14ac:dyDescent="0.2">
      <c r="A133" s="2" t="s">
        <v>900</v>
      </c>
      <c r="B133" t="s">
        <v>28</v>
      </c>
      <c r="C133" s="16">
        <v>0.25958872</v>
      </c>
      <c r="D133" s="3" t="s">
        <v>1006</v>
      </c>
      <c r="E133" s="3" t="s">
        <v>1006</v>
      </c>
      <c r="F133" t="s">
        <v>1006</v>
      </c>
      <c r="G133" t="s">
        <v>1006</v>
      </c>
    </row>
    <row r="134" spans="1:7" ht="17.25" hidden="1" customHeight="1" x14ac:dyDescent="0.2">
      <c r="A134" s="2" t="s">
        <v>81</v>
      </c>
      <c r="B134" t="s">
        <v>82</v>
      </c>
      <c r="C134" s="16">
        <v>0.1963839</v>
      </c>
      <c r="D134" s="10">
        <v>22.6</v>
      </c>
      <c r="E134" s="11">
        <v>2</v>
      </c>
      <c r="F134" t="s">
        <v>1029</v>
      </c>
      <c r="G134" t="s">
        <v>1006</v>
      </c>
    </row>
    <row r="135" spans="1:7" ht="17.25" hidden="1" customHeight="1" x14ac:dyDescent="0.2">
      <c r="A135" s="2" t="s">
        <v>391</v>
      </c>
      <c r="B135" t="s">
        <v>25</v>
      </c>
      <c r="C135" s="16">
        <v>0.18274090000000001</v>
      </c>
      <c r="D135" s="10">
        <v>84.7</v>
      </c>
      <c r="E135" s="11">
        <v>8</v>
      </c>
      <c r="F135" t="s">
        <v>1006</v>
      </c>
      <c r="G135" t="s">
        <v>1006</v>
      </c>
    </row>
    <row r="136" spans="1:7" ht="17.25" customHeight="1" x14ac:dyDescent="0.2">
      <c r="A136" s="2" t="s">
        <v>63</v>
      </c>
      <c r="B136" t="s">
        <v>28</v>
      </c>
      <c r="C136" s="16">
        <v>0.25265900000000002</v>
      </c>
      <c r="D136" s="10">
        <v>77.3</v>
      </c>
      <c r="E136" s="11">
        <v>7</v>
      </c>
      <c r="F136" t="s">
        <v>1006</v>
      </c>
      <c r="G136" t="s">
        <v>1006</v>
      </c>
    </row>
    <row r="137" spans="1:7" ht="17.25" hidden="1" customHeight="1" x14ac:dyDescent="0.2">
      <c r="A137" s="2" t="s">
        <v>45</v>
      </c>
      <c r="B137" t="s">
        <v>13</v>
      </c>
      <c r="C137" s="16">
        <v>0.18024567999999999</v>
      </c>
      <c r="D137" s="10">
        <v>52.1</v>
      </c>
      <c r="E137" s="11">
        <v>5</v>
      </c>
      <c r="F137" t="s">
        <v>1130</v>
      </c>
      <c r="G137" t="s">
        <v>1006</v>
      </c>
    </row>
    <row r="138" spans="1:7" ht="17.25" customHeight="1" x14ac:dyDescent="0.2">
      <c r="A138" s="2" t="s">
        <v>189</v>
      </c>
      <c r="B138" t="s">
        <v>28</v>
      </c>
      <c r="C138" s="16">
        <v>0.22768252</v>
      </c>
      <c r="D138" s="10">
        <v>95.3</v>
      </c>
      <c r="E138" s="11">
        <v>8</v>
      </c>
      <c r="F138" t="s">
        <v>1006</v>
      </c>
      <c r="G138" t="s">
        <v>1029</v>
      </c>
    </row>
    <row r="139" spans="1:7" ht="17.25" hidden="1" customHeight="1" x14ac:dyDescent="0.2">
      <c r="A139" s="2" t="s">
        <v>113</v>
      </c>
      <c r="B139" t="s">
        <v>19</v>
      </c>
      <c r="C139" s="16">
        <v>0.17914973000000001</v>
      </c>
      <c r="D139" s="10">
        <v>127.6</v>
      </c>
      <c r="E139" s="11">
        <v>11</v>
      </c>
      <c r="F139" t="s">
        <v>1006</v>
      </c>
      <c r="G139" t="s">
        <v>1006</v>
      </c>
    </row>
    <row r="140" spans="1:7" ht="17.25" hidden="1" customHeight="1" x14ac:dyDescent="0.2">
      <c r="A140" s="2" t="s">
        <v>289</v>
      </c>
      <c r="B140" t="s">
        <v>25</v>
      </c>
      <c r="C140" s="16">
        <v>0.15884777999999999</v>
      </c>
      <c r="D140" s="10">
        <v>343.6</v>
      </c>
      <c r="E140" s="11">
        <v>29</v>
      </c>
      <c r="F140" t="s">
        <v>1006</v>
      </c>
      <c r="G140" t="s">
        <v>1006</v>
      </c>
    </row>
    <row r="141" spans="1:7" ht="17.25" hidden="1" customHeight="1" x14ac:dyDescent="0.2">
      <c r="A141" s="2" t="s">
        <v>303</v>
      </c>
      <c r="B141" t="s">
        <v>16</v>
      </c>
      <c r="C141" s="16">
        <v>0.15871365000000001</v>
      </c>
      <c r="D141" s="10">
        <v>278.3</v>
      </c>
      <c r="E141" s="11">
        <v>24</v>
      </c>
      <c r="F141" t="s">
        <v>1029</v>
      </c>
      <c r="G141" t="s">
        <v>1006</v>
      </c>
    </row>
    <row r="142" spans="1:7" ht="17.25" hidden="1" customHeight="1" x14ac:dyDescent="0.2">
      <c r="A142" s="2" t="s">
        <v>843</v>
      </c>
      <c r="B142" t="s">
        <v>25</v>
      </c>
      <c r="C142" s="16">
        <v>0.15095906000000001</v>
      </c>
      <c r="D142" s="3" t="s">
        <v>1006</v>
      </c>
      <c r="E142" s="3" t="s">
        <v>1006</v>
      </c>
      <c r="F142" t="s">
        <v>1006</v>
      </c>
      <c r="G142" t="s">
        <v>1006</v>
      </c>
    </row>
    <row r="143" spans="1:7" ht="17.25" customHeight="1" x14ac:dyDescent="0.2">
      <c r="A143" s="2" t="s">
        <v>231</v>
      </c>
      <c r="B143" t="s">
        <v>28</v>
      </c>
      <c r="C143" s="16">
        <v>0.22512557999999999</v>
      </c>
      <c r="D143" s="10">
        <v>166.3</v>
      </c>
      <c r="E143" s="11">
        <v>14</v>
      </c>
      <c r="F143" t="s">
        <v>1006</v>
      </c>
      <c r="G143" t="s">
        <v>1006</v>
      </c>
    </row>
    <row r="144" spans="1:7" ht="17.25" hidden="1" customHeight="1" x14ac:dyDescent="0.2">
      <c r="A144" s="2" t="s">
        <v>873</v>
      </c>
      <c r="B144" t="s">
        <v>87</v>
      </c>
      <c r="C144" s="16">
        <v>0.14858209</v>
      </c>
      <c r="D144" s="3" t="s">
        <v>1006</v>
      </c>
      <c r="E144" s="3" t="s">
        <v>1006</v>
      </c>
      <c r="F144" t="s">
        <v>1006</v>
      </c>
      <c r="G144" t="s">
        <v>1006</v>
      </c>
    </row>
    <row r="145" spans="1:7" ht="17.25" hidden="1" customHeight="1" x14ac:dyDescent="0.2">
      <c r="A145" s="2" t="s">
        <v>110</v>
      </c>
      <c r="B145" t="s">
        <v>82</v>
      </c>
      <c r="C145" s="16">
        <v>0.14758626999999999</v>
      </c>
      <c r="D145" s="10">
        <v>52.4</v>
      </c>
      <c r="E145" s="11">
        <v>5</v>
      </c>
      <c r="F145" t="s">
        <v>1130</v>
      </c>
      <c r="G145" t="s">
        <v>1006</v>
      </c>
    </row>
    <row r="146" spans="1:7" ht="17.25" hidden="1" customHeight="1" x14ac:dyDescent="0.2">
      <c r="A146" s="2" t="s">
        <v>220</v>
      </c>
      <c r="B146" t="s">
        <v>354</v>
      </c>
      <c r="C146" s="16">
        <v>0.14214477</v>
      </c>
      <c r="D146" s="10">
        <v>178.6</v>
      </c>
      <c r="E146" s="11">
        <v>15</v>
      </c>
      <c r="F146" t="s">
        <v>1006</v>
      </c>
      <c r="G146" t="s">
        <v>1006</v>
      </c>
    </row>
    <row r="147" spans="1:7" ht="17.25" hidden="1" customHeight="1" x14ac:dyDescent="0.2">
      <c r="A147" s="2" t="s">
        <v>183</v>
      </c>
      <c r="B147" t="s">
        <v>25</v>
      </c>
      <c r="C147" s="16">
        <v>0.14082049999999999</v>
      </c>
      <c r="D147" s="10">
        <v>178.9</v>
      </c>
      <c r="E147" s="11">
        <v>15</v>
      </c>
      <c r="F147" t="s">
        <v>1006</v>
      </c>
      <c r="G147" t="s">
        <v>1006</v>
      </c>
    </row>
    <row r="148" spans="1:7" ht="17.25" hidden="1" customHeight="1" x14ac:dyDescent="0.2">
      <c r="A148" s="2" t="s">
        <v>20</v>
      </c>
      <c r="B148" t="s">
        <v>22</v>
      </c>
      <c r="C148" s="16">
        <v>0.13504604000000001</v>
      </c>
      <c r="D148" s="11">
        <v>5</v>
      </c>
      <c r="E148" s="11">
        <v>1</v>
      </c>
      <c r="F148" t="s">
        <v>1038</v>
      </c>
      <c r="G148" t="s">
        <v>1006</v>
      </c>
    </row>
    <row r="149" spans="1:7" ht="17.25" hidden="1" customHeight="1" x14ac:dyDescent="0.2">
      <c r="A149" s="2" t="s">
        <v>33</v>
      </c>
      <c r="B149" t="s">
        <v>19</v>
      </c>
      <c r="C149" s="16">
        <v>0.13225274000000001</v>
      </c>
      <c r="D149" s="10">
        <v>4.5</v>
      </c>
      <c r="E149" s="11">
        <v>1</v>
      </c>
      <c r="F149" t="s">
        <v>1029</v>
      </c>
      <c r="G149" t="s">
        <v>1006</v>
      </c>
    </row>
    <row r="150" spans="1:7" ht="17.25" customHeight="1" x14ac:dyDescent="0.2">
      <c r="A150" s="2" t="s">
        <v>160</v>
      </c>
      <c r="B150" t="s">
        <v>28</v>
      </c>
      <c r="C150" s="16">
        <v>0.22314149</v>
      </c>
      <c r="D150" s="10">
        <v>129.19999999999999</v>
      </c>
      <c r="E150" s="11">
        <v>11</v>
      </c>
      <c r="F150" t="s">
        <v>1006</v>
      </c>
      <c r="G150" t="s">
        <v>1029</v>
      </c>
    </row>
    <row r="151" spans="1:7" ht="17.25" hidden="1" customHeight="1" x14ac:dyDescent="0.2">
      <c r="A151" s="2" t="s">
        <v>300</v>
      </c>
      <c r="B151" t="s">
        <v>25</v>
      </c>
      <c r="C151" s="16">
        <v>0.13205668000000001</v>
      </c>
      <c r="D151" s="10">
        <v>282.8</v>
      </c>
      <c r="E151" s="11">
        <v>24</v>
      </c>
      <c r="F151" t="s">
        <v>1006</v>
      </c>
      <c r="G151" t="s">
        <v>1006</v>
      </c>
    </row>
    <row r="152" spans="1:7" ht="17.25" hidden="1" customHeight="1" x14ac:dyDescent="0.2">
      <c r="A152" s="2" t="s">
        <v>306</v>
      </c>
      <c r="B152" t="s">
        <v>16</v>
      </c>
      <c r="C152" s="16">
        <v>0.13148699999999999</v>
      </c>
      <c r="D152" s="10">
        <v>332.7</v>
      </c>
      <c r="E152" s="11">
        <v>28</v>
      </c>
      <c r="F152" t="s">
        <v>1029</v>
      </c>
      <c r="G152" t="s">
        <v>1006</v>
      </c>
    </row>
    <row r="153" spans="1:7" ht="17.25" hidden="1" customHeight="1" x14ac:dyDescent="0.2">
      <c r="A153" s="2" t="s">
        <v>67</v>
      </c>
      <c r="B153" t="s">
        <v>25</v>
      </c>
      <c r="C153" s="16">
        <v>0.12744358</v>
      </c>
      <c r="D153" s="10">
        <v>9.1999999999999993</v>
      </c>
      <c r="E153" s="11">
        <v>1</v>
      </c>
      <c r="F153" t="s">
        <v>1038</v>
      </c>
      <c r="G153" t="s">
        <v>1006</v>
      </c>
    </row>
    <row r="154" spans="1:7" ht="17.25" hidden="1" customHeight="1" x14ac:dyDescent="0.2">
      <c r="A154" s="2" t="s">
        <v>194</v>
      </c>
      <c r="B154" t="s">
        <v>25</v>
      </c>
      <c r="C154" s="16">
        <v>0.12542320000000001</v>
      </c>
      <c r="D154" s="10">
        <v>208.3</v>
      </c>
      <c r="E154" s="11">
        <v>18</v>
      </c>
      <c r="F154" t="s">
        <v>1130</v>
      </c>
      <c r="G154" t="s">
        <v>1006</v>
      </c>
    </row>
    <row r="155" spans="1:7" ht="17.25" hidden="1" customHeight="1" x14ac:dyDescent="0.2">
      <c r="A155" s="2" t="s">
        <v>535</v>
      </c>
      <c r="B155" t="s">
        <v>25</v>
      </c>
      <c r="C155" s="16">
        <v>0.12348534</v>
      </c>
      <c r="D155" s="10">
        <v>186.6</v>
      </c>
      <c r="E155" s="11">
        <v>16</v>
      </c>
      <c r="F155" t="s">
        <v>1029</v>
      </c>
      <c r="G155" t="s">
        <v>1006</v>
      </c>
    </row>
    <row r="156" spans="1:7" ht="17.25" hidden="1" customHeight="1" x14ac:dyDescent="0.2">
      <c r="A156" s="2" t="s">
        <v>243</v>
      </c>
      <c r="B156" t="s">
        <v>135</v>
      </c>
      <c r="C156" s="16">
        <v>0.12192676</v>
      </c>
      <c r="D156" s="10">
        <v>300.89999999999998</v>
      </c>
      <c r="E156" s="11">
        <v>26</v>
      </c>
      <c r="F156" t="s">
        <v>1029</v>
      </c>
      <c r="G156" t="s">
        <v>1006</v>
      </c>
    </row>
    <row r="157" spans="1:7" ht="17.25" hidden="1" customHeight="1" x14ac:dyDescent="0.2">
      <c r="A157" s="2" t="s">
        <v>187</v>
      </c>
      <c r="B157" t="s">
        <v>19</v>
      </c>
      <c r="C157" s="16">
        <v>0.11933522000000001</v>
      </c>
      <c r="D157" s="10">
        <v>147.19999999999999</v>
      </c>
      <c r="E157" s="11">
        <v>13</v>
      </c>
      <c r="F157" t="s">
        <v>1006</v>
      </c>
      <c r="G157" t="s">
        <v>1006</v>
      </c>
    </row>
    <row r="158" spans="1:7" ht="17.25" hidden="1" customHeight="1" x14ac:dyDescent="0.2">
      <c r="A158" s="2" t="s">
        <v>274</v>
      </c>
      <c r="B158" t="s">
        <v>43</v>
      </c>
      <c r="C158" s="16">
        <v>0.118018426</v>
      </c>
      <c r="D158" s="10">
        <v>202.8</v>
      </c>
      <c r="E158" s="11">
        <v>17</v>
      </c>
      <c r="F158" t="s">
        <v>1038</v>
      </c>
      <c r="G158" t="s">
        <v>1006</v>
      </c>
    </row>
    <row r="159" spans="1:7" ht="17.25" hidden="1" customHeight="1" x14ac:dyDescent="0.2">
      <c r="A159" s="2" t="s">
        <v>175</v>
      </c>
      <c r="B159" t="s">
        <v>69</v>
      </c>
      <c r="C159" s="16">
        <v>0.83589239999999998</v>
      </c>
      <c r="D159" s="10">
        <v>121.5</v>
      </c>
      <c r="E159" s="11">
        <v>11</v>
      </c>
      <c r="F159" t="s">
        <v>1006</v>
      </c>
      <c r="G159" t="s">
        <v>1006</v>
      </c>
    </row>
    <row r="160" spans="1:7" ht="17.25" hidden="1" customHeight="1" x14ac:dyDescent="0.2">
      <c r="A160" s="2" t="s">
        <v>903</v>
      </c>
      <c r="B160" t="s">
        <v>25</v>
      </c>
      <c r="C160" s="16">
        <v>0.117940105</v>
      </c>
      <c r="D160" s="3" t="s">
        <v>1006</v>
      </c>
      <c r="E160" s="3" t="s">
        <v>1006</v>
      </c>
      <c r="F160" t="s">
        <v>1006</v>
      </c>
      <c r="G160" t="s">
        <v>1006</v>
      </c>
    </row>
    <row r="161" spans="1:7" ht="17.25" hidden="1" customHeight="1" x14ac:dyDescent="0.2">
      <c r="A161" s="2" t="s">
        <v>406</v>
      </c>
      <c r="B161" t="s">
        <v>69</v>
      </c>
      <c r="C161" s="16">
        <v>0.83449470000000003</v>
      </c>
      <c r="D161" s="3" t="s">
        <v>1006</v>
      </c>
      <c r="E161" s="3" t="s">
        <v>1006</v>
      </c>
      <c r="F161" t="s">
        <v>1006</v>
      </c>
      <c r="G161" t="s">
        <v>1006</v>
      </c>
    </row>
    <row r="162" spans="1:7" ht="17.25" hidden="1" customHeight="1" x14ac:dyDescent="0.2">
      <c r="A162" s="2" t="s">
        <v>108</v>
      </c>
      <c r="B162" t="s">
        <v>69</v>
      </c>
      <c r="C162" s="16">
        <v>0.82513433999999997</v>
      </c>
      <c r="D162" s="10">
        <v>177.3</v>
      </c>
      <c r="E162" s="11">
        <v>15</v>
      </c>
      <c r="F162" t="s">
        <v>1006</v>
      </c>
      <c r="G162" t="s">
        <v>1006</v>
      </c>
    </row>
    <row r="163" spans="1:7" ht="17.25" hidden="1" customHeight="1" x14ac:dyDescent="0.2">
      <c r="A163" s="2" t="s">
        <v>100</v>
      </c>
      <c r="B163" t="s">
        <v>238</v>
      </c>
      <c r="C163" s="16">
        <v>0.82147139999999996</v>
      </c>
      <c r="D163" s="11">
        <v>229</v>
      </c>
      <c r="E163" s="11">
        <v>20</v>
      </c>
      <c r="F163" t="s">
        <v>1006</v>
      </c>
      <c r="G163" t="s">
        <v>1006</v>
      </c>
    </row>
    <row r="164" spans="1:7" ht="17.25" hidden="1" customHeight="1" x14ac:dyDescent="0.2">
      <c r="A164" s="2" t="s">
        <v>1018</v>
      </c>
      <c r="B164" t="s">
        <v>69</v>
      </c>
      <c r="C164" s="16">
        <v>0.81833714000000002</v>
      </c>
      <c r="D164" s="3" t="s">
        <v>1006</v>
      </c>
      <c r="E164" s="3" t="s">
        <v>1006</v>
      </c>
      <c r="F164" t="s">
        <v>1006</v>
      </c>
      <c r="G164" t="s">
        <v>1006</v>
      </c>
    </row>
    <row r="165" spans="1:7" ht="17.25" hidden="1" customHeight="1" x14ac:dyDescent="0.2">
      <c r="A165" s="2" t="s">
        <v>121</v>
      </c>
      <c r="B165" t="s">
        <v>69</v>
      </c>
      <c r="C165" s="16">
        <v>0.81632006000000001</v>
      </c>
      <c r="D165" s="10">
        <v>50.9</v>
      </c>
      <c r="E165" s="11">
        <v>5</v>
      </c>
      <c r="F165" t="s">
        <v>1006</v>
      </c>
      <c r="G165" t="s">
        <v>1006</v>
      </c>
    </row>
    <row r="166" spans="1:7" ht="17.25" hidden="1" customHeight="1" x14ac:dyDescent="0.2">
      <c r="A166" s="2" t="s">
        <v>1135</v>
      </c>
      <c r="B166" t="s">
        <v>69</v>
      </c>
      <c r="C166" s="16">
        <v>0.80380063999999996</v>
      </c>
      <c r="D166" s="10">
        <v>56.9</v>
      </c>
      <c r="E166" s="11">
        <v>5</v>
      </c>
      <c r="F166" t="s">
        <v>1006</v>
      </c>
      <c r="G166" t="s">
        <v>1006</v>
      </c>
    </row>
    <row r="167" spans="1:7" ht="17.25" hidden="1" customHeight="1" x14ac:dyDescent="0.2">
      <c r="A167" s="2" t="s">
        <v>565</v>
      </c>
      <c r="B167" t="s">
        <v>69</v>
      </c>
      <c r="C167" s="16">
        <v>0.80147975999999999</v>
      </c>
      <c r="D167" s="3" t="s">
        <v>1006</v>
      </c>
      <c r="E167" s="3" t="s">
        <v>1006</v>
      </c>
      <c r="F167" t="s">
        <v>1006</v>
      </c>
      <c r="G167" t="s">
        <v>1006</v>
      </c>
    </row>
    <row r="168" spans="1:7" ht="17.25" hidden="1" customHeight="1" x14ac:dyDescent="0.2">
      <c r="A168" s="2" t="s">
        <v>523</v>
      </c>
      <c r="B168" t="s">
        <v>69</v>
      </c>
      <c r="C168" s="16">
        <v>0.79597790000000002</v>
      </c>
      <c r="D168" s="3" t="s">
        <v>1006</v>
      </c>
      <c r="E168" s="3" t="s">
        <v>1006</v>
      </c>
      <c r="F168" t="s">
        <v>1006</v>
      </c>
      <c r="G168" t="s">
        <v>1006</v>
      </c>
    </row>
    <row r="169" spans="1:7" ht="17.25" hidden="1" customHeight="1" x14ac:dyDescent="0.2">
      <c r="A169" s="2" t="s">
        <v>93</v>
      </c>
      <c r="B169" t="s">
        <v>19</v>
      </c>
      <c r="C169" s="16">
        <v>0.105907485</v>
      </c>
      <c r="D169" s="10">
        <v>25.7</v>
      </c>
      <c r="E169" s="11">
        <v>3</v>
      </c>
      <c r="F169" t="s">
        <v>1029</v>
      </c>
      <c r="G169" t="s">
        <v>1006</v>
      </c>
    </row>
    <row r="170" spans="1:7" ht="17.25" hidden="1" customHeight="1" x14ac:dyDescent="0.2">
      <c r="A170" s="2" t="s">
        <v>801</v>
      </c>
      <c r="B170" t="s">
        <v>84</v>
      </c>
      <c r="C170" s="16">
        <v>0.105329245</v>
      </c>
      <c r="D170" s="3" t="s">
        <v>1006</v>
      </c>
      <c r="E170" s="3" t="s">
        <v>1006</v>
      </c>
      <c r="F170" t="s">
        <v>1006</v>
      </c>
      <c r="G170" t="s">
        <v>1006</v>
      </c>
    </row>
    <row r="171" spans="1:7" ht="17.25" customHeight="1" x14ac:dyDescent="0.2">
      <c r="A171" s="2" t="s">
        <v>119</v>
      </c>
      <c r="B171" t="s">
        <v>28</v>
      </c>
      <c r="C171" s="16">
        <v>0.21444150000000001</v>
      </c>
      <c r="D171" s="10">
        <v>98.4</v>
      </c>
      <c r="E171" s="11">
        <v>9</v>
      </c>
      <c r="F171" t="s">
        <v>1006</v>
      </c>
      <c r="G171" t="s">
        <v>1006</v>
      </c>
    </row>
    <row r="172" spans="1:7" ht="17.25" hidden="1" customHeight="1" x14ac:dyDescent="0.2">
      <c r="A172" s="2" t="s">
        <v>845</v>
      </c>
      <c r="B172" t="s">
        <v>25</v>
      </c>
      <c r="C172" s="16">
        <v>0.10316591999999999</v>
      </c>
      <c r="D172" s="3" t="s">
        <v>1006</v>
      </c>
      <c r="E172" s="3" t="s">
        <v>1006</v>
      </c>
      <c r="F172" t="s">
        <v>1006</v>
      </c>
      <c r="G172" t="s">
        <v>1006</v>
      </c>
    </row>
    <row r="173" spans="1:7" ht="17.25" hidden="1" customHeight="1" x14ac:dyDescent="0.2">
      <c r="A173" s="2" t="s">
        <v>1021</v>
      </c>
      <c r="B173" t="s">
        <v>238</v>
      </c>
      <c r="C173" s="16">
        <v>0.76899329999999999</v>
      </c>
      <c r="D173" s="10">
        <v>197.2</v>
      </c>
      <c r="E173" s="11">
        <v>17</v>
      </c>
      <c r="F173" t="s">
        <v>1006</v>
      </c>
      <c r="G173" t="s">
        <v>1006</v>
      </c>
    </row>
    <row r="174" spans="1:7" ht="17.25" customHeight="1" x14ac:dyDescent="0.2">
      <c r="A174" s="2" t="s">
        <v>35</v>
      </c>
      <c r="B174" t="s">
        <v>28</v>
      </c>
      <c r="C174" s="16">
        <v>0.21010176999999999</v>
      </c>
      <c r="D174" s="10">
        <v>37.299999999999997</v>
      </c>
      <c r="E174" s="11">
        <v>4</v>
      </c>
      <c r="F174" t="s">
        <v>1006</v>
      </c>
      <c r="G174" t="s">
        <v>1006</v>
      </c>
    </row>
    <row r="175" spans="1:7" ht="17.25" hidden="1" customHeight="1" x14ac:dyDescent="0.2">
      <c r="A175" s="2" t="s">
        <v>111</v>
      </c>
      <c r="B175" t="s">
        <v>112</v>
      </c>
      <c r="C175" s="16">
        <v>0.101509444</v>
      </c>
      <c r="D175" s="10">
        <v>12.7</v>
      </c>
      <c r="E175" s="11">
        <v>2</v>
      </c>
      <c r="F175" t="s">
        <v>1029</v>
      </c>
      <c r="G175" t="s">
        <v>1006</v>
      </c>
    </row>
    <row r="176" spans="1:7" ht="17.25" hidden="1" customHeight="1" x14ac:dyDescent="0.2">
      <c r="A176" s="2" t="s">
        <v>483</v>
      </c>
      <c r="B176" t="s">
        <v>82</v>
      </c>
      <c r="C176" s="16">
        <v>9.9427150000000006E-2</v>
      </c>
      <c r="D176" s="10">
        <v>729.5</v>
      </c>
      <c r="E176" s="11">
        <v>61</v>
      </c>
      <c r="F176" t="s">
        <v>1006</v>
      </c>
      <c r="G176" t="s">
        <v>1006</v>
      </c>
    </row>
    <row r="177" spans="1:7" ht="17.25" hidden="1" customHeight="1" x14ac:dyDescent="0.2">
      <c r="A177" s="2" t="s">
        <v>265</v>
      </c>
      <c r="B177" t="s">
        <v>82</v>
      </c>
      <c r="C177" s="16">
        <v>9.7324190000000005E-2</v>
      </c>
      <c r="D177" s="10">
        <v>347.5</v>
      </c>
      <c r="E177" s="11">
        <v>29</v>
      </c>
      <c r="F177" t="s">
        <v>1130</v>
      </c>
      <c r="G177" t="s">
        <v>1006</v>
      </c>
    </row>
    <row r="178" spans="1:7" ht="17.25" hidden="1" customHeight="1" x14ac:dyDescent="0.2">
      <c r="A178" s="2" t="s">
        <v>443</v>
      </c>
      <c r="B178" t="s">
        <v>78</v>
      </c>
      <c r="C178" s="16">
        <v>9.4205566000000004E-2</v>
      </c>
      <c r="D178" s="10">
        <v>403.7</v>
      </c>
      <c r="E178" s="11">
        <v>34</v>
      </c>
      <c r="F178" t="s">
        <v>1006</v>
      </c>
      <c r="G178" t="s">
        <v>1006</v>
      </c>
    </row>
    <row r="179" spans="1:7" ht="17.25" hidden="1" customHeight="1" x14ac:dyDescent="0.2">
      <c r="A179" s="2" t="s">
        <v>530</v>
      </c>
      <c r="B179" t="s">
        <v>69</v>
      </c>
      <c r="C179" s="16">
        <v>0.75966389999999995</v>
      </c>
      <c r="D179" s="3" t="s">
        <v>1006</v>
      </c>
      <c r="E179" s="3" t="s">
        <v>1006</v>
      </c>
      <c r="F179" t="s">
        <v>1006</v>
      </c>
      <c r="G179" t="s">
        <v>1006</v>
      </c>
    </row>
    <row r="180" spans="1:7" ht="17.25" hidden="1" customHeight="1" x14ac:dyDescent="0.2">
      <c r="A180" s="2" t="s">
        <v>68</v>
      </c>
      <c r="B180" t="s">
        <v>69</v>
      </c>
      <c r="C180" s="16">
        <v>0.75655085</v>
      </c>
      <c r="D180" s="10">
        <v>34.9</v>
      </c>
      <c r="E180" s="11">
        <v>3</v>
      </c>
      <c r="F180" t="s">
        <v>1006</v>
      </c>
      <c r="G180" t="s">
        <v>1006</v>
      </c>
    </row>
    <row r="181" spans="1:7" ht="17.25" hidden="1" customHeight="1" x14ac:dyDescent="0.2">
      <c r="A181" s="2" t="s">
        <v>469</v>
      </c>
      <c r="B181" t="s">
        <v>25</v>
      </c>
      <c r="C181" s="16">
        <v>9.4142586E-2</v>
      </c>
      <c r="D181" s="10">
        <v>659.8</v>
      </c>
      <c r="E181" s="11">
        <v>55</v>
      </c>
      <c r="F181" t="s">
        <v>1006</v>
      </c>
      <c r="G181" t="s">
        <v>1006</v>
      </c>
    </row>
    <row r="182" spans="1:7" ht="17.25" hidden="1" customHeight="1" x14ac:dyDescent="0.2">
      <c r="A182" s="2" t="s">
        <v>1022</v>
      </c>
      <c r="B182" t="s">
        <v>69</v>
      </c>
      <c r="C182" s="16">
        <v>0.75431510000000002</v>
      </c>
      <c r="D182" s="3" t="s">
        <v>1006</v>
      </c>
      <c r="E182" s="3" t="s">
        <v>1006</v>
      </c>
      <c r="F182" t="s">
        <v>1006</v>
      </c>
      <c r="G182" t="s">
        <v>1006</v>
      </c>
    </row>
    <row r="183" spans="1:7" ht="17.25" hidden="1" customHeight="1" x14ac:dyDescent="0.2">
      <c r="A183" s="2" t="s">
        <v>70</v>
      </c>
      <c r="B183" t="s">
        <v>40</v>
      </c>
      <c r="C183" s="16">
        <v>9.2417719999999995E-2</v>
      </c>
      <c r="D183" s="10">
        <v>57.6</v>
      </c>
      <c r="E183" s="11">
        <v>5</v>
      </c>
      <c r="F183" t="s">
        <v>1130</v>
      </c>
      <c r="G183" t="s">
        <v>1006</v>
      </c>
    </row>
    <row r="184" spans="1:7" ht="17.25" hidden="1" customHeight="1" x14ac:dyDescent="0.2">
      <c r="A184" s="2" t="s">
        <v>660</v>
      </c>
      <c r="B184" t="s">
        <v>69</v>
      </c>
      <c r="C184" s="16">
        <v>0.75326499999999996</v>
      </c>
      <c r="D184" s="3" t="s">
        <v>1006</v>
      </c>
      <c r="E184" s="3" t="s">
        <v>1006</v>
      </c>
      <c r="F184" t="s">
        <v>1006</v>
      </c>
      <c r="G184" t="s">
        <v>1006</v>
      </c>
    </row>
    <row r="185" spans="1:7" ht="17.25" hidden="1" customHeight="1" x14ac:dyDescent="0.2">
      <c r="A185" s="2" t="s">
        <v>661</v>
      </c>
      <c r="B185" t="s">
        <v>69</v>
      </c>
      <c r="C185" s="16">
        <v>0.75111704999999995</v>
      </c>
      <c r="D185" s="3" t="s">
        <v>1006</v>
      </c>
      <c r="E185" s="3" t="s">
        <v>1006</v>
      </c>
      <c r="F185" t="s">
        <v>1006</v>
      </c>
      <c r="G185" t="s">
        <v>1006</v>
      </c>
    </row>
    <row r="186" spans="1:7" ht="17.25" customHeight="1" x14ac:dyDescent="0.2">
      <c r="A186" s="2" t="s">
        <v>193</v>
      </c>
      <c r="B186" t="s">
        <v>28</v>
      </c>
      <c r="C186" s="16">
        <v>0.20669362999999999</v>
      </c>
      <c r="D186" s="10">
        <v>263.3</v>
      </c>
      <c r="E186" s="11">
        <v>22</v>
      </c>
      <c r="F186" t="s">
        <v>1006</v>
      </c>
      <c r="G186" t="s">
        <v>1006</v>
      </c>
    </row>
    <row r="187" spans="1:7" ht="17.25" customHeight="1" x14ac:dyDescent="0.2">
      <c r="A187" s="2" t="s">
        <v>174</v>
      </c>
      <c r="B187" t="s">
        <v>28</v>
      </c>
      <c r="C187" s="16">
        <v>0.19448388</v>
      </c>
      <c r="D187" s="10">
        <v>279.7</v>
      </c>
      <c r="E187" s="11">
        <v>24</v>
      </c>
      <c r="F187" t="s">
        <v>1006</v>
      </c>
      <c r="G187" t="s">
        <v>1038</v>
      </c>
    </row>
    <row r="188" spans="1:7" ht="17.25" customHeight="1" x14ac:dyDescent="0.2">
      <c r="A188" s="2" t="s">
        <v>250</v>
      </c>
      <c r="B188" t="s">
        <v>28</v>
      </c>
      <c r="C188" s="16">
        <v>0.19081157000000001</v>
      </c>
      <c r="D188" s="3" t="s">
        <v>1006</v>
      </c>
      <c r="E188" s="3" t="s">
        <v>1006</v>
      </c>
      <c r="F188" t="s">
        <v>1006</v>
      </c>
      <c r="G188" t="s">
        <v>1029</v>
      </c>
    </row>
    <row r="189" spans="1:7" ht="17.25" hidden="1" customHeight="1" x14ac:dyDescent="0.2">
      <c r="A189" s="2" t="s">
        <v>255</v>
      </c>
      <c r="B189" t="s">
        <v>87</v>
      </c>
      <c r="C189" s="16">
        <v>9.2345250000000004E-2</v>
      </c>
      <c r="D189" s="10">
        <v>197.4</v>
      </c>
      <c r="E189" s="11">
        <v>17</v>
      </c>
      <c r="F189" t="s">
        <v>1130</v>
      </c>
      <c r="G189" t="s">
        <v>1006</v>
      </c>
    </row>
    <row r="190" spans="1:7" ht="17.25" customHeight="1" x14ac:dyDescent="0.2">
      <c r="A190" s="2" t="s">
        <v>133</v>
      </c>
      <c r="B190" t="s">
        <v>28</v>
      </c>
      <c r="C190" s="16">
        <v>0.17540014000000001</v>
      </c>
      <c r="D190" s="10">
        <v>88.7</v>
      </c>
      <c r="E190" s="11">
        <v>8</v>
      </c>
      <c r="F190" t="s">
        <v>1006</v>
      </c>
      <c r="G190" t="s">
        <v>1029</v>
      </c>
    </row>
    <row r="191" spans="1:7" ht="17.25" hidden="1" customHeight="1" x14ac:dyDescent="0.2">
      <c r="A191" s="2" t="s">
        <v>204</v>
      </c>
      <c r="B191" t="s">
        <v>13</v>
      </c>
      <c r="C191" s="16">
        <v>9.1625929999999994E-2</v>
      </c>
      <c r="D191" s="10">
        <v>323.5</v>
      </c>
      <c r="E191" s="11">
        <v>27</v>
      </c>
      <c r="F191" t="s">
        <v>1130</v>
      </c>
      <c r="G191" t="s">
        <v>1006</v>
      </c>
    </row>
    <row r="192" spans="1:7" ht="17.25" customHeight="1" x14ac:dyDescent="0.2">
      <c r="A192" s="2" t="s">
        <v>372</v>
      </c>
      <c r="B192" t="s">
        <v>28</v>
      </c>
      <c r="C192" s="16">
        <v>0.16272049</v>
      </c>
      <c r="D192" s="3" t="s">
        <v>1006</v>
      </c>
      <c r="E192" s="3" t="s">
        <v>1006</v>
      </c>
      <c r="F192" t="s">
        <v>1006</v>
      </c>
      <c r="G192" t="s">
        <v>1038</v>
      </c>
    </row>
    <row r="193" spans="1:7" ht="17.25" customHeight="1" x14ac:dyDescent="0.2">
      <c r="A193" s="2" t="s">
        <v>373</v>
      </c>
      <c r="B193" t="s">
        <v>28</v>
      </c>
      <c r="C193" s="16">
        <v>0.15414311</v>
      </c>
      <c r="D193" s="3" t="s">
        <v>1006</v>
      </c>
      <c r="E193" s="3" t="s">
        <v>1006</v>
      </c>
      <c r="F193" t="s">
        <v>1006</v>
      </c>
      <c r="G193" t="s">
        <v>1130</v>
      </c>
    </row>
    <row r="194" spans="1:7" ht="17.25" hidden="1" customHeight="1" x14ac:dyDescent="0.2">
      <c r="A194" s="2" t="s">
        <v>106</v>
      </c>
      <c r="B194" t="s">
        <v>25</v>
      </c>
      <c r="C194" s="16">
        <v>9.1316759999999997E-2</v>
      </c>
      <c r="D194" s="10">
        <v>134.5</v>
      </c>
      <c r="E194" s="11">
        <v>12</v>
      </c>
      <c r="F194" t="s">
        <v>1038</v>
      </c>
      <c r="G194" t="s">
        <v>1006</v>
      </c>
    </row>
    <row r="195" spans="1:7" ht="17.25" hidden="1" customHeight="1" x14ac:dyDescent="0.2">
      <c r="A195" s="2" t="s">
        <v>228</v>
      </c>
      <c r="B195" t="s">
        <v>84</v>
      </c>
      <c r="C195" s="16">
        <v>9.0818666000000006E-2</v>
      </c>
      <c r="D195" s="10">
        <v>319.10000000000002</v>
      </c>
      <c r="E195" s="11">
        <v>27</v>
      </c>
      <c r="F195" t="s">
        <v>1006</v>
      </c>
      <c r="G195" t="s">
        <v>1006</v>
      </c>
    </row>
    <row r="196" spans="1:7" ht="17.25" hidden="1" customHeight="1" x14ac:dyDescent="0.2">
      <c r="A196" s="2" t="s">
        <v>804</v>
      </c>
      <c r="B196" t="s">
        <v>25</v>
      </c>
      <c r="C196" s="16">
        <v>8.9512759999999997E-2</v>
      </c>
      <c r="D196" s="3" t="s">
        <v>1006</v>
      </c>
      <c r="E196" s="3" t="s">
        <v>1006</v>
      </c>
      <c r="F196" t="s">
        <v>1006</v>
      </c>
      <c r="G196" t="s">
        <v>1006</v>
      </c>
    </row>
    <row r="197" spans="1:7" ht="17.25" customHeight="1" x14ac:dyDescent="0.2">
      <c r="A197" s="2" t="s">
        <v>195</v>
      </c>
      <c r="B197" t="s">
        <v>28</v>
      </c>
      <c r="C197" s="16">
        <v>0.15399467999999999</v>
      </c>
      <c r="D197" s="10">
        <v>98.4</v>
      </c>
      <c r="E197" s="11">
        <v>9</v>
      </c>
      <c r="F197" t="s">
        <v>1006</v>
      </c>
      <c r="G197" t="s">
        <v>1029</v>
      </c>
    </row>
    <row r="198" spans="1:7" ht="17.25" customHeight="1" x14ac:dyDescent="0.2">
      <c r="A198" s="2" t="s">
        <v>477</v>
      </c>
      <c r="B198" t="s">
        <v>28</v>
      </c>
      <c r="C198" s="16">
        <v>0.14698154999999999</v>
      </c>
      <c r="D198" s="3" t="s">
        <v>1006</v>
      </c>
      <c r="E198" s="3" t="s">
        <v>1006</v>
      </c>
      <c r="F198" t="s">
        <v>1006</v>
      </c>
      <c r="G198" t="s">
        <v>1130</v>
      </c>
    </row>
    <row r="199" spans="1:7" ht="17.25" customHeight="1" x14ac:dyDescent="0.2">
      <c r="A199" s="2" t="s">
        <v>334</v>
      </c>
      <c r="B199" t="s">
        <v>28</v>
      </c>
      <c r="C199" s="16">
        <v>0.14428885</v>
      </c>
      <c r="D199" s="3" t="s">
        <v>1006</v>
      </c>
      <c r="E199" s="3" t="s">
        <v>1006</v>
      </c>
      <c r="F199" t="s">
        <v>1006</v>
      </c>
      <c r="G199" t="s">
        <v>1006</v>
      </c>
    </row>
    <row r="200" spans="1:7" ht="17.25" hidden="1" customHeight="1" x14ac:dyDescent="0.2">
      <c r="A200" s="2" t="s">
        <v>625</v>
      </c>
      <c r="B200" t="s">
        <v>206</v>
      </c>
      <c r="C200" s="16">
        <v>8.6566439999999995E-2</v>
      </c>
      <c r="D200" s="10">
        <v>450.6</v>
      </c>
      <c r="E200" s="11">
        <v>38</v>
      </c>
      <c r="F200" t="s">
        <v>1006</v>
      </c>
      <c r="G200" t="s">
        <v>1006</v>
      </c>
    </row>
    <row r="201" spans="1:7" ht="17.25" hidden="1" customHeight="1" x14ac:dyDescent="0.2">
      <c r="A201" s="2" t="s">
        <v>841</v>
      </c>
      <c r="B201" t="s">
        <v>16</v>
      </c>
      <c r="C201" s="16">
        <v>8.6531150000000001E-2</v>
      </c>
      <c r="D201" s="3" t="s">
        <v>1006</v>
      </c>
      <c r="E201" s="3" t="s">
        <v>1006</v>
      </c>
      <c r="F201" t="s">
        <v>1006</v>
      </c>
      <c r="G201" t="s">
        <v>1006</v>
      </c>
    </row>
    <row r="202" spans="1:7" ht="17.25" customHeight="1" x14ac:dyDescent="0.2">
      <c r="A202" s="2" t="s">
        <v>413</v>
      </c>
      <c r="B202" t="s">
        <v>28</v>
      </c>
      <c r="C202" s="16">
        <v>0.13740563</v>
      </c>
      <c r="D202" s="3" t="s">
        <v>1006</v>
      </c>
      <c r="E202" s="3" t="s">
        <v>1006</v>
      </c>
      <c r="F202" t="s">
        <v>1006</v>
      </c>
      <c r="G202" t="s">
        <v>1029</v>
      </c>
    </row>
    <row r="203" spans="1:7" ht="17.25" customHeight="1" x14ac:dyDescent="0.2">
      <c r="A203" s="2" t="s">
        <v>184</v>
      </c>
      <c r="B203" t="s">
        <v>28</v>
      </c>
      <c r="C203" s="16">
        <v>0.12240210999999999</v>
      </c>
      <c r="D203" s="10">
        <v>66.8</v>
      </c>
      <c r="E203" s="11">
        <v>6</v>
      </c>
      <c r="F203" t="s">
        <v>1006</v>
      </c>
      <c r="G203" t="s">
        <v>1029</v>
      </c>
    </row>
    <row r="204" spans="1:7" ht="17.25" customHeight="1" x14ac:dyDescent="0.2">
      <c r="A204" s="2" t="s">
        <v>92</v>
      </c>
      <c r="B204" t="s">
        <v>28</v>
      </c>
      <c r="C204" s="16">
        <v>0.10947340999999999</v>
      </c>
      <c r="D204" s="10">
        <v>136.80000000000001</v>
      </c>
      <c r="E204" s="11">
        <v>12</v>
      </c>
      <c r="F204" t="s">
        <v>1006</v>
      </c>
      <c r="G204" t="s">
        <v>1130</v>
      </c>
    </row>
    <row r="205" spans="1:7" ht="17.25" hidden="1" customHeight="1" x14ac:dyDescent="0.2">
      <c r="A205" s="2" t="s">
        <v>831</v>
      </c>
      <c r="B205" t="s">
        <v>832</v>
      </c>
      <c r="C205" s="16">
        <v>8.6162664E-2</v>
      </c>
      <c r="D205" s="3" t="s">
        <v>1006</v>
      </c>
      <c r="E205" s="3" t="s">
        <v>1006</v>
      </c>
      <c r="F205" t="s">
        <v>1006</v>
      </c>
      <c r="G205" t="s">
        <v>1006</v>
      </c>
    </row>
    <row r="206" spans="1:7" ht="17.25" hidden="1" customHeight="1" x14ac:dyDescent="0.2">
      <c r="A206" s="2" t="s">
        <v>180</v>
      </c>
      <c r="B206" t="s">
        <v>43</v>
      </c>
      <c r="C206" s="16">
        <v>8.1971569999999994E-2</v>
      </c>
      <c r="D206" s="10">
        <v>115.4</v>
      </c>
      <c r="E206" s="11">
        <v>10</v>
      </c>
      <c r="F206" t="s">
        <v>1029</v>
      </c>
      <c r="G206" t="s">
        <v>1006</v>
      </c>
    </row>
    <row r="207" spans="1:7" ht="17.25" customHeight="1" x14ac:dyDescent="0.2">
      <c r="A207" s="2" t="s">
        <v>283</v>
      </c>
      <c r="B207" t="s">
        <v>28</v>
      </c>
      <c r="C207" s="16">
        <v>0.10356321</v>
      </c>
      <c r="D207" s="3" t="s">
        <v>1006</v>
      </c>
      <c r="E207" s="3" t="s">
        <v>1006</v>
      </c>
      <c r="F207" t="s">
        <v>1006</v>
      </c>
      <c r="G207" t="s">
        <v>1130</v>
      </c>
    </row>
    <row r="208" spans="1:7" ht="17.25" hidden="1" customHeight="1" x14ac:dyDescent="0.2">
      <c r="A208" s="2" t="s">
        <v>499</v>
      </c>
      <c r="B208" t="s">
        <v>25</v>
      </c>
      <c r="C208" s="16">
        <v>8.0471189999999998E-2</v>
      </c>
      <c r="D208" s="10">
        <v>636.29999999999995</v>
      </c>
      <c r="E208" s="11">
        <v>54</v>
      </c>
      <c r="F208" t="s">
        <v>1006</v>
      </c>
      <c r="G208" t="s">
        <v>1006</v>
      </c>
    </row>
    <row r="209" spans="1:7" ht="17.25" hidden="1" customHeight="1" x14ac:dyDescent="0.2">
      <c r="A209" s="2" t="s">
        <v>166</v>
      </c>
      <c r="B209" t="s">
        <v>25</v>
      </c>
      <c r="C209" s="16">
        <v>8.0094730000000003E-2</v>
      </c>
      <c r="D209" s="10">
        <v>183.7</v>
      </c>
      <c r="E209" s="11">
        <v>16</v>
      </c>
      <c r="F209" t="s">
        <v>1029</v>
      </c>
      <c r="G209" t="s">
        <v>1006</v>
      </c>
    </row>
    <row r="210" spans="1:7" ht="17.25" hidden="1" customHeight="1" x14ac:dyDescent="0.2">
      <c r="A210" s="2" t="s">
        <v>822</v>
      </c>
      <c r="B210" t="s">
        <v>87</v>
      </c>
      <c r="C210" s="16">
        <v>7.905363E-2</v>
      </c>
      <c r="D210" s="3" t="s">
        <v>1006</v>
      </c>
      <c r="E210" s="3" t="s">
        <v>1006</v>
      </c>
      <c r="F210" t="s">
        <v>1006</v>
      </c>
      <c r="G210" t="s">
        <v>1006</v>
      </c>
    </row>
    <row r="211" spans="1:7" ht="17.25" hidden="1" customHeight="1" x14ac:dyDescent="0.2">
      <c r="A211" s="2" t="s">
        <v>246</v>
      </c>
      <c r="B211" t="s">
        <v>40</v>
      </c>
      <c r="C211" s="16">
        <v>7.8589759999999995E-2</v>
      </c>
      <c r="D211" s="10">
        <v>75.8</v>
      </c>
      <c r="E211" s="11">
        <v>7</v>
      </c>
      <c r="F211" t="s">
        <v>1130</v>
      </c>
      <c r="G211" t="s">
        <v>1006</v>
      </c>
    </row>
    <row r="212" spans="1:7" ht="17.25" hidden="1" customHeight="1" x14ac:dyDescent="0.2">
      <c r="A212" s="2" t="s">
        <v>895</v>
      </c>
      <c r="B212" t="s">
        <v>78</v>
      </c>
      <c r="C212" s="16">
        <v>7.5922799999999999E-2</v>
      </c>
      <c r="D212" s="3" t="s">
        <v>1006</v>
      </c>
      <c r="E212" s="3" t="s">
        <v>1006</v>
      </c>
      <c r="F212" t="s">
        <v>1006</v>
      </c>
      <c r="G212" t="s">
        <v>1006</v>
      </c>
    </row>
    <row r="213" spans="1:7" ht="17.25" hidden="1" customHeight="1" x14ac:dyDescent="0.2">
      <c r="A213" s="2" t="s">
        <v>647</v>
      </c>
      <c r="B213" t="s">
        <v>201</v>
      </c>
      <c r="C213" s="16">
        <v>7.5139609999999996E-2</v>
      </c>
      <c r="D213" s="11">
        <v>741</v>
      </c>
      <c r="E213" s="11">
        <v>62</v>
      </c>
      <c r="F213" t="s">
        <v>1006</v>
      </c>
      <c r="G213" t="s">
        <v>1006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35008-55D9-1E48-87B3-84A075E21F0A}">
  <sheetPr filterMode="1"/>
  <dimension ref="A1:E212"/>
  <sheetViews>
    <sheetView topLeftCell="A7" workbookViewId="0">
      <selection activeCell="B2" sqref="B2"/>
    </sheetView>
  </sheetViews>
  <sheetFormatPr baseColWidth="10" defaultRowHeight="15" x14ac:dyDescent="0.2"/>
  <cols>
    <col min="1" max="1" width="14.6640625" customWidth="1"/>
  </cols>
  <sheetData>
    <row r="1" spans="1:5" x14ac:dyDescent="0.2">
      <c r="A1" t="s">
        <v>1</v>
      </c>
      <c r="B1" t="s">
        <v>1127</v>
      </c>
      <c r="C1" t="s">
        <v>1219</v>
      </c>
      <c r="D1" t="s">
        <v>4</v>
      </c>
      <c r="E1" t="s">
        <v>999</v>
      </c>
    </row>
    <row r="2" spans="1:5" x14ac:dyDescent="0.2">
      <c r="A2" t="s">
        <v>14</v>
      </c>
      <c r="B2" t="s">
        <v>16</v>
      </c>
      <c r="C2">
        <v>0.90839650000000005</v>
      </c>
      <c r="D2">
        <v>1.9</v>
      </c>
      <c r="E2">
        <v>1</v>
      </c>
    </row>
    <row r="3" spans="1:5" hidden="1" x14ac:dyDescent="0.2">
      <c r="A3" t="s">
        <v>17</v>
      </c>
      <c r="B3" t="s">
        <v>19</v>
      </c>
      <c r="C3">
        <v>0.75887525</v>
      </c>
      <c r="D3">
        <v>2.9</v>
      </c>
      <c r="E3">
        <v>1</v>
      </c>
    </row>
    <row r="4" spans="1:5" hidden="1" x14ac:dyDescent="0.2">
      <c r="A4" t="s">
        <v>11</v>
      </c>
      <c r="B4" t="s">
        <v>13</v>
      </c>
      <c r="C4">
        <v>0.74366030000000005</v>
      </c>
      <c r="D4">
        <v>1.3</v>
      </c>
      <c r="E4">
        <v>1</v>
      </c>
    </row>
    <row r="5" spans="1:5" hidden="1" x14ac:dyDescent="0.2">
      <c r="A5" t="s">
        <v>26</v>
      </c>
      <c r="B5" t="s">
        <v>28</v>
      </c>
      <c r="C5">
        <v>0.73539880000000002</v>
      </c>
      <c r="D5">
        <v>6.9</v>
      </c>
      <c r="E5">
        <v>1</v>
      </c>
    </row>
    <row r="6" spans="1:5" x14ac:dyDescent="0.2">
      <c r="A6" t="s">
        <v>1056</v>
      </c>
      <c r="B6" t="s">
        <v>25</v>
      </c>
      <c r="C6">
        <v>0.68716290000000002</v>
      </c>
      <c r="D6">
        <v>10.6</v>
      </c>
      <c r="E6">
        <v>1</v>
      </c>
    </row>
    <row r="7" spans="1:5" x14ac:dyDescent="0.2">
      <c r="A7" t="s">
        <v>1370</v>
      </c>
      <c r="B7" t="s">
        <v>25</v>
      </c>
      <c r="C7">
        <v>0.64060499999999998</v>
      </c>
      <c r="D7">
        <v>6.3</v>
      </c>
      <c r="E7">
        <v>1</v>
      </c>
    </row>
    <row r="8" spans="1:5" x14ac:dyDescent="0.2">
      <c r="A8" t="s">
        <v>23</v>
      </c>
      <c r="B8" t="s">
        <v>25</v>
      </c>
      <c r="C8">
        <v>0.63250079999999997</v>
      </c>
      <c r="D8">
        <v>4.5</v>
      </c>
      <c r="E8">
        <v>1</v>
      </c>
    </row>
    <row r="9" spans="1:5" hidden="1" x14ac:dyDescent="0.2">
      <c r="A9" t="s">
        <v>56</v>
      </c>
      <c r="B9" t="s">
        <v>28</v>
      </c>
      <c r="C9">
        <v>0.47025584999999998</v>
      </c>
      <c r="D9">
        <v>10.199999999999999</v>
      </c>
      <c r="E9">
        <v>1</v>
      </c>
    </row>
    <row r="10" spans="1:5" hidden="1" x14ac:dyDescent="0.2">
      <c r="A10" t="s">
        <v>1055</v>
      </c>
      <c r="B10" t="s">
        <v>22</v>
      </c>
      <c r="C10">
        <v>0.35408594999999998</v>
      </c>
      <c r="D10">
        <v>5.8</v>
      </c>
      <c r="E10">
        <v>1</v>
      </c>
    </row>
    <row r="11" spans="1:5" hidden="1" x14ac:dyDescent="0.2">
      <c r="A11" t="s">
        <v>33</v>
      </c>
      <c r="B11" t="s">
        <v>19</v>
      </c>
      <c r="C11">
        <v>0.31645151999999999</v>
      </c>
      <c r="D11">
        <v>8.5</v>
      </c>
      <c r="E11">
        <v>1</v>
      </c>
    </row>
    <row r="12" spans="1:5" hidden="1" x14ac:dyDescent="0.2">
      <c r="A12" t="s">
        <v>157</v>
      </c>
      <c r="B12" t="s">
        <v>28</v>
      </c>
      <c r="C12">
        <v>0.27405341999999999</v>
      </c>
      <c r="D12">
        <v>11.4</v>
      </c>
      <c r="E12">
        <v>1</v>
      </c>
    </row>
    <row r="13" spans="1:5" hidden="1" x14ac:dyDescent="0.2">
      <c r="A13" t="s">
        <v>41</v>
      </c>
      <c r="B13" t="s">
        <v>43</v>
      </c>
      <c r="C13">
        <v>0.83745563000000001</v>
      </c>
      <c r="D13">
        <v>18</v>
      </c>
      <c r="E13">
        <v>2</v>
      </c>
    </row>
    <row r="14" spans="1:5" x14ac:dyDescent="0.2">
      <c r="A14" t="s">
        <v>67</v>
      </c>
      <c r="B14" t="s">
        <v>25</v>
      </c>
      <c r="C14">
        <v>0.79111620000000005</v>
      </c>
      <c r="D14">
        <v>12.2</v>
      </c>
      <c r="E14">
        <v>2</v>
      </c>
    </row>
    <row r="15" spans="1:5" x14ac:dyDescent="0.2">
      <c r="A15" t="s">
        <v>203</v>
      </c>
      <c r="B15" t="s">
        <v>25</v>
      </c>
      <c r="C15">
        <v>0.71623150000000002</v>
      </c>
      <c r="D15">
        <v>14.8</v>
      </c>
      <c r="E15">
        <v>2</v>
      </c>
    </row>
    <row r="16" spans="1:5" hidden="1" x14ac:dyDescent="0.2">
      <c r="A16" t="s">
        <v>1233</v>
      </c>
      <c r="B16" t="s">
        <v>82</v>
      </c>
      <c r="C16">
        <v>0.49519849999999999</v>
      </c>
      <c r="D16">
        <v>17.100000000000001</v>
      </c>
      <c r="E16">
        <v>2</v>
      </c>
    </row>
    <row r="17" spans="1:5" x14ac:dyDescent="0.2">
      <c r="A17" t="s">
        <v>90</v>
      </c>
      <c r="B17" t="s">
        <v>25</v>
      </c>
      <c r="C17">
        <v>0.30232727999999998</v>
      </c>
      <c r="D17">
        <v>19.600000000000001</v>
      </c>
      <c r="E17">
        <v>2</v>
      </c>
    </row>
    <row r="18" spans="1:5" hidden="1" x14ac:dyDescent="0.2">
      <c r="A18" t="s">
        <v>29</v>
      </c>
      <c r="B18" t="s">
        <v>19</v>
      </c>
      <c r="C18">
        <v>0.26704280000000002</v>
      </c>
      <c r="D18">
        <v>12.8</v>
      </c>
      <c r="E18">
        <v>2</v>
      </c>
    </row>
    <row r="19" spans="1:5" hidden="1" x14ac:dyDescent="0.2">
      <c r="A19" t="s">
        <v>774</v>
      </c>
      <c r="B19" t="s">
        <v>87</v>
      </c>
      <c r="C19">
        <v>0.19621219000000001</v>
      </c>
      <c r="D19">
        <v>16.3</v>
      </c>
      <c r="E19">
        <v>2</v>
      </c>
    </row>
    <row r="20" spans="1:5" x14ac:dyDescent="0.2">
      <c r="A20" t="s">
        <v>208</v>
      </c>
      <c r="B20" t="s">
        <v>25</v>
      </c>
      <c r="C20">
        <v>0.18670042000000001</v>
      </c>
      <c r="D20">
        <v>14.4</v>
      </c>
      <c r="E20">
        <v>2</v>
      </c>
    </row>
    <row r="21" spans="1:5" hidden="1" x14ac:dyDescent="0.2">
      <c r="A21" t="s">
        <v>37</v>
      </c>
      <c r="B21" t="s">
        <v>19</v>
      </c>
      <c r="C21">
        <v>0.16656013</v>
      </c>
      <c r="D21">
        <v>23.4</v>
      </c>
      <c r="E21">
        <v>2</v>
      </c>
    </row>
    <row r="22" spans="1:5" hidden="1" x14ac:dyDescent="0.2">
      <c r="A22" t="s">
        <v>73</v>
      </c>
      <c r="B22" t="s">
        <v>40</v>
      </c>
      <c r="C22">
        <v>0.10788493</v>
      </c>
      <c r="D22">
        <v>18.5</v>
      </c>
      <c r="E22">
        <v>2</v>
      </c>
    </row>
    <row r="23" spans="1:5" hidden="1" x14ac:dyDescent="0.2">
      <c r="A23" t="s">
        <v>110</v>
      </c>
      <c r="B23" t="s">
        <v>82</v>
      </c>
      <c r="C23">
        <v>0.92267310000000002</v>
      </c>
      <c r="D23">
        <v>25</v>
      </c>
      <c r="E23">
        <v>3</v>
      </c>
    </row>
    <row r="24" spans="1:5" hidden="1" x14ac:dyDescent="0.2">
      <c r="A24" t="s">
        <v>1817</v>
      </c>
      <c r="B24" t="s">
        <v>28</v>
      </c>
      <c r="C24">
        <v>0.83403899999999997</v>
      </c>
      <c r="D24">
        <v>26.4</v>
      </c>
      <c r="E24">
        <v>3</v>
      </c>
    </row>
    <row r="25" spans="1:5" hidden="1" x14ac:dyDescent="0.2">
      <c r="A25" t="s">
        <v>58</v>
      </c>
      <c r="B25" t="s">
        <v>13</v>
      </c>
      <c r="C25">
        <v>0.68764703999999999</v>
      </c>
      <c r="D25">
        <v>24.5</v>
      </c>
      <c r="E25">
        <v>3</v>
      </c>
    </row>
    <row r="26" spans="1:5" x14ac:dyDescent="0.2">
      <c r="A26" t="s">
        <v>389</v>
      </c>
      <c r="B26" t="s">
        <v>16</v>
      </c>
      <c r="C26">
        <v>0.68579453000000001</v>
      </c>
      <c r="D26">
        <v>33</v>
      </c>
      <c r="E26">
        <v>3</v>
      </c>
    </row>
    <row r="27" spans="1:5" hidden="1" x14ac:dyDescent="0.2">
      <c r="A27" t="s">
        <v>59</v>
      </c>
      <c r="B27" t="s">
        <v>28</v>
      </c>
      <c r="C27">
        <v>0.65819220000000001</v>
      </c>
      <c r="D27">
        <v>33.6</v>
      </c>
      <c r="E27">
        <v>3</v>
      </c>
    </row>
    <row r="28" spans="1:5" hidden="1" x14ac:dyDescent="0.2">
      <c r="A28" t="s">
        <v>219</v>
      </c>
      <c r="B28" t="s">
        <v>28</v>
      </c>
      <c r="C28">
        <v>0.57228869999999998</v>
      </c>
      <c r="D28">
        <v>27.7</v>
      </c>
      <c r="E28">
        <v>3</v>
      </c>
    </row>
    <row r="29" spans="1:5" x14ac:dyDescent="0.2">
      <c r="A29" t="s">
        <v>323</v>
      </c>
      <c r="B29" t="s">
        <v>25</v>
      </c>
      <c r="C29">
        <v>0.52149579999999995</v>
      </c>
      <c r="D29">
        <v>31</v>
      </c>
      <c r="E29">
        <v>3</v>
      </c>
    </row>
    <row r="30" spans="1:5" hidden="1" x14ac:dyDescent="0.2">
      <c r="A30" t="s">
        <v>93</v>
      </c>
      <c r="B30" t="s">
        <v>19</v>
      </c>
      <c r="C30">
        <v>0.30271086000000003</v>
      </c>
      <c r="D30">
        <v>27.8</v>
      </c>
      <c r="E30">
        <v>3</v>
      </c>
    </row>
    <row r="31" spans="1:5" hidden="1" x14ac:dyDescent="0.2">
      <c r="A31" t="s">
        <v>51</v>
      </c>
      <c r="B31" t="s">
        <v>53</v>
      </c>
      <c r="C31">
        <v>0.15510124</v>
      </c>
      <c r="D31">
        <v>32.6</v>
      </c>
      <c r="E31">
        <v>3</v>
      </c>
    </row>
    <row r="32" spans="1:5" hidden="1" x14ac:dyDescent="0.2">
      <c r="A32" t="s">
        <v>35</v>
      </c>
      <c r="B32" t="s">
        <v>28</v>
      </c>
      <c r="C32">
        <v>0.80664670000000005</v>
      </c>
      <c r="D32">
        <v>38.700000000000003</v>
      </c>
      <c r="E32">
        <v>4</v>
      </c>
    </row>
    <row r="33" spans="1:5" hidden="1" x14ac:dyDescent="0.2">
      <c r="A33" t="s">
        <v>1402</v>
      </c>
      <c r="B33" t="s">
        <v>28</v>
      </c>
      <c r="C33">
        <v>0.62830322999999999</v>
      </c>
      <c r="D33">
        <v>47.1</v>
      </c>
      <c r="E33">
        <v>4</v>
      </c>
    </row>
    <row r="34" spans="1:5" hidden="1" x14ac:dyDescent="0.2">
      <c r="A34" t="s">
        <v>65</v>
      </c>
      <c r="B34" t="s">
        <v>87</v>
      </c>
      <c r="C34">
        <v>0.5433981</v>
      </c>
      <c r="D34">
        <v>39.200000000000003</v>
      </c>
      <c r="E34">
        <v>4</v>
      </c>
    </row>
    <row r="35" spans="1:5" hidden="1" x14ac:dyDescent="0.2">
      <c r="A35" t="s">
        <v>123</v>
      </c>
      <c r="B35" t="s">
        <v>28</v>
      </c>
      <c r="C35">
        <v>0.52285117000000003</v>
      </c>
      <c r="D35">
        <v>38.200000000000003</v>
      </c>
      <c r="E35">
        <v>4</v>
      </c>
    </row>
    <row r="36" spans="1:5" hidden="1" x14ac:dyDescent="0.2">
      <c r="A36" t="s">
        <v>98</v>
      </c>
      <c r="B36" t="s">
        <v>28</v>
      </c>
      <c r="C36">
        <v>0.44297387999999999</v>
      </c>
      <c r="D36">
        <v>42.2</v>
      </c>
      <c r="E36">
        <v>4</v>
      </c>
    </row>
    <row r="37" spans="1:5" hidden="1" x14ac:dyDescent="0.2">
      <c r="A37" t="s">
        <v>218</v>
      </c>
      <c r="B37" t="s">
        <v>28</v>
      </c>
      <c r="C37">
        <v>0.40907442999999999</v>
      </c>
      <c r="D37">
        <v>37.299999999999997</v>
      </c>
      <c r="E37">
        <v>4</v>
      </c>
    </row>
    <row r="38" spans="1:5" x14ac:dyDescent="0.2">
      <c r="A38" t="s">
        <v>153</v>
      </c>
      <c r="B38" t="s">
        <v>25</v>
      </c>
      <c r="C38">
        <v>0.32987523000000002</v>
      </c>
      <c r="D38">
        <v>41.2</v>
      </c>
      <c r="E38">
        <v>4</v>
      </c>
    </row>
    <row r="39" spans="1:5" hidden="1" x14ac:dyDescent="0.2">
      <c r="A39" t="s">
        <v>136</v>
      </c>
      <c r="B39" t="s">
        <v>82</v>
      </c>
      <c r="C39">
        <v>0.82606506000000002</v>
      </c>
      <c r="D39">
        <v>50.9</v>
      </c>
      <c r="E39">
        <v>5</v>
      </c>
    </row>
    <row r="40" spans="1:5" hidden="1" x14ac:dyDescent="0.2">
      <c r="A40" t="s">
        <v>81</v>
      </c>
      <c r="B40" t="s">
        <v>82</v>
      </c>
      <c r="C40">
        <v>0.73556553999999996</v>
      </c>
      <c r="D40">
        <v>50.7</v>
      </c>
      <c r="E40">
        <v>5</v>
      </c>
    </row>
    <row r="41" spans="1:5" hidden="1" x14ac:dyDescent="0.2">
      <c r="A41" t="s">
        <v>849</v>
      </c>
      <c r="B41" t="s">
        <v>62</v>
      </c>
      <c r="C41">
        <v>0.69049954000000002</v>
      </c>
      <c r="D41">
        <v>50.5</v>
      </c>
      <c r="E41">
        <v>5</v>
      </c>
    </row>
    <row r="42" spans="1:5" hidden="1" x14ac:dyDescent="0.2">
      <c r="A42" t="s">
        <v>120</v>
      </c>
      <c r="B42" t="s">
        <v>74</v>
      </c>
      <c r="C42">
        <v>0.67310815999999996</v>
      </c>
      <c r="D42">
        <v>54</v>
      </c>
      <c r="E42">
        <v>5</v>
      </c>
    </row>
    <row r="43" spans="1:5" hidden="1" x14ac:dyDescent="0.2">
      <c r="A43" t="s">
        <v>96</v>
      </c>
      <c r="B43" t="s">
        <v>43</v>
      </c>
      <c r="C43">
        <v>0.64699669999999998</v>
      </c>
      <c r="D43">
        <v>55.5</v>
      </c>
      <c r="E43">
        <v>5</v>
      </c>
    </row>
    <row r="44" spans="1:5" x14ac:dyDescent="0.2">
      <c r="A44" t="s">
        <v>1234</v>
      </c>
      <c r="B44" t="s">
        <v>25</v>
      </c>
      <c r="C44">
        <v>0.49944854</v>
      </c>
      <c r="D44">
        <v>54.2</v>
      </c>
      <c r="E44">
        <v>5</v>
      </c>
    </row>
    <row r="45" spans="1:5" hidden="1" x14ac:dyDescent="0.2">
      <c r="A45" t="s">
        <v>195</v>
      </c>
      <c r="B45" t="s">
        <v>28</v>
      </c>
      <c r="C45">
        <v>0.22768252</v>
      </c>
      <c r="D45">
        <v>58.4</v>
      </c>
      <c r="E45">
        <v>5</v>
      </c>
    </row>
    <row r="46" spans="1:5" hidden="1" x14ac:dyDescent="0.2">
      <c r="A46" t="s">
        <v>38</v>
      </c>
      <c r="B46" t="s">
        <v>40</v>
      </c>
      <c r="C46">
        <v>0.15410460000000001</v>
      </c>
      <c r="D46">
        <v>53.3</v>
      </c>
      <c r="E46">
        <v>5</v>
      </c>
    </row>
    <row r="47" spans="1:5" hidden="1" x14ac:dyDescent="0.2">
      <c r="A47" t="s">
        <v>145</v>
      </c>
      <c r="B47" t="s">
        <v>78</v>
      </c>
      <c r="C47">
        <v>0.13691075</v>
      </c>
      <c r="D47">
        <v>52.9</v>
      </c>
      <c r="E47">
        <v>5</v>
      </c>
    </row>
    <row r="48" spans="1:5" x14ac:dyDescent="0.2">
      <c r="A48" t="s">
        <v>45</v>
      </c>
      <c r="B48" t="s">
        <v>16</v>
      </c>
      <c r="C48">
        <v>0.13374594000000001</v>
      </c>
      <c r="D48">
        <v>51.7</v>
      </c>
      <c r="E48">
        <v>5</v>
      </c>
    </row>
    <row r="49" spans="1:5" hidden="1" x14ac:dyDescent="0.2">
      <c r="A49" t="s">
        <v>111</v>
      </c>
      <c r="B49" t="s">
        <v>19</v>
      </c>
      <c r="C49">
        <v>0.12691972000000001</v>
      </c>
      <c r="D49">
        <v>56</v>
      </c>
      <c r="E49">
        <v>5</v>
      </c>
    </row>
    <row r="50" spans="1:5" x14ac:dyDescent="0.2">
      <c r="A50" t="s">
        <v>71</v>
      </c>
      <c r="B50" t="s">
        <v>25</v>
      </c>
      <c r="C50">
        <v>0.57494409999999996</v>
      </c>
      <c r="D50">
        <v>70.8</v>
      </c>
      <c r="E50">
        <v>6</v>
      </c>
    </row>
    <row r="51" spans="1:5" hidden="1" x14ac:dyDescent="0.2">
      <c r="A51" t="s">
        <v>99</v>
      </c>
      <c r="B51" t="s">
        <v>82</v>
      </c>
      <c r="C51">
        <v>0.16656013</v>
      </c>
      <c r="D51">
        <v>70.2</v>
      </c>
      <c r="E51">
        <v>6</v>
      </c>
    </row>
    <row r="52" spans="1:5" hidden="1" x14ac:dyDescent="0.2">
      <c r="A52" t="s">
        <v>285</v>
      </c>
      <c r="B52" t="s">
        <v>87</v>
      </c>
      <c r="C52">
        <v>0.1458043</v>
      </c>
      <c r="D52">
        <v>68.400000000000006</v>
      </c>
      <c r="E52">
        <v>6</v>
      </c>
    </row>
    <row r="53" spans="1:5" hidden="1" x14ac:dyDescent="0.2">
      <c r="A53" t="s">
        <v>450</v>
      </c>
      <c r="B53" t="s">
        <v>40</v>
      </c>
      <c r="C53">
        <v>0.1281765</v>
      </c>
      <c r="D53">
        <v>65</v>
      </c>
      <c r="E53">
        <v>6</v>
      </c>
    </row>
    <row r="54" spans="1:5" x14ac:dyDescent="0.2">
      <c r="A54" t="s">
        <v>223</v>
      </c>
      <c r="B54" t="s">
        <v>25</v>
      </c>
      <c r="C54">
        <v>7.5089180000000005E-2</v>
      </c>
      <c r="D54">
        <v>70.599999999999994</v>
      </c>
      <c r="E54">
        <v>6</v>
      </c>
    </row>
    <row r="55" spans="1:5" hidden="1" x14ac:dyDescent="0.2">
      <c r="A55" t="s">
        <v>1372</v>
      </c>
      <c r="B55" t="s">
        <v>40</v>
      </c>
      <c r="C55">
        <v>0.42875287000000001</v>
      </c>
      <c r="D55">
        <v>82.7</v>
      </c>
      <c r="E55">
        <v>7</v>
      </c>
    </row>
    <row r="56" spans="1:5" hidden="1" x14ac:dyDescent="0.2">
      <c r="A56" t="s">
        <v>1824</v>
      </c>
      <c r="B56" t="s">
        <v>28</v>
      </c>
      <c r="C56">
        <v>0.42130622000000001</v>
      </c>
      <c r="D56">
        <v>74.5</v>
      </c>
      <c r="E56">
        <v>7</v>
      </c>
    </row>
    <row r="57" spans="1:5" x14ac:dyDescent="0.2">
      <c r="A57" t="s">
        <v>47</v>
      </c>
      <c r="B57" t="s">
        <v>25</v>
      </c>
      <c r="C57">
        <v>0.41895660000000001</v>
      </c>
      <c r="D57">
        <v>72.599999999999994</v>
      </c>
      <c r="E57">
        <v>7</v>
      </c>
    </row>
    <row r="58" spans="1:5" hidden="1" x14ac:dyDescent="0.2">
      <c r="A58" t="s">
        <v>86</v>
      </c>
      <c r="B58" t="s">
        <v>28</v>
      </c>
      <c r="C58">
        <v>0.38718066000000001</v>
      </c>
      <c r="D58">
        <v>79.8</v>
      </c>
      <c r="E58">
        <v>7</v>
      </c>
    </row>
    <row r="59" spans="1:5" hidden="1" x14ac:dyDescent="0.2">
      <c r="A59" t="s">
        <v>180</v>
      </c>
      <c r="B59" t="s">
        <v>43</v>
      </c>
      <c r="C59">
        <v>0.16656013</v>
      </c>
      <c r="D59">
        <v>79.3</v>
      </c>
      <c r="E59">
        <v>7</v>
      </c>
    </row>
    <row r="60" spans="1:5" x14ac:dyDescent="0.2">
      <c r="A60" t="s">
        <v>151</v>
      </c>
      <c r="B60" t="s">
        <v>25</v>
      </c>
      <c r="C60">
        <v>0.11657692</v>
      </c>
      <c r="D60">
        <v>78.099999999999994</v>
      </c>
      <c r="E60">
        <v>7</v>
      </c>
    </row>
    <row r="61" spans="1:5" x14ac:dyDescent="0.2">
      <c r="A61" t="s">
        <v>138</v>
      </c>
      <c r="B61" t="s">
        <v>16</v>
      </c>
      <c r="C61">
        <v>0.11512743</v>
      </c>
      <c r="D61">
        <v>78.599999999999994</v>
      </c>
      <c r="E61">
        <v>7</v>
      </c>
    </row>
    <row r="62" spans="1:5" x14ac:dyDescent="0.2">
      <c r="A62" t="s">
        <v>264</v>
      </c>
      <c r="B62" t="s">
        <v>16</v>
      </c>
      <c r="C62">
        <v>0.47824115</v>
      </c>
      <c r="D62">
        <v>94.7</v>
      </c>
      <c r="E62">
        <v>8</v>
      </c>
    </row>
    <row r="63" spans="1:5" x14ac:dyDescent="0.2">
      <c r="A63" t="s">
        <v>128</v>
      </c>
      <c r="B63" t="s">
        <v>25</v>
      </c>
      <c r="C63">
        <v>0.41224100000000002</v>
      </c>
      <c r="D63">
        <v>94.1</v>
      </c>
      <c r="E63">
        <v>8</v>
      </c>
    </row>
    <row r="64" spans="1:5" hidden="1" x14ac:dyDescent="0.2">
      <c r="A64" t="s">
        <v>85</v>
      </c>
      <c r="B64" t="s">
        <v>28</v>
      </c>
      <c r="C64">
        <v>0.30962187000000002</v>
      </c>
      <c r="D64">
        <v>90</v>
      </c>
      <c r="E64">
        <v>8</v>
      </c>
    </row>
    <row r="65" spans="1:5" x14ac:dyDescent="0.2">
      <c r="A65" t="s">
        <v>763</v>
      </c>
      <c r="B65" t="s">
        <v>135</v>
      </c>
      <c r="C65">
        <v>0.25719150000000002</v>
      </c>
      <c r="D65">
        <v>86.6</v>
      </c>
      <c r="E65">
        <v>8</v>
      </c>
    </row>
    <row r="66" spans="1:5" x14ac:dyDescent="0.2">
      <c r="A66" t="s">
        <v>105</v>
      </c>
      <c r="B66" t="s">
        <v>16</v>
      </c>
      <c r="C66">
        <v>0.24352756</v>
      </c>
      <c r="D66">
        <v>95.5</v>
      </c>
      <c r="E66">
        <v>8</v>
      </c>
    </row>
    <row r="67" spans="1:5" hidden="1" x14ac:dyDescent="0.2">
      <c r="A67" t="s">
        <v>61</v>
      </c>
      <c r="B67" t="s">
        <v>62</v>
      </c>
      <c r="C67">
        <v>0.17824777999999999</v>
      </c>
      <c r="D67">
        <v>94.3</v>
      </c>
      <c r="E67">
        <v>8</v>
      </c>
    </row>
    <row r="68" spans="1:5" hidden="1" x14ac:dyDescent="0.2">
      <c r="A68" t="s">
        <v>1235</v>
      </c>
      <c r="B68" t="s">
        <v>74</v>
      </c>
      <c r="C68">
        <v>0.15538605</v>
      </c>
      <c r="D68">
        <v>88.3</v>
      </c>
      <c r="E68">
        <v>8</v>
      </c>
    </row>
    <row r="69" spans="1:5" x14ac:dyDescent="0.2">
      <c r="A69" t="s">
        <v>227</v>
      </c>
      <c r="B69" t="s">
        <v>25</v>
      </c>
      <c r="C69">
        <v>9.0318084000000007E-2</v>
      </c>
      <c r="D69">
        <v>88.9</v>
      </c>
      <c r="E69">
        <v>8</v>
      </c>
    </row>
    <row r="70" spans="1:5" hidden="1" x14ac:dyDescent="0.2">
      <c r="A70" t="s">
        <v>1373</v>
      </c>
      <c r="B70" t="s">
        <v>19</v>
      </c>
      <c r="C70">
        <v>8.3052054E-2</v>
      </c>
      <c r="D70">
        <v>92.4</v>
      </c>
      <c r="E70">
        <v>8</v>
      </c>
    </row>
    <row r="71" spans="1:5" hidden="1" x14ac:dyDescent="0.2">
      <c r="A71" t="s">
        <v>139</v>
      </c>
      <c r="B71" t="s">
        <v>19</v>
      </c>
      <c r="C71">
        <v>0.86515253999999997</v>
      </c>
      <c r="D71">
        <v>99.5</v>
      </c>
      <c r="E71">
        <v>9</v>
      </c>
    </row>
    <row r="72" spans="1:5" hidden="1" x14ac:dyDescent="0.2">
      <c r="A72" t="s">
        <v>855</v>
      </c>
      <c r="B72" t="s">
        <v>19</v>
      </c>
      <c r="C72">
        <v>0.49920999999999999</v>
      </c>
      <c r="D72">
        <v>106</v>
      </c>
      <c r="E72">
        <v>9</v>
      </c>
    </row>
    <row r="73" spans="1:5" x14ac:dyDescent="0.2">
      <c r="A73" t="s">
        <v>391</v>
      </c>
      <c r="B73" t="s">
        <v>25</v>
      </c>
      <c r="C73">
        <v>0.43693896999999998</v>
      </c>
      <c r="D73">
        <v>104.7</v>
      </c>
      <c r="E73">
        <v>9</v>
      </c>
    </row>
    <row r="74" spans="1:5" x14ac:dyDescent="0.2">
      <c r="A74" t="s">
        <v>272</v>
      </c>
      <c r="B74" t="s">
        <v>25</v>
      </c>
      <c r="C74">
        <v>0.25634119999999999</v>
      </c>
      <c r="D74">
        <v>100.5</v>
      </c>
      <c r="E74">
        <v>9</v>
      </c>
    </row>
    <row r="75" spans="1:5" hidden="1" x14ac:dyDescent="0.2">
      <c r="A75" t="s">
        <v>1119</v>
      </c>
      <c r="B75" t="s">
        <v>28</v>
      </c>
      <c r="C75">
        <v>0.13740563</v>
      </c>
      <c r="D75">
        <v>99</v>
      </c>
      <c r="E75">
        <v>9</v>
      </c>
    </row>
    <row r="76" spans="1:5" hidden="1" x14ac:dyDescent="0.2">
      <c r="A76" t="s">
        <v>156</v>
      </c>
      <c r="B76" t="s">
        <v>78</v>
      </c>
      <c r="C76">
        <v>9.0368500000000004E-2</v>
      </c>
      <c r="D76">
        <v>107</v>
      </c>
      <c r="E76">
        <v>9</v>
      </c>
    </row>
    <row r="77" spans="1:5" hidden="1" x14ac:dyDescent="0.2">
      <c r="A77" t="s">
        <v>109</v>
      </c>
      <c r="B77" t="s">
        <v>74</v>
      </c>
      <c r="C77">
        <v>8.4242806000000003E-2</v>
      </c>
      <c r="D77">
        <v>104.4</v>
      </c>
      <c r="E77">
        <v>9</v>
      </c>
    </row>
    <row r="78" spans="1:5" hidden="1" x14ac:dyDescent="0.2">
      <c r="A78" t="s">
        <v>730</v>
      </c>
      <c r="B78" t="s">
        <v>19</v>
      </c>
      <c r="C78">
        <v>8.1735279999999993E-2</v>
      </c>
      <c r="D78">
        <v>99.7</v>
      </c>
      <c r="E78">
        <v>9</v>
      </c>
    </row>
    <row r="79" spans="1:5" hidden="1" x14ac:dyDescent="0.2">
      <c r="A79" t="s">
        <v>31</v>
      </c>
      <c r="B79" t="s">
        <v>28</v>
      </c>
      <c r="C79">
        <v>0.34113149999999998</v>
      </c>
      <c r="D79">
        <v>119.1</v>
      </c>
      <c r="E79">
        <v>10</v>
      </c>
    </row>
    <row r="80" spans="1:5" hidden="1" x14ac:dyDescent="0.2">
      <c r="A80" t="s">
        <v>249</v>
      </c>
      <c r="B80" t="s">
        <v>82</v>
      </c>
      <c r="C80">
        <v>0.15297317999999999</v>
      </c>
      <c r="D80">
        <v>108.9</v>
      </c>
      <c r="E80">
        <v>10</v>
      </c>
    </row>
    <row r="81" spans="1:5" hidden="1" x14ac:dyDescent="0.2">
      <c r="A81" t="s">
        <v>70</v>
      </c>
      <c r="B81" t="s">
        <v>40</v>
      </c>
      <c r="C81">
        <v>0.10867151999999999</v>
      </c>
      <c r="D81">
        <v>112.3</v>
      </c>
      <c r="E81">
        <v>10</v>
      </c>
    </row>
    <row r="82" spans="1:5" hidden="1" x14ac:dyDescent="0.2">
      <c r="A82" t="s">
        <v>350</v>
      </c>
      <c r="B82" t="s">
        <v>28</v>
      </c>
      <c r="C82">
        <v>0.73369660000000003</v>
      </c>
      <c r="D82">
        <v>128.6</v>
      </c>
      <c r="E82">
        <v>11</v>
      </c>
    </row>
    <row r="83" spans="1:5" x14ac:dyDescent="0.2">
      <c r="A83" t="s">
        <v>300</v>
      </c>
      <c r="B83" t="s">
        <v>25</v>
      </c>
      <c r="C83">
        <v>0.49494832999999999</v>
      </c>
      <c r="D83">
        <v>122.2</v>
      </c>
      <c r="E83">
        <v>11</v>
      </c>
    </row>
    <row r="84" spans="1:5" x14ac:dyDescent="0.2">
      <c r="A84" t="s">
        <v>845</v>
      </c>
      <c r="B84" t="s">
        <v>25</v>
      </c>
      <c r="C84">
        <v>0.23750451</v>
      </c>
      <c r="D84">
        <v>128.6</v>
      </c>
      <c r="E84">
        <v>11</v>
      </c>
    </row>
    <row r="85" spans="1:5" hidden="1" x14ac:dyDescent="0.2">
      <c r="A85" t="s">
        <v>231</v>
      </c>
      <c r="B85" t="s">
        <v>28</v>
      </c>
      <c r="C85">
        <v>0.17540014000000001</v>
      </c>
      <c r="D85">
        <v>132</v>
      </c>
      <c r="E85">
        <v>11</v>
      </c>
    </row>
    <row r="86" spans="1:5" hidden="1" x14ac:dyDescent="0.2">
      <c r="A86" t="s">
        <v>261</v>
      </c>
      <c r="B86" t="s">
        <v>13</v>
      </c>
      <c r="C86">
        <v>0.12139429</v>
      </c>
      <c r="D86">
        <v>128.30000000000001</v>
      </c>
      <c r="E86">
        <v>11</v>
      </c>
    </row>
    <row r="87" spans="1:5" hidden="1" x14ac:dyDescent="0.2">
      <c r="A87" t="s">
        <v>1062</v>
      </c>
      <c r="B87" t="s">
        <v>43</v>
      </c>
      <c r="C87">
        <v>0.50874185999999999</v>
      </c>
      <c r="D87">
        <v>134.80000000000001</v>
      </c>
      <c r="E87">
        <v>12</v>
      </c>
    </row>
    <row r="88" spans="1:5" x14ac:dyDescent="0.2">
      <c r="A88" t="s">
        <v>178</v>
      </c>
      <c r="B88" t="s">
        <v>201</v>
      </c>
      <c r="C88">
        <v>8.7975810000000002E-2</v>
      </c>
      <c r="D88">
        <v>140.19999999999999</v>
      </c>
      <c r="E88">
        <v>12</v>
      </c>
    </row>
    <row r="89" spans="1:5" x14ac:dyDescent="0.2">
      <c r="A89" t="s">
        <v>1375</v>
      </c>
      <c r="B89" t="s">
        <v>25</v>
      </c>
      <c r="C89">
        <v>7.7190320000000007E-2</v>
      </c>
      <c r="D89">
        <v>137.69999999999999</v>
      </c>
      <c r="E89">
        <v>12</v>
      </c>
    </row>
    <row r="90" spans="1:5" hidden="1" x14ac:dyDescent="0.2">
      <c r="A90" t="s">
        <v>188</v>
      </c>
      <c r="B90" t="s">
        <v>19</v>
      </c>
      <c r="C90">
        <v>0.28268072</v>
      </c>
      <c r="D90">
        <v>153.6</v>
      </c>
      <c r="E90">
        <v>13</v>
      </c>
    </row>
    <row r="91" spans="1:5" hidden="1" x14ac:dyDescent="0.2">
      <c r="A91" t="s">
        <v>165</v>
      </c>
      <c r="B91" t="s">
        <v>28</v>
      </c>
      <c r="C91">
        <v>0.2700745</v>
      </c>
      <c r="D91">
        <v>148.1</v>
      </c>
      <c r="E91">
        <v>13</v>
      </c>
    </row>
    <row r="92" spans="1:5" x14ac:dyDescent="0.2">
      <c r="A92" t="s">
        <v>129</v>
      </c>
      <c r="B92" t="s">
        <v>25</v>
      </c>
      <c r="C92">
        <v>0.1603975</v>
      </c>
      <c r="D92">
        <v>147.6</v>
      </c>
      <c r="E92">
        <v>13</v>
      </c>
    </row>
    <row r="93" spans="1:5" hidden="1" x14ac:dyDescent="0.2">
      <c r="A93" t="s">
        <v>118</v>
      </c>
      <c r="B93" t="s">
        <v>74</v>
      </c>
      <c r="C93">
        <v>9.9427150000000006E-2</v>
      </c>
      <c r="D93">
        <v>152.4</v>
      </c>
      <c r="E93">
        <v>13</v>
      </c>
    </row>
    <row r="94" spans="1:5" hidden="1" x14ac:dyDescent="0.2">
      <c r="A94" t="s">
        <v>859</v>
      </c>
      <c r="B94" t="s">
        <v>28</v>
      </c>
      <c r="C94">
        <v>0.30158094000000002</v>
      </c>
      <c r="D94">
        <v>162.6</v>
      </c>
      <c r="E94">
        <v>14</v>
      </c>
    </row>
    <row r="95" spans="1:5" hidden="1" x14ac:dyDescent="0.2">
      <c r="A95" t="s">
        <v>1376</v>
      </c>
      <c r="B95" t="s">
        <v>13</v>
      </c>
      <c r="C95">
        <v>0.29134408000000001</v>
      </c>
      <c r="D95">
        <v>157.9</v>
      </c>
      <c r="E95">
        <v>14</v>
      </c>
    </row>
    <row r="96" spans="1:5" x14ac:dyDescent="0.2">
      <c r="A96" t="s">
        <v>88</v>
      </c>
      <c r="B96" t="s">
        <v>25</v>
      </c>
      <c r="C96">
        <v>0.25618764999999999</v>
      </c>
      <c r="D96">
        <v>161.5</v>
      </c>
      <c r="E96">
        <v>14</v>
      </c>
    </row>
    <row r="97" spans="1:5" x14ac:dyDescent="0.2">
      <c r="A97" t="s">
        <v>804</v>
      </c>
      <c r="B97" t="s">
        <v>25</v>
      </c>
      <c r="C97">
        <v>0.25175953000000001</v>
      </c>
      <c r="D97">
        <v>161.69999999999999</v>
      </c>
      <c r="E97">
        <v>14</v>
      </c>
    </row>
    <row r="98" spans="1:5" hidden="1" x14ac:dyDescent="0.2">
      <c r="A98" t="s">
        <v>94</v>
      </c>
      <c r="B98" t="s">
        <v>87</v>
      </c>
      <c r="C98">
        <v>0.16818379999999999</v>
      </c>
      <c r="D98">
        <v>168</v>
      </c>
      <c r="E98">
        <v>14</v>
      </c>
    </row>
    <row r="99" spans="1:5" hidden="1" x14ac:dyDescent="0.2">
      <c r="A99" t="s">
        <v>378</v>
      </c>
      <c r="B99" t="s">
        <v>74</v>
      </c>
      <c r="C99">
        <v>0.11953981</v>
      </c>
      <c r="D99">
        <v>159</v>
      </c>
      <c r="E99">
        <v>14</v>
      </c>
    </row>
    <row r="100" spans="1:5" hidden="1" x14ac:dyDescent="0.2">
      <c r="A100" t="s">
        <v>1823</v>
      </c>
      <c r="B100" t="s">
        <v>28</v>
      </c>
      <c r="C100">
        <v>0.65359160000000005</v>
      </c>
      <c r="D100">
        <v>175.9</v>
      </c>
      <c r="E100">
        <v>15</v>
      </c>
    </row>
    <row r="101" spans="1:5" hidden="1" x14ac:dyDescent="0.2">
      <c r="A101" t="s">
        <v>63</v>
      </c>
      <c r="B101" t="s">
        <v>28</v>
      </c>
      <c r="C101">
        <v>0.65281579999999995</v>
      </c>
      <c r="D101">
        <v>174.7</v>
      </c>
      <c r="E101">
        <v>15</v>
      </c>
    </row>
    <row r="102" spans="1:5" hidden="1" x14ac:dyDescent="0.2">
      <c r="A102" t="s">
        <v>372</v>
      </c>
      <c r="B102" t="s">
        <v>28</v>
      </c>
      <c r="C102">
        <v>0.33580303</v>
      </c>
      <c r="D102">
        <v>169.6</v>
      </c>
      <c r="E102">
        <v>15</v>
      </c>
    </row>
    <row r="103" spans="1:5" x14ac:dyDescent="0.2">
      <c r="A103" t="s">
        <v>723</v>
      </c>
      <c r="B103" t="s">
        <v>16</v>
      </c>
      <c r="C103">
        <v>0.29097086</v>
      </c>
      <c r="D103">
        <v>174.1</v>
      </c>
      <c r="E103">
        <v>15</v>
      </c>
    </row>
    <row r="104" spans="1:5" hidden="1" x14ac:dyDescent="0.2">
      <c r="A104" t="s">
        <v>246</v>
      </c>
      <c r="B104" t="s">
        <v>82</v>
      </c>
      <c r="C104">
        <v>0.22754455000000001</v>
      </c>
      <c r="D104">
        <v>174.5</v>
      </c>
      <c r="E104">
        <v>15</v>
      </c>
    </row>
    <row r="105" spans="1:5" hidden="1" x14ac:dyDescent="0.2">
      <c r="A105" t="s">
        <v>784</v>
      </c>
      <c r="B105" t="s">
        <v>78</v>
      </c>
      <c r="C105">
        <v>0.13100329999999999</v>
      </c>
      <c r="D105">
        <v>169.3</v>
      </c>
      <c r="E105">
        <v>15</v>
      </c>
    </row>
    <row r="106" spans="1:5" x14ac:dyDescent="0.2">
      <c r="A106" t="s">
        <v>137</v>
      </c>
      <c r="B106" t="s">
        <v>152</v>
      </c>
      <c r="C106">
        <v>0.1292054</v>
      </c>
      <c r="D106">
        <v>179.9</v>
      </c>
      <c r="E106">
        <v>15</v>
      </c>
    </row>
    <row r="107" spans="1:5" hidden="1" x14ac:dyDescent="0.2">
      <c r="A107" t="s">
        <v>462</v>
      </c>
      <c r="B107" t="s">
        <v>87</v>
      </c>
      <c r="C107">
        <v>0.117184415</v>
      </c>
      <c r="D107">
        <v>171.9</v>
      </c>
      <c r="E107">
        <v>15</v>
      </c>
    </row>
    <row r="108" spans="1:5" hidden="1" x14ac:dyDescent="0.2">
      <c r="A108" t="s">
        <v>820</v>
      </c>
      <c r="B108" t="s">
        <v>82</v>
      </c>
      <c r="C108">
        <v>0.50485957000000004</v>
      </c>
      <c r="D108">
        <v>190.7</v>
      </c>
      <c r="E108">
        <v>16</v>
      </c>
    </row>
    <row r="109" spans="1:5" hidden="1" x14ac:dyDescent="0.2">
      <c r="A109" t="s">
        <v>291</v>
      </c>
      <c r="B109" t="s">
        <v>78</v>
      </c>
      <c r="C109">
        <v>0.36483404000000003</v>
      </c>
      <c r="D109">
        <v>185.1</v>
      </c>
      <c r="E109">
        <v>16</v>
      </c>
    </row>
    <row r="110" spans="1:5" hidden="1" x14ac:dyDescent="0.2">
      <c r="A110" t="s">
        <v>559</v>
      </c>
      <c r="B110" t="s">
        <v>28</v>
      </c>
      <c r="C110">
        <v>0.28205168000000003</v>
      </c>
      <c r="D110">
        <v>181.9</v>
      </c>
      <c r="E110">
        <v>16</v>
      </c>
    </row>
    <row r="111" spans="1:5" hidden="1" x14ac:dyDescent="0.2">
      <c r="A111" t="s">
        <v>220</v>
      </c>
      <c r="B111" t="s">
        <v>78</v>
      </c>
      <c r="C111">
        <v>0.14214477</v>
      </c>
      <c r="D111">
        <v>185.2</v>
      </c>
      <c r="E111">
        <v>16</v>
      </c>
    </row>
    <row r="112" spans="1:5" hidden="1" x14ac:dyDescent="0.2">
      <c r="A112" t="s">
        <v>1116</v>
      </c>
      <c r="B112" t="s">
        <v>78</v>
      </c>
      <c r="C112">
        <v>9.7917870000000004E-2</v>
      </c>
      <c r="D112">
        <v>183.2</v>
      </c>
      <c r="E112">
        <v>16</v>
      </c>
    </row>
    <row r="113" spans="1:5" x14ac:dyDescent="0.2">
      <c r="A113" t="s">
        <v>79</v>
      </c>
      <c r="B113" t="s">
        <v>25</v>
      </c>
      <c r="C113">
        <v>9.7324190000000005E-2</v>
      </c>
      <c r="D113">
        <v>189.8</v>
      </c>
      <c r="E113">
        <v>16</v>
      </c>
    </row>
    <row r="114" spans="1:5" x14ac:dyDescent="0.2">
      <c r="A114" t="s">
        <v>106</v>
      </c>
      <c r="B114" t="s">
        <v>25</v>
      </c>
      <c r="C114">
        <v>9.4760129999999998E-2</v>
      </c>
      <c r="D114">
        <v>189.5</v>
      </c>
      <c r="E114">
        <v>16</v>
      </c>
    </row>
    <row r="115" spans="1:5" x14ac:dyDescent="0.2">
      <c r="A115" t="s">
        <v>1243</v>
      </c>
      <c r="B115" t="s">
        <v>25</v>
      </c>
      <c r="C115">
        <v>0.75545996000000004</v>
      </c>
      <c r="D115">
        <v>198.3</v>
      </c>
      <c r="E115">
        <v>17</v>
      </c>
    </row>
    <row r="116" spans="1:5" hidden="1" x14ac:dyDescent="0.2">
      <c r="A116" t="s">
        <v>258</v>
      </c>
      <c r="B116" t="s">
        <v>87</v>
      </c>
      <c r="C116">
        <v>0.59291744000000002</v>
      </c>
      <c r="D116">
        <v>201.2</v>
      </c>
      <c r="E116">
        <v>17</v>
      </c>
    </row>
    <row r="117" spans="1:5" hidden="1" x14ac:dyDescent="0.2">
      <c r="A117" t="s">
        <v>292</v>
      </c>
      <c r="B117" t="s">
        <v>28</v>
      </c>
      <c r="C117">
        <v>0.37231350000000002</v>
      </c>
      <c r="D117">
        <v>199.5</v>
      </c>
      <c r="E117">
        <v>17</v>
      </c>
    </row>
    <row r="118" spans="1:5" hidden="1" x14ac:dyDescent="0.2">
      <c r="A118" t="s">
        <v>1825</v>
      </c>
      <c r="B118" t="s">
        <v>28</v>
      </c>
      <c r="C118">
        <v>0.28649574999999999</v>
      </c>
      <c r="D118">
        <v>192.4</v>
      </c>
      <c r="E118">
        <v>17</v>
      </c>
    </row>
    <row r="119" spans="1:5" hidden="1" x14ac:dyDescent="0.2">
      <c r="A119" t="s">
        <v>1416</v>
      </c>
      <c r="B119" t="s">
        <v>28</v>
      </c>
      <c r="C119">
        <v>0.25958872</v>
      </c>
      <c r="D119">
        <v>193</v>
      </c>
      <c r="E119">
        <v>17</v>
      </c>
    </row>
    <row r="120" spans="1:5" hidden="1" x14ac:dyDescent="0.2">
      <c r="A120" t="s">
        <v>1417</v>
      </c>
      <c r="B120" t="s">
        <v>28</v>
      </c>
      <c r="C120">
        <v>0.60481995</v>
      </c>
      <c r="D120">
        <v>205.6</v>
      </c>
      <c r="E120">
        <v>18</v>
      </c>
    </row>
    <row r="121" spans="1:5" x14ac:dyDescent="0.2">
      <c r="A121" t="s">
        <v>773</v>
      </c>
      <c r="B121" t="s">
        <v>84</v>
      </c>
      <c r="C121">
        <v>0.36898293999999998</v>
      </c>
      <c r="D121">
        <v>206.2</v>
      </c>
      <c r="E121">
        <v>18</v>
      </c>
    </row>
    <row r="122" spans="1:5" hidden="1" x14ac:dyDescent="0.2">
      <c r="A122" t="s">
        <v>113</v>
      </c>
      <c r="B122" t="s">
        <v>19</v>
      </c>
      <c r="C122">
        <v>0.26593715000000001</v>
      </c>
      <c r="D122">
        <v>205.1</v>
      </c>
      <c r="E122">
        <v>18</v>
      </c>
    </row>
    <row r="123" spans="1:5" x14ac:dyDescent="0.2">
      <c r="A123" t="s">
        <v>1244</v>
      </c>
      <c r="B123" t="s">
        <v>25</v>
      </c>
      <c r="C123">
        <v>0.20979042000000001</v>
      </c>
      <c r="D123">
        <v>209.4</v>
      </c>
      <c r="E123">
        <v>18</v>
      </c>
    </row>
    <row r="124" spans="1:5" x14ac:dyDescent="0.2">
      <c r="A124" t="s">
        <v>289</v>
      </c>
      <c r="B124" t="s">
        <v>25</v>
      </c>
      <c r="C124">
        <v>0.14871839000000001</v>
      </c>
      <c r="D124">
        <v>208.2</v>
      </c>
      <c r="E124">
        <v>18</v>
      </c>
    </row>
    <row r="125" spans="1:5" hidden="1" x14ac:dyDescent="0.2">
      <c r="A125" t="s">
        <v>221</v>
      </c>
      <c r="B125" t="s">
        <v>74</v>
      </c>
      <c r="C125">
        <v>9.6724435999999997E-2</v>
      </c>
      <c r="D125">
        <v>215.8</v>
      </c>
      <c r="E125">
        <v>18</v>
      </c>
    </row>
    <row r="126" spans="1:5" hidden="1" x14ac:dyDescent="0.2">
      <c r="A126" t="s">
        <v>170</v>
      </c>
      <c r="B126" t="s">
        <v>82</v>
      </c>
      <c r="C126">
        <v>7.5464055000000002E-2</v>
      </c>
      <c r="D126">
        <v>205.2</v>
      </c>
      <c r="E126">
        <v>18</v>
      </c>
    </row>
    <row r="127" spans="1:5" x14ac:dyDescent="0.2">
      <c r="A127" t="s">
        <v>370</v>
      </c>
      <c r="B127" t="s">
        <v>25</v>
      </c>
      <c r="C127">
        <v>7.5139609999999996E-2</v>
      </c>
      <c r="D127">
        <v>211.5</v>
      </c>
      <c r="E127">
        <v>18</v>
      </c>
    </row>
    <row r="128" spans="1:5" x14ac:dyDescent="0.2">
      <c r="A128" t="s">
        <v>1826</v>
      </c>
      <c r="B128" t="s">
        <v>25</v>
      </c>
      <c r="C128">
        <v>0.39798107999999999</v>
      </c>
      <c r="D128">
        <v>220.8</v>
      </c>
      <c r="E128">
        <v>19</v>
      </c>
    </row>
    <row r="129" spans="1:5" hidden="1" x14ac:dyDescent="0.2">
      <c r="A129" t="s">
        <v>197</v>
      </c>
      <c r="B129" t="s">
        <v>28</v>
      </c>
      <c r="C129">
        <v>0.21010176999999999</v>
      </c>
      <c r="D129">
        <v>226</v>
      </c>
      <c r="E129">
        <v>19</v>
      </c>
    </row>
    <row r="130" spans="1:5" x14ac:dyDescent="0.2">
      <c r="A130" t="s">
        <v>278</v>
      </c>
      <c r="B130" t="s">
        <v>25</v>
      </c>
      <c r="C130">
        <v>0.19392271</v>
      </c>
      <c r="D130">
        <v>219.2</v>
      </c>
      <c r="E130">
        <v>19</v>
      </c>
    </row>
    <row r="131" spans="1:5" hidden="1" x14ac:dyDescent="0.2">
      <c r="A131" t="s">
        <v>536</v>
      </c>
      <c r="B131" t="s">
        <v>53</v>
      </c>
      <c r="C131">
        <v>0.14745512999999999</v>
      </c>
      <c r="D131">
        <v>217.8</v>
      </c>
      <c r="E131">
        <v>19</v>
      </c>
    </row>
    <row r="132" spans="1:5" x14ac:dyDescent="0.2">
      <c r="A132" t="s">
        <v>194</v>
      </c>
      <c r="B132" t="s">
        <v>25</v>
      </c>
      <c r="C132">
        <v>0.11483802999999999</v>
      </c>
      <c r="D132">
        <v>222</v>
      </c>
      <c r="E132">
        <v>19</v>
      </c>
    </row>
    <row r="133" spans="1:5" x14ac:dyDescent="0.2">
      <c r="A133" t="s">
        <v>1830</v>
      </c>
      <c r="B133" t="s">
        <v>25</v>
      </c>
      <c r="C133">
        <v>8.2822750000000001E-2</v>
      </c>
      <c r="D133">
        <v>225.1</v>
      </c>
      <c r="E133">
        <v>19</v>
      </c>
    </row>
    <row r="134" spans="1:5" hidden="1" x14ac:dyDescent="0.2">
      <c r="A134" t="s">
        <v>376</v>
      </c>
      <c r="B134" t="s">
        <v>28</v>
      </c>
      <c r="C134">
        <v>0.22314149</v>
      </c>
      <c r="D134">
        <v>233.3</v>
      </c>
      <c r="E134">
        <v>20</v>
      </c>
    </row>
    <row r="135" spans="1:5" x14ac:dyDescent="0.2">
      <c r="A135" t="s">
        <v>293</v>
      </c>
      <c r="B135" t="s">
        <v>16</v>
      </c>
      <c r="C135">
        <v>0.57851666000000002</v>
      </c>
      <c r="D135">
        <v>251.9</v>
      </c>
      <c r="E135">
        <v>21</v>
      </c>
    </row>
    <row r="136" spans="1:5" hidden="1" x14ac:dyDescent="0.2">
      <c r="A136" t="s">
        <v>149</v>
      </c>
      <c r="B136" t="s">
        <v>78</v>
      </c>
      <c r="C136">
        <v>0.34281904000000002</v>
      </c>
      <c r="D136">
        <v>251</v>
      </c>
      <c r="E136">
        <v>21</v>
      </c>
    </row>
    <row r="137" spans="1:5" hidden="1" x14ac:dyDescent="0.2">
      <c r="A137" t="s">
        <v>387</v>
      </c>
      <c r="B137" t="s">
        <v>28</v>
      </c>
      <c r="C137">
        <v>0.20669362999999999</v>
      </c>
      <c r="D137">
        <v>242.2</v>
      </c>
      <c r="E137">
        <v>21</v>
      </c>
    </row>
    <row r="138" spans="1:5" hidden="1" x14ac:dyDescent="0.2">
      <c r="A138" t="s">
        <v>1377</v>
      </c>
      <c r="B138" t="s">
        <v>78</v>
      </c>
      <c r="C138">
        <v>7.8541756000000004E-2</v>
      </c>
      <c r="D138">
        <v>240.8</v>
      </c>
      <c r="E138">
        <v>21</v>
      </c>
    </row>
    <row r="139" spans="1:5" x14ac:dyDescent="0.2">
      <c r="A139" t="s">
        <v>437</v>
      </c>
      <c r="B139" t="s">
        <v>25</v>
      </c>
      <c r="C139">
        <v>0.66447800000000001</v>
      </c>
      <c r="D139">
        <v>252.6</v>
      </c>
      <c r="E139">
        <v>22</v>
      </c>
    </row>
    <row r="140" spans="1:5" hidden="1" x14ac:dyDescent="0.2">
      <c r="A140" t="s">
        <v>168</v>
      </c>
      <c r="B140" t="s">
        <v>82</v>
      </c>
      <c r="C140">
        <v>0.22378899999999999</v>
      </c>
      <c r="D140">
        <v>255.2</v>
      </c>
      <c r="E140">
        <v>22</v>
      </c>
    </row>
    <row r="141" spans="1:5" hidden="1" x14ac:dyDescent="0.2">
      <c r="A141" t="s">
        <v>1422</v>
      </c>
      <c r="B141" t="s">
        <v>28</v>
      </c>
      <c r="C141">
        <v>0.19448388</v>
      </c>
      <c r="D141">
        <v>255.5</v>
      </c>
      <c r="E141">
        <v>22</v>
      </c>
    </row>
    <row r="142" spans="1:5" hidden="1" x14ac:dyDescent="0.2">
      <c r="A142" t="s">
        <v>1421</v>
      </c>
      <c r="B142" t="s">
        <v>28</v>
      </c>
      <c r="C142">
        <v>0.14698154999999999</v>
      </c>
      <c r="D142">
        <v>253.4</v>
      </c>
      <c r="E142">
        <v>22</v>
      </c>
    </row>
    <row r="143" spans="1:5" hidden="1" x14ac:dyDescent="0.2">
      <c r="A143" t="s">
        <v>758</v>
      </c>
      <c r="B143" t="s">
        <v>74</v>
      </c>
      <c r="C143">
        <v>9.4760129999999998E-2</v>
      </c>
      <c r="D143">
        <v>255.7</v>
      </c>
      <c r="E143">
        <v>22</v>
      </c>
    </row>
    <row r="144" spans="1:5" hidden="1" x14ac:dyDescent="0.2">
      <c r="A144" t="s">
        <v>427</v>
      </c>
      <c r="B144" t="s">
        <v>87</v>
      </c>
      <c r="C144">
        <v>8.7966890000000006E-2</v>
      </c>
      <c r="D144">
        <v>253</v>
      </c>
      <c r="E144">
        <v>22</v>
      </c>
    </row>
    <row r="145" spans="1:5" hidden="1" x14ac:dyDescent="0.2">
      <c r="A145" t="s">
        <v>1426</v>
      </c>
      <c r="B145" t="s">
        <v>28</v>
      </c>
      <c r="C145">
        <v>0.10356321</v>
      </c>
      <c r="D145">
        <v>266.7</v>
      </c>
      <c r="E145">
        <v>23</v>
      </c>
    </row>
    <row r="146" spans="1:5" hidden="1" x14ac:dyDescent="0.2">
      <c r="A146" t="s">
        <v>142</v>
      </c>
      <c r="B146" t="s">
        <v>87</v>
      </c>
      <c r="C146">
        <v>7.8541756000000004E-2</v>
      </c>
      <c r="D146">
        <v>273</v>
      </c>
      <c r="E146">
        <v>23</v>
      </c>
    </row>
    <row r="147" spans="1:5" hidden="1" x14ac:dyDescent="0.2">
      <c r="A147" t="s">
        <v>690</v>
      </c>
      <c r="B147" t="s">
        <v>28</v>
      </c>
      <c r="C147">
        <v>0.15414311</v>
      </c>
      <c r="D147">
        <v>279.2</v>
      </c>
      <c r="E147">
        <v>24</v>
      </c>
    </row>
    <row r="148" spans="1:5" x14ac:dyDescent="0.2">
      <c r="A148" t="s">
        <v>812</v>
      </c>
      <c r="B148" t="s">
        <v>25</v>
      </c>
      <c r="C148">
        <v>9.9020769999999994E-2</v>
      </c>
      <c r="D148">
        <v>282.5</v>
      </c>
      <c r="E148">
        <v>24</v>
      </c>
    </row>
    <row r="149" spans="1:5" hidden="1" x14ac:dyDescent="0.2">
      <c r="A149" t="s">
        <v>281</v>
      </c>
      <c r="B149" t="s">
        <v>254</v>
      </c>
      <c r="C149">
        <v>9.5330133999999997E-2</v>
      </c>
      <c r="D149">
        <v>276.10000000000002</v>
      </c>
      <c r="E149">
        <v>24</v>
      </c>
    </row>
    <row r="150" spans="1:5" hidden="1" x14ac:dyDescent="0.2">
      <c r="A150" t="s">
        <v>1247</v>
      </c>
      <c r="B150" t="s">
        <v>87</v>
      </c>
      <c r="C150">
        <v>0.11338504000000001</v>
      </c>
      <c r="D150">
        <v>294</v>
      </c>
      <c r="E150">
        <v>25</v>
      </c>
    </row>
    <row r="151" spans="1:5" hidden="1" x14ac:dyDescent="0.2">
      <c r="A151" t="s">
        <v>839</v>
      </c>
      <c r="B151" t="s">
        <v>206</v>
      </c>
      <c r="C151">
        <v>0.11247174</v>
      </c>
      <c r="D151">
        <v>291.7</v>
      </c>
      <c r="E151">
        <v>25</v>
      </c>
    </row>
    <row r="152" spans="1:5" x14ac:dyDescent="0.2">
      <c r="A152" t="s">
        <v>273</v>
      </c>
      <c r="B152" t="s">
        <v>152</v>
      </c>
      <c r="C152">
        <v>0.10705308600000001</v>
      </c>
      <c r="D152">
        <v>296.2</v>
      </c>
      <c r="E152">
        <v>25</v>
      </c>
    </row>
    <row r="153" spans="1:5" x14ac:dyDescent="0.2">
      <c r="A153" t="s">
        <v>1828</v>
      </c>
      <c r="B153" t="s">
        <v>25</v>
      </c>
      <c r="C153">
        <v>0.18441376000000001</v>
      </c>
      <c r="D153">
        <v>322</v>
      </c>
      <c r="E153">
        <v>27</v>
      </c>
    </row>
    <row r="154" spans="1:5" hidden="1" x14ac:dyDescent="0.2">
      <c r="A154" t="s">
        <v>881</v>
      </c>
      <c r="B154" t="s">
        <v>719</v>
      </c>
      <c r="C154">
        <v>0.14760537000000001</v>
      </c>
      <c r="D154">
        <v>319.39999999999998</v>
      </c>
      <c r="E154">
        <v>27</v>
      </c>
    </row>
    <row r="155" spans="1:5" x14ac:dyDescent="0.2">
      <c r="A155" t="s">
        <v>181</v>
      </c>
      <c r="B155" t="s">
        <v>25</v>
      </c>
      <c r="C155">
        <v>0.14217930000000001</v>
      </c>
      <c r="D155">
        <v>314.3</v>
      </c>
      <c r="E155">
        <v>27</v>
      </c>
    </row>
    <row r="156" spans="1:5" hidden="1" x14ac:dyDescent="0.2">
      <c r="A156" t="s">
        <v>312</v>
      </c>
      <c r="B156" t="s">
        <v>82</v>
      </c>
      <c r="C156">
        <v>0.26862029999999998</v>
      </c>
      <c r="D156">
        <v>334.1</v>
      </c>
      <c r="E156">
        <v>28</v>
      </c>
    </row>
    <row r="157" spans="1:5" hidden="1" x14ac:dyDescent="0.2">
      <c r="A157" t="s">
        <v>321</v>
      </c>
      <c r="B157" t="s">
        <v>280</v>
      </c>
      <c r="C157">
        <v>0.26665022999999999</v>
      </c>
      <c r="D157">
        <v>333.2</v>
      </c>
      <c r="E157">
        <v>28</v>
      </c>
    </row>
    <row r="158" spans="1:5" hidden="1" x14ac:dyDescent="0.2">
      <c r="A158" t="s">
        <v>1822</v>
      </c>
      <c r="B158" t="s">
        <v>28</v>
      </c>
      <c r="C158">
        <v>0.19081157000000001</v>
      </c>
      <c r="D158">
        <v>371.4</v>
      </c>
      <c r="E158">
        <v>31</v>
      </c>
    </row>
    <row r="159" spans="1:5" x14ac:dyDescent="0.2">
      <c r="A159" t="s">
        <v>824</v>
      </c>
      <c r="B159" t="s">
        <v>25</v>
      </c>
      <c r="C159">
        <v>0.14264344000000001</v>
      </c>
      <c r="D159">
        <v>371</v>
      </c>
      <c r="E159">
        <v>31</v>
      </c>
    </row>
    <row r="160" spans="1:5" hidden="1" x14ac:dyDescent="0.2">
      <c r="A160" t="s">
        <v>192</v>
      </c>
      <c r="B160" t="s">
        <v>22</v>
      </c>
      <c r="C160">
        <v>7.6322846E-2</v>
      </c>
      <c r="D160">
        <v>414.2</v>
      </c>
      <c r="E160">
        <v>35</v>
      </c>
    </row>
    <row r="161" spans="1:5" hidden="1" x14ac:dyDescent="0.2">
      <c r="A161" t="s">
        <v>186</v>
      </c>
      <c r="B161" t="s">
        <v>28</v>
      </c>
      <c r="C161">
        <v>0.52986069999999996</v>
      </c>
      <c r="D161">
        <v>421.6</v>
      </c>
      <c r="E161">
        <v>36</v>
      </c>
    </row>
    <row r="162" spans="1:5" hidden="1" x14ac:dyDescent="0.2">
      <c r="A162" t="s">
        <v>240</v>
      </c>
      <c r="B162" t="s">
        <v>28</v>
      </c>
      <c r="C162">
        <v>0.12240210999999999</v>
      </c>
      <c r="D162">
        <v>482.6</v>
      </c>
      <c r="E162">
        <v>41</v>
      </c>
    </row>
    <row r="163" spans="1:5" x14ac:dyDescent="0.2">
      <c r="A163" t="s">
        <v>985</v>
      </c>
      <c r="B163" t="s">
        <v>25</v>
      </c>
      <c r="C163">
        <v>8.5179829999999998E-2</v>
      </c>
      <c r="D163">
        <v>524.9</v>
      </c>
      <c r="E163">
        <v>44</v>
      </c>
    </row>
    <row r="164" spans="1:5" x14ac:dyDescent="0.2">
      <c r="A164" t="s">
        <v>798</v>
      </c>
      <c r="B164" t="s">
        <v>25</v>
      </c>
      <c r="C164">
        <v>0.25581482</v>
      </c>
      <c r="D164">
        <v>541.9</v>
      </c>
      <c r="E164">
        <v>46</v>
      </c>
    </row>
    <row r="165" spans="1:5" hidden="1" x14ac:dyDescent="0.2">
      <c r="A165" t="s">
        <v>410</v>
      </c>
      <c r="B165" t="s">
        <v>28</v>
      </c>
      <c r="C165">
        <v>0.15399467999999999</v>
      </c>
      <c r="D165">
        <v>546.79999999999995</v>
      </c>
      <c r="E165">
        <v>46</v>
      </c>
    </row>
    <row r="166" spans="1:5" x14ac:dyDescent="0.2">
      <c r="A166" t="s">
        <v>1378</v>
      </c>
      <c r="B166" t="s">
        <v>25</v>
      </c>
      <c r="C166">
        <v>0.16448499999999999</v>
      </c>
      <c r="D166">
        <v>555</v>
      </c>
      <c r="E166">
        <v>47</v>
      </c>
    </row>
    <row r="167" spans="1:5" hidden="1" x14ac:dyDescent="0.2">
      <c r="A167" t="s">
        <v>407</v>
      </c>
      <c r="B167" t="s">
        <v>74</v>
      </c>
      <c r="C167">
        <v>0.13844194000000001</v>
      </c>
      <c r="D167">
        <v>611.70000000000005</v>
      </c>
      <c r="E167">
        <v>51</v>
      </c>
    </row>
    <row r="168" spans="1:5" hidden="1" x14ac:dyDescent="0.2">
      <c r="A168" t="s">
        <v>375</v>
      </c>
      <c r="B168" t="s">
        <v>74</v>
      </c>
      <c r="C168">
        <v>9.7046820000000006E-2</v>
      </c>
      <c r="D168">
        <v>633.9</v>
      </c>
      <c r="E168">
        <v>53</v>
      </c>
    </row>
    <row r="169" spans="1:5" hidden="1" x14ac:dyDescent="0.2">
      <c r="A169" t="s">
        <v>286</v>
      </c>
      <c r="B169" t="s">
        <v>43</v>
      </c>
      <c r="C169">
        <v>0.58078927000000002</v>
      </c>
      <c r="D169">
        <v>674.8</v>
      </c>
      <c r="E169">
        <v>57</v>
      </c>
    </row>
    <row r="170" spans="1:5" x14ac:dyDescent="0.2">
      <c r="A170" t="s">
        <v>582</v>
      </c>
      <c r="B170" t="s">
        <v>16</v>
      </c>
      <c r="C170">
        <v>9.9427150000000006E-2</v>
      </c>
      <c r="D170">
        <v>675.5</v>
      </c>
      <c r="E170">
        <v>57</v>
      </c>
    </row>
    <row r="171" spans="1:5" x14ac:dyDescent="0.2">
      <c r="A171" t="s">
        <v>827</v>
      </c>
      <c r="B171" t="s">
        <v>479</v>
      </c>
      <c r="C171">
        <v>0.15321723000000001</v>
      </c>
      <c r="D171">
        <v>707.5</v>
      </c>
      <c r="E171">
        <v>59</v>
      </c>
    </row>
    <row r="172" spans="1:5" hidden="1" x14ac:dyDescent="0.2">
      <c r="A172" t="s">
        <v>611</v>
      </c>
      <c r="B172" t="s">
        <v>236</v>
      </c>
      <c r="C172">
        <v>0.88467130000000005</v>
      </c>
      <c r="D172">
        <v>719.2</v>
      </c>
      <c r="E172">
        <v>60</v>
      </c>
    </row>
    <row r="173" spans="1:5" hidden="1" x14ac:dyDescent="0.2">
      <c r="A173" t="s">
        <v>643</v>
      </c>
      <c r="B173" t="s">
        <v>28</v>
      </c>
      <c r="C173">
        <v>0.14428885</v>
      </c>
      <c r="D173">
        <v>708.9</v>
      </c>
      <c r="E173">
        <v>60</v>
      </c>
    </row>
    <row r="174" spans="1:5" x14ac:dyDescent="0.2">
      <c r="A174" t="s">
        <v>449</v>
      </c>
      <c r="B174" t="s">
        <v>25</v>
      </c>
      <c r="C174">
        <v>0.11637093</v>
      </c>
      <c r="D174">
        <v>716.3</v>
      </c>
      <c r="E174">
        <v>60</v>
      </c>
    </row>
    <row r="175" spans="1:5" x14ac:dyDescent="0.2">
      <c r="A175" t="s">
        <v>177</v>
      </c>
      <c r="B175" t="s">
        <v>25</v>
      </c>
      <c r="C175">
        <v>0.23108897</v>
      </c>
      <c r="D175">
        <v>729.2</v>
      </c>
      <c r="E175">
        <v>61</v>
      </c>
    </row>
    <row r="176" spans="1:5" hidden="1" x14ac:dyDescent="0.2">
      <c r="A176" t="s">
        <v>1261</v>
      </c>
      <c r="B176" t="s">
        <v>87</v>
      </c>
      <c r="C176">
        <v>8.7595010000000001E-2</v>
      </c>
      <c r="D176">
        <v>729.8</v>
      </c>
      <c r="E176">
        <v>61</v>
      </c>
    </row>
    <row r="177" spans="1:5" hidden="1" x14ac:dyDescent="0.2">
      <c r="A177" t="s">
        <v>578</v>
      </c>
      <c r="B177" t="s">
        <v>1254</v>
      </c>
      <c r="C177">
        <v>0.48686230000000003</v>
      </c>
      <c r="D177">
        <v>740.2</v>
      </c>
      <c r="E177">
        <v>62</v>
      </c>
    </row>
    <row r="178" spans="1:5" x14ac:dyDescent="0.2">
      <c r="A178" t="s">
        <v>577</v>
      </c>
      <c r="B178" t="s">
        <v>16</v>
      </c>
      <c r="C178">
        <v>0.18759397</v>
      </c>
      <c r="D178">
        <v>740.6</v>
      </c>
      <c r="E178">
        <v>62</v>
      </c>
    </row>
    <row r="179" spans="1:5" hidden="1" x14ac:dyDescent="0.2">
      <c r="A179" t="s">
        <v>226</v>
      </c>
      <c r="B179" t="s">
        <v>82</v>
      </c>
      <c r="C179">
        <v>0.16656013</v>
      </c>
      <c r="D179">
        <v>740.4</v>
      </c>
      <c r="E179">
        <v>62</v>
      </c>
    </row>
    <row r="180" spans="1:5" hidden="1" x14ac:dyDescent="0.2">
      <c r="A180" t="s">
        <v>326</v>
      </c>
      <c r="B180" t="s">
        <v>19</v>
      </c>
      <c r="C180">
        <v>7.5139609999999996E-2</v>
      </c>
      <c r="D180">
        <v>740.6</v>
      </c>
      <c r="E180">
        <v>62</v>
      </c>
    </row>
    <row r="181" spans="1:5" hidden="1" x14ac:dyDescent="0.2">
      <c r="A181" t="s">
        <v>408</v>
      </c>
      <c r="B181" t="s">
        <v>28</v>
      </c>
      <c r="C181">
        <v>0.25265900000000002</v>
      </c>
      <c r="D181">
        <v>999</v>
      </c>
      <c r="E181">
        <f>_xlfn.CEILING.MATH(D181/12)</f>
        <v>84</v>
      </c>
    </row>
    <row r="182" spans="1:5" x14ac:dyDescent="0.2">
      <c r="A182" t="s">
        <v>503</v>
      </c>
      <c r="B182" t="s">
        <v>25</v>
      </c>
      <c r="C182">
        <v>0.24579903</v>
      </c>
      <c r="D182">
        <v>999</v>
      </c>
      <c r="E182">
        <f>_xlfn.CEILING.MATH(D182/12)</f>
        <v>84</v>
      </c>
    </row>
    <row r="183" spans="1:5" x14ac:dyDescent="0.2">
      <c r="A183" t="s">
        <v>1827</v>
      </c>
      <c r="B183" t="s">
        <v>16</v>
      </c>
      <c r="C183">
        <v>0.22174667000000001</v>
      </c>
      <c r="D183">
        <v>999</v>
      </c>
      <c r="E183">
        <f>_xlfn.CEILING.MATH(D183/12)</f>
        <v>84</v>
      </c>
    </row>
    <row r="184" spans="1:5" x14ac:dyDescent="0.2">
      <c r="A184" t="s">
        <v>928</v>
      </c>
      <c r="B184" t="s">
        <v>25</v>
      </c>
      <c r="C184">
        <v>0.19491281999999999</v>
      </c>
      <c r="D184">
        <v>999</v>
      </c>
      <c r="E184">
        <f>_xlfn.CEILING.MATH(D184/12)</f>
        <v>84</v>
      </c>
    </row>
    <row r="185" spans="1:5" hidden="1" x14ac:dyDescent="0.2">
      <c r="A185" t="s">
        <v>342</v>
      </c>
      <c r="B185" t="s">
        <v>28</v>
      </c>
      <c r="C185">
        <v>0.16272049</v>
      </c>
      <c r="D185">
        <v>999</v>
      </c>
      <c r="E185">
        <f>_xlfn.CEILING.MATH(D185/12)</f>
        <v>84</v>
      </c>
    </row>
    <row r="186" spans="1:5" x14ac:dyDescent="0.2">
      <c r="A186" t="s">
        <v>456</v>
      </c>
      <c r="B186" t="s">
        <v>25</v>
      </c>
      <c r="C186">
        <v>0.1259256</v>
      </c>
      <c r="D186">
        <v>999</v>
      </c>
      <c r="E186">
        <f>_xlfn.CEILING.MATH(D186/12)</f>
        <v>84</v>
      </c>
    </row>
    <row r="187" spans="1:5" hidden="1" x14ac:dyDescent="0.2">
      <c r="A187" t="s">
        <v>1464</v>
      </c>
      <c r="B187" t="s">
        <v>28</v>
      </c>
      <c r="C187">
        <v>0.10947340999999999</v>
      </c>
      <c r="D187">
        <v>999</v>
      </c>
      <c r="E187">
        <f>_xlfn.CEILING.MATH(D187/12)</f>
        <v>84</v>
      </c>
    </row>
    <row r="188" spans="1:5" x14ac:dyDescent="0.2">
      <c r="A188" t="s">
        <v>883</v>
      </c>
      <c r="B188" t="s">
        <v>135</v>
      </c>
      <c r="C188">
        <v>0.105344854</v>
      </c>
      <c r="D188">
        <v>999</v>
      </c>
      <c r="E188">
        <f>_xlfn.CEILING.MATH(D188/12)</f>
        <v>84</v>
      </c>
    </row>
    <row r="189" spans="1:5" hidden="1" x14ac:dyDescent="0.2">
      <c r="A189" t="s">
        <v>349</v>
      </c>
      <c r="B189" t="s">
        <v>13</v>
      </c>
      <c r="C189">
        <v>9.9427150000000006E-2</v>
      </c>
      <c r="D189">
        <v>999</v>
      </c>
      <c r="E189">
        <f>_xlfn.CEILING.MATH(D189/12)</f>
        <v>84</v>
      </c>
    </row>
    <row r="190" spans="1:5" x14ac:dyDescent="0.2">
      <c r="A190" t="s">
        <v>332</v>
      </c>
      <c r="B190" t="s">
        <v>25</v>
      </c>
      <c r="C190">
        <v>9.5302650000000003E-2</v>
      </c>
      <c r="D190">
        <v>999</v>
      </c>
      <c r="E190">
        <f>_xlfn.CEILING.MATH(D190/12)</f>
        <v>84</v>
      </c>
    </row>
    <row r="191" spans="1:5" hidden="1" x14ac:dyDescent="0.2">
      <c r="A191" t="s">
        <v>822</v>
      </c>
      <c r="B191" t="s">
        <v>354</v>
      </c>
      <c r="C191">
        <v>8.8377364E-2</v>
      </c>
      <c r="D191">
        <v>999</v>
      </c>
      <c r="E191">
        <f>_xlfn.CEILING.MATH(D191/12)</f>
        <v>84</v>
      </c>
    </row>
    <row r="192" spans="1:5" x14ac:dyDescent="0.2">
      <c r="A192" t="s">
        <v>833</v>
      </c>
      <c r="B192" t="s">
        <v>25</v>
      </c>
      <c r="C192">
        <v>8.7574295999999996E-2</v>
      </c>
      <c r="D192">
        <v>999</v>
      </c>
      <c r="E192">
        <f>_xlfn.CEILING.MATH(D192/12)</f>
        <v>84</v>
      </c>
    </row>
    <row r="193" spans="1:5" x14ac:dyDescent="0.2">
      <c r="A193" t="s">
        <v>306</v>
      </c>
      <c r="B193" t="s">
        <v>16</v>
      </c>
      <c r="C193">
        <v>8.5825170000000006E-2</v>
      </c>
      <c r="D193">
        <v>999</v>
      </c>
      <c r="E193">
        <f>_xlfn.CEILING.MATH(D193/12)</f>
        <v>84</v>
      </c>
    </row>
    <row r="194" spans="1:5" hidden="1" x14ac:dyDescent="0.2">
      <c r="A194" t="s">
        <v>558</v>
      </c>
      <c r="B194" t="s">
        <v>206</v>
      </c>
      <c r="C194">
        <v>8.3344735000000003E-2</v>
      </c>
      <c r="D194">
        <v>999</v>
      </c>
      <c r="E194">
        <f>_xlfn.CEILING.MATH(D194/12)</f>
        <v>84</v>
      </c>
    </row>
    <row r="195" spans="1:5" hidden="1" x14ac:dyDescent="0.2">
      <c r="A195" t="s">
        <v>631</v>
      </c>
      <c r="B195" t="s">
        <v>74</v>
      </c>
      <c r="C195">
        <v>8.1735279999999993E-2</v>
      </c>
      <c r="D195">
        <v>999</v>
      </c>
      <c r="E195">
        <f>_xlfn.CEILING.MATH(D195/12)</f>
        <v>84</v>
      </c>
    </row>
    <row r="196" spans="1:5" hidden="1" x14ac:dyDescent="0.2">
      <c r="A196" t="s">
        <v>508</v>
      </c>
      <c r="B196" t="s">
        <v>82</v>
      </c>
      <c r="C196">
        <v>7.8541756000000004E-2</v>
      </c>
      <c r="D196">
        <v>999</v>
      </c>
      <c r="E196">
        <f>_xlfn.CEILING.MATH(D196/12)</f>
        <v>84</v>
      </c>
    </row>
    <row r="197" spans="1:5" hidden="1" x14ac:dyDescent="0.2">
      <c r="A197" t="s">
        <v>895</v>
      </c>
      <c r="B197" t="e">
        <v>#N/A</v>
      </c>
      <c r="C197">
        <v>0.49043991999999997</v>
      </c>
      <c r="D197" t="e">
        <v>#N/A</v>
      </c>
      <c r="E197" t="e">
        <v>#N/A</v>
      </c>
    </row>
    <row r="198" spans="1:5" hidden="1" x14ac:dyDescent="0.2">
      <c r="A198" t="s">
        <v>409</v>
      </c>
      <c r="B198" t="e">
        <v>#N/A</v>
      </c>
      <c r="C198">
        <v>0.48467860000000001</v>
      </c>
      <c r="D198" t="e">
        <v>#N/A</v>
      </c>
      <c r="E198" t="e">
        <v>#N/A</v>
      </c>
    </row>
    <row r="199" spans="1:5" hidden="1" x14ac:dyDescent="0.2">
      <c r="A199" t="s">
        <v>499</v>
      </c>
      <c r="B199" t="e">
        <v>#N/A</v>
      </c>
      <c r="C199">
        <v>0.41992893999999997</v>
      </c>
      <c r="D199" t="e">
        <v>#N/A</v>
      </c>
      <c r="E199" t="e">
        <v>#N/A</v>
      </c>
    </row>
    <row r="200" spans="1:5" hidden="1" x14ac:dyDescent="0.2">
      <c r="A200" t="s">
        <v>460</v>
      </c>
      <c r="B200" t="e">
        <v>#N/A</v>
      </c>
      <c r="C200">
        <v>0.39574350000000003</v>
      </c>
      <c r="D200" t="e">
        <v>#N/A</v>
      </c>
      <c r="E200" t="e">
        <v>#N/A</v>
      </c>
    </row>
    <row r="201" spans="1:5" hidden="1" x14ac:dyDescent="0.2">
      <c r="A201" t="s">
        <v>243</v>
      </c>
      <c r="B201" t="e">
        <v>#N/A</v>
      </c>
      <c r="C201">
        <v>0.30508044000000001</v>
      </c>
      <c r="D201" t="e">
        <v>#N/A</v>
      </c>
      <c r="E201" t="e">
        <v>#N/A</v>
      </c>
    </row>
    <row r="202" spans="1:5" hidden="1" x14ac:dyDescent="0.2">
      <c r="A202" t="s">
        <v>518</v>
      </c>
      <c r="B202" t="e">
        <v>#N/A</v>
      </c>
      <c r="C202">
        <v>0.27564981999999999</v>
      </c>
      <c r="D202" t="e">
        <v>#N/A</v>
      </c>
      <c r="E202" t="e">
        <v>#N/A</v>
      </c>
    </row>
    <row r="203" spans="1:5" hidden="1" x14ac:dyDescent="0.2">
      <c r="A203" t="s">
        <v>443</v>
      </c>
      <c r="B203" t="e">
        <v>#N/A</v>
      </c>
      <c r="C203">
        <v>0.19854160000000001</v>
      </c>
      <c r="D203" t="e">
        <v>#N/A</v>
      </c>
      <c r="E203" t="e">
        <v>#N/A</v>
      </c>
    </row>
    <row r="204" spans="1:5" hidden="1" x14ac:dyDescent="0.2">
      <c r="A204" t="s">
        <v>1277</v>
      </c>
      <c r="B204" t="e">
        <v>#N/A</v>
      </c>
      <c r="C204">
        <v>0.15048069</v>
      </c>
      <c r="D204" t="e">
        <v>#N/A</v>
      </c>
      <c r="E204" t="e">
        <v>#N/A</v>
      </c>
    </row>
    <row r="205" spans="1:5" hidden="1" x14ac:dyDescent="0.2">
      <c r="A205" t="s">
        <v>788</v>
      </c>
      <c r="B205" t="e">
        <v>#N/A</v>
      </c>
      <c r="C205">
        <v>0.15048069</v>
      </c>
      <c r="D205" t="e">
        <v>#N/A</v>
      </c>
      <c r="E205" t="e">
        <v>#N/A</v>
      </c>
    </row>
    <row r="206" spans="1:5" hidden="1" x14ac:dyDescent="0.2">
      <c r="A206" t="s">
        <v>311</v>
      </c>
      <c r="B206" t="e">
        <v>#N/A</v>
      </c>
      <c r="C206">
        <v>0.10231701999999999</v>
      </c>
      <c r="D206" t="e">
        <v>#N/A</v>
      </c>
      <c r="E206" t="e">
        <v>#N/A</v>
      </c>
    </row>
    <row r="207" spans="1:5" hidden="1" x14ac:dyDescent="0.2">
      <c r="A207" t="s">
        <v>204</v>
      </c>
      <c r="B207" t="e">
        <v>#N/A</v>
      </c>
      <c r="C207">
        <v>9.7324190000000005E-2</v>
      </c>
      <c r="D207" t="e">
        <v>#N/A</v>
      </c>
      <c r="E207" t="e">
        <v>#N/A</v>
      </c>
    </row>
    <row r="208" spans="1:5" hidden="1" x14ac:dyDescent="0.2">
      <c r="A208" t="s">
        <v>1831</v>
      </c>
      <c r="B208" t="e">
        <v>#N/A</v>
      </c>
      <c r="C208">
        <v>9.4760129999999998E-2</v>
      </c>
      <c r="D208" t="e">
        <v>#N/A</v>
      </c>
      <c r="E208" t="e">
        <v>#N/A</v>
      </c>
    </row>
    <row r="209" spans="1:5" hidden="1" x14ac:dyDescent="0.2">
      <c r="A209" t="s">
        <v>434</v>
      </c>
      <c r="B209" t="e">
        <v>#N/A</v>
      </c>
      <c r="C209">
        <v>9.2345250000000004E-2</v>
      </c>
      <c r="D209" t="e">
        <v>#N/A</v>
      </c>
      <c r="E209" t="e">
        <v>#N/A</v>
      </c>
    </row>
    <row r="210" spans="1:5" hidden="1" x14ac:dyDescent="0.2">
      <c r="A210" t="s">
        <v>386</v>
      </c>
      <c r="B210" t="e">
        <v>#N/A</v>
      </c>
      <c r="C210">
        <v>8.9797619999999995E-2</v>
      </c>
      <c r="D210" t="e">
        <v>#N/A</v>
      </c>
      <c r="E210" t="e">
        <v>#N/A</v>
      </c>
    </row>
    <row r="211" spans="1:5" hidden="1" x14ac:dyDescent="0.2">
      <c r="A211" t="s">
        <v>552</v>
      </c>
      <c r="B211" t="e">
        <v>#N/A</v>
      </c>
      <c r="C211">
        <v>8.9079775E-2</v>
      </c>
      <c r="D211" t="e">
        <v>#N/A</v>
      </c>
      <c r="E211" t="e">
        <v>#N/A</v>
      </c>
    </row>
    <row r="212" spans="1:5" hidden="1" x14ac:dyDescent="0.2">
      <c r="A212" t="s">
        <v>428</v>
      </c>
      <c r="B212" t="e">
        <v>#N/A</v>
      </c>
      <c r="C212">
        <v>8.7543263999999996E-2</v>
      </c>
      <c r="D212" t="e">
        <v>#N/A</v>
      </c>
      <c r="E212" t="e">
        <v>#N/A</v>
      </c>
    </row>
  </sheetData>
  <autoFilter ref="A1:E212" xr:uid="{95435008-55D9-1E48-87B3-84A075E21F0A}">
    <filterColumn colId="1">
      <filters>
        <filter val="1B/2B/OF"/>
        <filter val="1B/OF"/>
        <filter val="1B/OF/DH"/>
        <filter val="2B/OF"/>
        <filter val="3B/OF"/>
        <filter val="OF"/>
        <filter val="OF/DH"/>
      </filters>
    </filterColumn>
    <sortState xmlns:xlrd2="http://schemas.microsoft.com/office/spreadsheetml/2017/richdata2" ref="A2:E212">
      <sortCondition ref="D1:D212"/>
    </sortState>
  </autoFilter>
  <sortState xmlns:xlrd2="http://schemas.microsoft.com/office/spreadsheetml/2017/richdata2" ref="A2:E212">
    <sortCondition ref="E2:E212"/>
    <sortCondition descending="1" ref="C2:C212"/>
  </sortState>
  <conditionalFormatting sqref="C1:C104857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W349"/>
  <sheetViews>
    <sheetView workbookViewId="0">
      <selection activeCell="H20" sqref="H20"/>
    </sheetView>
  </sheetViews>
  <sheetFormatPr baseColWidth="10" defaultColWidth="8.83203125" defaultRowHeight="15" x14ac:dyDescent="0.2"/>
  <cols>
    <col min="1" max="1" width="19.6640625" bestFit="1" customWidth="1"/>
    <col min="2" max="2" width="12.5" style="5" bestFit="1" customWidth="1"/>
    <col min="3" max="4" width="12.5" bestFit="1" customWidth="1"/>
    <col min="5" max="5" width="14.6640625" bestFit="1" customWidth="1"/>
    <col min="6" max="6" width="9.6640625" bestFit="1" customWidth="1"/>
    <col min="7" max="7" width="19.83203125" bestFit="1" customWidth="1"/>
    <col min="8" max="8" width="19.83203125" customWidth="1"/>
    <col min="9" max="9" width="12.5" style="5" bestFit="1" customWidth="1"/>
    <col min="10" max="11" width="12.5" style="3" bestFit="1" customWidth="1"/>
    <col min="12" max="14" width="12.5" bestFit="1" customWidth="1"/>
    <col min="15" max="15" width="16.1640625" bestFit="1" customWidth="1"/>
    <col min="16" max="17" width="15" bestFit="1" customWidth="1"/>
    <col min="18" max="18" width="17" bestFit="1" customWidth="1"/>
    <col min="19" max="19" width="15" bestFit="1" customWidth="1"/>
    <col min="20" max="20" width="18.5" bestFit="1" customWidth="1"/>
    <col min="21" max="21" width="12.83203125" bestFit="1" customWidth="1"/>
    <col min="22" max="23" width="12.5" bestFit="1" customWidth="1"/>
  </cols>
  <sheetData>
    <row r="1" spans="1:23" ht="17.25" customHeight="1" x14ac:dyDescent="0.2">
      <c r="A1" t="s">
        <v>997</v>
      </c>
      <c r="B1" t="s">
        <v>1219</v>
      </c>
      <c r="G1" t="s">
        <v>1</v>
      </c>
      <c r="H1" t="s">
        <v>1127</v>
      </c>
      <c r="I1" s="5" t="s">
        <v>998</v>
      </c>
      <c r="J1" s="3" t="s">
        <v>4</v>
      </c>
      <c r="K1" s="3" t="s">
        <v>999</v>
      </c>
      <c r="N1" t="s">
        <v>1023</v>
      </c>
      <c r="O1" t="s">
        <v>74</v>
      </c>
      <c r="P1" t="s">
        <v>82</v>
      </c>
      <c r="Q1" t="s">
        <v>78</v>
      </c>
      <c r="R1" t="s">
        <v>87</v>
      </c>
      <c r="S1" t="s">
        <v>19</v>
      </c>
      <c r="T1" t="s">
        <v>25</v>
      </c>
      <c r="U1" t="s">
        <v>1024</v>
      </c>
      <c r="V1" t="s">
        <v>28</v>
      </c>
      <c r="W1" t="s">
        <v>69</v>
      </c>
    </row>
    <row r="2" spans="1:23" ht="17.25" customHeight="1" x14ac:dyDescent="0.2">
      <c r="A2" t="s">
        <v>1082</v>
      </c>
      <c r="B2">
        <v>0.92267310000000002</v>
      </c>
      <c r="E2" t="str">
        <f>LEFT(A2, FIND(",", A2) - 1)</f>
        <v>Alonso</v>
      </c>
      <c r="F2" t="str">
        <f>TRIM(MID(A2, FIND(",", A2) + 1, LEN(A2)))</f>
        <v>Pete</v>
      </c>
      <c r="G2" t="str">
        <f>F2 &amp; " " &amp; E2</f>
        <v>Pete Alonso</v>
      </c>
      <c r="H2" t="str">
        <f>VLOOKUP(G2,ADP!$B$1:$K$646,3,FALSE)</f>
        <v>1B</v>
      </c>
      <c r="I2" s="10">
        <f>B2</f>
        <v>0.92267310000000002</v>
      </c>
      <c r="J2" s="10">
        <f>VLOOKUP(G2,ADP!$B$1:$K$646,4,FALSE)</f>
        <v>25</v>
      </c>
      <c r="K2" s="11">
        <f t="shared" ref="K2:K65" si="0">_xlfn.CEILING.MATH(J2/12)</f>
        <v>3</v>
      </c>
      <c r="O2" t="s">
        <v>61</v>
      </c>
      <c r="P2" t="s">
        <v>170</v>
      </c>
      <c r="Q2" t="s">
        <v>258</v>
      </c>
      <c r="R2" t="s">
        <v>96</v>
      </c>
      <c r="S2" t="s">
        <v>17</v>
      </c>
      <c r="T2" t="s">
        <v>14</v>
      </c>
      <c r="U2" t="s">
        <v>11</v>
      </c>
    </row>
    <row r="3" spans="1:23" ht="17.25" customHeight="1" x14ac:dyDescent="0.2">
      <c r="A3" t="s">
        <v>1026</v>
      </c>
      <c r="B3">
        <v>0.90839650000000005</v>
      </c>
      <c r="E3" t="str">
        <f t="shared" ref="E3:E66" si="1">LEFT(A3, FIND(",", A3) - 1)</f>
        <v>Judge</v>
      </c>
      <c r="F3" t="str">
        <f t="shared" ref="F3:F66" si="2">TRIM(MID(A3, FIND(",", A3) + 1, LEN(A3)))</f>
        <v>Aaron</v>
      </c>
      <c r="G3" t="str">
        <f t="shared" ref="G3:G66" si="3">F3 &amp; " " &amp; E3</f>
        <v>Aaron Judge</v>
      </c>
      <c r="H3" t="str">
        <f>VLOOKUP(G3,ADP!$B$1:$K$646,3,FALSE)</f>
        <v>OF/DH</v>
      </c>
      <c r="I3" s="10">
        <f t="shared" ref="I3:I66" si="4">B3</f>
        <v>0.90839650000000005</v>
      </c>
      <c r="J3" s="10">
        <f>VLOOKUP(G3,ADP!$B$1:$K$646,4,FALSE)</f>
        <v>1.9</v>
      </c>
      <c r="K3" s="11">
        <f t="shared" si="0"/>
        <v>1</v>
      </c>
      <c r="O3" t="s">
        <v>38</v>
      </c>
      <c r="P3" t="s">
        <v>136</v>
      </c>
      <c r="Q3" t="s">
        <v>51</v>
      </c>
      <c r="R3" t="s">
        <v>285</v>
      </c>
      <c r="S3" t="s">
        <v>139</v>
      </c>
      <c r="T3" t="s">
        <v>41</v>
      </c>
    </row>
    <row r="4" spans="1:23" ht="17.25" customHeight="1" x14ac:dyDescent="0.2">
      <c r="A4" t="s">
        <v>1048</v>
      </c>
      <c r="B4">
        <v>0.88467130000000005</v>
      </c>
      <c r="E4" t="str">
        <f t="shared" si="1"/>
        <v>Gonzalez</v>
      </c>
      <c r="F4" t="str">
        <f t="shared" si="2"/>
        <v>Romy</v>
      </c>
      <c r="G4" t="str">
        <f t="shared" si="3"/>
        <v>Romy Gonzalez</v>
      </c>
      <c r="H4" t="str">
        <f>VLOOKUP(G4,ADP!$B$1:$K$646,3,FALSE)</f>
        <v>1B/2B</v>
      </c>
      <c r="I4" s="10">
        <f t="shared" si="4"/>
        <v>0.88467130000000005</v>
      </c>
      <c r="J4" s="10">
        <f>VLOOKUP(G4,ADP!$B$1:$K$646,4,FALSE)</f>
        <v>719.2</v>
      </c>
      <c r="K4" s="11">
        <f t="shared" si="0"/>
        <v>60</v>
      </c>
      <c r="O4" t="s">
        <v>1028</v>
      </c>
      <c r="P4" t="s">
        <v>763</v>
      </c>
      <c r="Q4" t="s">
        <v>291</v>
      </c>
      <c r="R4" t="s">
        <v>94</v>
      </c>
      <c r="S4" t="s">
        <v>128</v>
      </c>
      <c r="T4" t="s">
        <v>203</v>
      </c>
    </row>
    <row r="5" spans="1:23" ht="17.25" customHeight="1" x14ac:dyDescent="0.2">
      <c r="A5" t="s">
        <v>1035</v>
      </c>
      <c r="B5">
        <v>0.86515253999999997</v>
      </c>
      <c r="E5" t="str">
        <f t="shared" si="1"/>
        <v>Seager</v>
      </c>
      <c r="F5" t="str">
        <f t="shared" si="2"/>
        <v>Corey</v>
      </c>
      <c r="G5" t="str">
        <f t="shared" si="3"/>
        <v>Corey Seager</v>
      </c>
      <c r="H5" t="str">
        <f>VLOOKUP(G5,ADP!$B$1:$K$646,3,FALSE)</f>
        <v>SS</v>
      </c>
      <c r="I5" s="10">
        <f t="shared" si="4"/>
        <v>0.86515253999999997</v>
      </c>
      <c r="J5" s="10">
        <f>VLOOKUP(G5,ADP!$B$1:$K$646,4,FALSE)</f>
        <v>99.5</v>
      </c>
      <c r="K5" s="11">
        <f t="shared" si="0"/>
        <v>9</v>
      </c>
      <c r="P5" t="s">
        <v>81</v>
      </c>
      <c r="Q5" t="s">
        <v>149</v>
      </c>
      <c r="R5" t="s">
        <v>29</v>
      </c>
      <c r="S5" t="s">
        <v>37</v>
      </c>
      <c r="T5" t="s">
        <v>23</v>
      </c>
    </row>
    <row r="6" spans="1:23" ht="17.25" customHeight="1" x14ac:dyDescent="0.2">
      <c r="A6" t="s">
        <v>1027</v>
      </c>
      <c r="B6">
        <v>0.83745563000000001</v>
      </c>
      <c r="E6" t="str">
        <f t="shared" si="1"/>
        <v>Guerrero Jr.</v>
      </c>
      <c r="F6" t="str">
        <f t="shared" si="2"/>
        <v>Vladimir</v>
      </c>
      <c r="G6" t="str">
        <f t="shared" si="3"/>
        <v>Vladimir Guerrero Jr.</v>
      </c>
      <c r="H6" t="str">
        <f>VLOOKUP(G6,ADP!$B$1:$K$646,3,FALSE)</f>
        <v>1B/DH</v>
      </c>
      <c r="I6" s="10">
        <f t="shared" si="4"/>
        <v>0.83745563000000001</v>
      </c>
      <c r="J6" s="10">
        <f>VLOOKUP(G6,ADP!$B$1:$K$646,4,FALSE)</f>
        <v>18</v>
      </c>
      <c r="K6" s="11">
        <f t="shared" si="0"/>
        <v>2</v>
      </c>
      <c r="P6" t="s">
        <v>110</v>
      </c>
      <c r="Q6" t="s">
        <v>220</v>
      </c>
      <c r="R6" t="s">
        <v>65</v>
      </c>
      <c r="S6" t="s">
        <v>113</v>
      </c>
      <c r="T6" t="s">
        <v>49</v>
      </c>
    </row>
    <row r="7" spans="1:23" ht="17.25" customHeight="1" x14ac:dyDescent="0.2">
      <c r="A7" t="s">
        <v>1044</v>
      </c>
      <c r="B7">
        <v>0.82606506000000002</v>
      </c>
      <c r="E7" t="str">
        <f t="shared" si="1"/>
        <v>Olson</v>
      </c>
      <c r="F7" t="str">
        <f t="shared" si="2"/>
        <v>Matt</v>
      </c>
      <c r="G7" t="str">
        <f t="shared" si="3"/>
        <v>Matt Olson</v>
      </c>
      <c r="H7" t="str">
        <f>VLOOKUP(G7,ADP!$B$1:$K$646,3,FALSE)</f>
        <v>1B</v>
      </c>
      <c r="I7" s="10">
        <f t="shared" si="4"/>
        <v>0.82606506000000002</v>
      </c>
      <c r="J7" s="10">
        <f>VLOOKUP(G7,ADP!$B$1:$K$646,4,FALSE)</f>
        <v>50.9</v>
      </c>
      <c r="K7" s="11">
        <f t="shared" si="0"/>
        <v>5</v>
      </c>
      <c r="P7" t="s">
        <v>243</v>
      </c>
      <c r="Q7" t="s">
        <v>111</v>
      </c>
      <c r="R7" t="s">
        <v>881</v>
      </c>
      <c r="S7" t="s">
        <v>33</v>
      </c>
      <c r="T7" t="s">
        <v>723</v>
      </c>
    </row>
    <row r="8" spans="1:23" ht="17.25" customHeight="1" x14ac:dyDescent="0.2">
      <c r="A8" t="s">
        <v>1087</v>
      </c>
      <c r="B8">
        <v>0.79111620000000005</v>
      </c>
      <c r="E8" t="str">
        <f t="shared" si="1"/>
        <v>Carroll</v>
      </c>
      <c r="F8" t="str">
        <f t="shared" si="2"/>
        <v>Corbin</v>
      </c>
      <c r="G8" t="str">
        <f t="shared" si="3"/>
        <v>Corbin Carroll</v>
      </c>
      <c r="H8" t="str">
        <f>VLOOKUP(G8,ADP!$B$1:$K$646,3,FALSE)</f>
        <v>OF</v>
      </c>
      <c r="I8" s="10">
        <f t="shared" si="4"/>
        <v>0.79111620000000005</v>
      </c>
      <c r="J8" s="10">
        <f>VLOOKUP(G8,ADP!$B$1:$K$646,4,FALSE)</f>
        <v>12.2</v>
      </c>
      <c r="K8" s="11">
        <f t="shared" si="0"/>
        <v>2</v>
      </c>
      <c r="P8" t="s">
        <v>274</v>
      </c>
      <c r="R8" t="s">
        <v>20</v>
      </c>
      <c r="S8" t="s">
        <v>187</v>
      </c>
      <c r="T8" t="s">
        <v>293</v>
      </c>
    </row>
    <row r="9" spans="1:23" ht="17.25" customHeight="1" x14ac:dyDescent="0.2">
      <c r="A9" t="s">
        <v>1034</v>
      </c>
      <c r="B9">
        <v>0.75887525</v>
      </c>
      <c r="E9" t="str">
        <f t="shared" si="1"/>
        <v>Witt Jr.</v>
      </c>
      <c r="F9" t="str">
        <f t="shared" si="2"/>
        <v>Bobby</v>
      </c>
      <c r="G9" t="str">
        <f t="shared" si="3"/>
        <v>Bobby Witt Jr.</v>
      </c>
      <c r="H9" t="str">
        <f>VLOOKUP(G9,ADP!$B$1:$K$646,3,FALSE)</f>
        <v>SS</v>
      </c>
      <c r="I9" s="10">
        <f t="shared" si="4"/>
        <v>0.75887525</v>
      </c>
      <c r="J9" s="10">
        <f>VLOOKUP(G9,ADP!$B$1:$K$646,4,FALSE)</f>
        <v>2.9</v>
      </c>
      <c r="K9" s="11">
        <f t="shared" si="0"/>
        <v>1</v>
      </c>
      <c r="S9" t="str">
        <f>REPLACE(_xlfn.CONCAT(R9," ",Q9), 1, 1,"")</f>
        <v/>
      </c>
      <c r="T9" t="s">
        <v>71</v>
      </c>
    </row>
    <row r="10" spans="1:23" ht="17.25" customHeight="1" x14ac:dyDescent="0.2">
      <c r="A10" t="s">
        <v>1136</v>
      </c>
      <c r="B10">
        <v>0.75545996000000004</v>
      </c>
      <c r="E10" t="str">
        <f t="shared" si="1"/>
        <v>Lile</v>
      </c>
      <c r="F10" t="str">
        <f t="shared" si="2"/>
        <v>Daylen</v>
      </c>
      <c r="G10" t="str">
        <f t="shared" si="3"/>
        <v>Daylen Lile</v>
      </c>
      <c r="H10" t="str">
        <f>VLOOKUP(G10,ADP!$B$1:$K$646,3,FALSE)</f>
        <v>OF</v>
      </c>
      <c r="I10" s="10">
        <f t="shared" si="4"/>
        <v>0.75545996000000004</v>
      </c>
      <c r="J10" s="10">
        <f>VLOOKUP(G10,ADP!$B$1:$K$646,4,FALSE)</f>
        <v>198.3</v>
      </c>
      <c r="K10" s="11">
        <f t="shared" si="0"/>
        <v>17</v>
      </c>
      <c r="T10" t="s">
        <v>136</v>
      </c>
    </row>
    <row r="11" spans="1:23" ht="17.25" customHeight="1" x14ac:dyDescent="0.2">
      <c r="A11" t="s">
        <v>1025</v>
      </c>
      <c r="B11">
        <v>0.74366030000000005</v>
      </c>
      <c r="E11" t="str">
        <f t="shared" si="1"/>
        <v>Ohtani</v>
      </c>
      <c r="F11" t="str">
        <f t="shared" si="2"/>
        <v>Shohei</v>
      </c>
      <c r="G11" t="str">
        <f t="shared" si="3"/>
        <v>Shohei Ohtani</v>
      </c>
      <c r="H11" t="str">
        <f>VLOOKUP(G11,ADP!$B$1:$K$646,3,FALSE)</f>
        <v>DH</v>
      </c>
      <c r="I11" s="10">
        <f t="shared" si="4"/>
        <v>0.74366030000000005</v>
      </c>
      <c r="J11" s="3">
        <f>VLOOKUP(G11,ADP!$B$1:$K$646,4,FALSE)</f>
        <v>1.3</v>
      </c>
      <c r="K11" s="11">
        <f t="shared" si="0"/>
        <v>1</v>
      </c>
      <c r="T11" t="s">
        <v>272</v>
      </c>
    </row>
    <row r="12" spans="1:23" ht="17.25" customHeight="1" x14ac:dyDescent="0.2">
      <c r="A12" t="s">
        <v>1077</v>
      </c>
      <c r="B12">
        <v>0.73556553999999996</v>
      </c>
      <c r="E12" t="str">
        <f t="shared" si="1"/>
        <v>Harper</v>
      </c>
      <c r="F12" t="str">
        <f t="shared" si="2"/>
        <v>Bryce</v>
      </c>
      <c r="G12" t="str">
        <f t="shared" si="3"/>
        <v>Bryce Harper</v>
      </c>
      <c r="H12" t="str">
        <f>VLOOKUP(G12,ADP!$B$1:$K$646,3,FALSE)</f>
        <v>1B</v>
      </c>
      <c r="I12" s="10">
        <f t="shared" si="4"/>
        <v>0.73556553999999996</v>
      </c>
      <c r="J12" s="10">
        <f>VLOOKUP(G12,ADP!$B$1:$K$646,4,FALSE)</f>
        <v>50.7</v>
      </c>
      <c r="K12" s="11">
        <f t="shared" si="0"/>
        <v>5</v>
      </c>
      <c r="T12" t="s">
        <v>208</v>
      </c>
    </row>
    <row r="13" spans="1:23" ht="17.25" customHeight="1" x14ac:dyDescent="0.2">
      <c r="A13" t="s">
        <v>1030</v>
      </c>
      <c r="B13">
        <v>0.71623150000000002</v>
      </c>
      <c r="E13" t="str">
        <f t="shared" si="1"/>
        <v>Tatis Jr.</v>
      </c>
      <c r="F13" t="str">
        <f t="shared" si="2"/>
        <v>Fernando</v>
      </c>
      <c r="G13" t="str">
        <f t="shared" si="3"/>
        <v>Fernando Tatis Jr.</v>
      </c>
      <c r="H13" t="str">
        <f>VLOOKUP(G13,ADP!$B$1:$K$646,3,FALSE)</f>
        <v>OF</v>
      </c>
      <c r="I13" s="10">
        <f t="shared" si="4"/>
        <v>0.71623150000000002</v>
      </c>
      <c r="J13" s="10">
        <f>VLOOKUP(G13,ADP!$B$1:$K$646,4,FALSE)</f>
        <v>14.8</v>
      </c>
      <c r="K13" s="11">
        <f t="shared" si="0"/>
        <v>2</v>
      </c>
      <c r="T13" t="s">
        <v>90</v>
      </c>
    </row>
    <row r="14" spans="1:23" ht="17.25" customHeight="1" x14ac:dyDescent="0.2">
      <c r="A14" t="s">
        <v>1137</v>
      </c>
      <c r="B14">
        <v>0.69049954000000002</v>
      </c>
      <c r="E14" t="str">
        <f t="shared" si="1"/>
        <v>Rice</v>
      </c>
      <c r="F14" t="str">
        <f t="shared" si="2"/>
        <v>Ben</v>
      </c>
      <c r="G14" t="str">
        <f t="shared" si="3"/>
        <v>Ben Rice</v>
      </c>
      <c r="H14" t="str">
        <f>VLOOKUP(G14,ADP!$B$1:$K$646,3,FALSE)</f>
        <v>C/1B/DH</v>
      </c>
      <c r="I14" s="10">
        <f t="shared" si="4"/>
        <v>0.69049954000000002</v>
      </c>
      <c r="J14" s="10">
        <f>VLOOKUP(G14,ADP!$B$1:$K$646,4,FALSE)</f>
        <v>50.5</v>
      </c>
      <c r="K14" s="11">
        <f t="shared" si="0"/>
        <v>5</v>
      </c>
      <c r="T14" t="s">
        <v>531</v>
      </c>
    </row>
    <row r="15" spans="1:23" ht="17.25" customHeight="1" x14ac:dyDescent="0.2">
      <c r="A15" t="s">
        <v>1070</v>
      </c>
      <c r="B15">
        <v>0.68764703999999999</v>
      </c>
      <c r="E15" t="str">
        <f t="shared" si="1"/>
        <v>Schwarber</v>
      </c>
      <c r="F15" t="str">
        <f t="shared" si="2"/>
        <v>Kyle</v>
      </c>
      <c r="G15" t="str">
        <f t="shared" si="3"/>
        <v>Kyle Schwarber</v>
      </c>
      <c r="H15" t="str">
        <f>VLOOKUP(G15,ADP!$B$1:$K$646,3,FALSE)</f>
        <v>DH</v>
      </c>
      <c r="I15" s="10">
        <f t="shared" si="4"/>
        <v>0.68764703999999999</v>
      </c>
      <c r="J15" s="3">
        <f>VLOOKUP(G15,ADP!$B$1:$K$646,4,FALSE)</f>
        <v>24.5</v>
      </c>
      <c r="K15" s="11">
        <f t="shared" si="0"/>
        <v>3</v>
      </c>
      <c r="T15" t="s">
        <v>101</v>
      </c>
    </row>
    <row r="16" spans="1:23" ht="17.25" customHeight="1" x14ac:dyDescent="0.2">
      <c r="A16" t="s">
        <v>1371</v>
      </c>
      <c r="B16">
        <v>0.68716290000000002</v>
      </c>
      <c r="E16" t="str">
        <f t="shared" si="1"/>
        <v>Rodriguez</v>
      </c>
      <c r="F16" t="str">
        <f t="shared" si="2"/>
        <v>Julio</v>
      </c>
      <c r="G16" t="str">
        <f t="shared" si="3"/>
        <v>Julio Rodriguez</v>
      </c>
      <c r="H16" t="str">
        <f>VLOOKUP(G16,ADP!$B$1:$K$646,3,FALSE)</f>
        <v>OF</v>
      </c>
      <c r="I16" s="10">
        <f t="shared" si="4"/>
        <v>0.68716290000000002</v>
      </c>
      <c r="J16" s="10">
        <f>VLOOKUP(G16,ADP!$B$1:$K$646,4,FALSE)</f>
        <v>10.6</v>
      </c>
      <c r="K16" s="11">
        <f t="shared" si="0"/>
        <v>1</v>
      </c>
      <c r="T16" t="s">
        <v>331</v>
      </c>
    </row>
    <row r="17" spans="1:20" ht="17.25" customHeight="1" x14ac:dyDescent="0.2">
      <c r="A17" t="s">
        <v>1063</v>
      </c>
      <c r="B17">
        <v>0.68579453000000001</v>
      </c>
      <c r="E17" t="str">
        <f t="shared" si="1"/>
        <v>Wood</v>
      </c>
      <c r="F17" t="str">
        <f t="shared" si="2"/>
        <v>James</v>
      </c>
      <c r="G17" t="str">
        <f t="shared" si="3"/>
        <v>James Wood</v>
      </c>
      <c r="H17" t="str">
        <f>VLOOKUP(G17,ADP!$B$1:$K$646,3,FALSE)</f>
        <v>OF/DH</v>
      </c>
      <c r="I17" s="10">
        <f t="shared" si="4"/>
        <v>0.68579453000000001</v>
      </c>
      <c r="J17" s="10">
        <f>VLOOKUP(G17,ADP!$B$1:$K$646,4,FALSE)</f>
        <v>33</v>
      </c>
      <c r="K17" s="11">
        <f t="shared" si="0"/>
        <v>3</v>
      </c>
      <c r="T17" t="s">
        <v>210</v>
      </c>
    </row>
    <row r="18" spans="1:20" ht="17.25" customHeight="1" x14ac:dyDescent="0.2">
      <c r="A18" t="s">
        <v>1138</v>
      </c>
      <c r="B18">
        <v>0.67310815999999996</v>
      </c>
      <c r="E18" t="str">
        <f t="shared" si="1"/>
        <v>Langeliers</v>
      </c>
      <c r="F18" t="str">
        <f t="shared" si="2"/>
        <v>Shea</v>
      </c>
      <c r="G18" t="str">
        <f t="shared" si="3"/>
        <v>Shea Langeliers</v>
      </c>
      <c r="H18" t="str">
        <f>VLOOKUP(G18,ADP!$B$1:$K$646,3,FALSE)</f>
        <v>C</v>
      </c>
      <c r="I18" s="10">
        <f t="shared" si="4"/>
        <v>0.67310815999999996</v>
      </c>
      <c r="J18" s="10">
        <f>VLOOKUP(G18,ADP!$B$1:$K$646,4,FALSE)</f>
        <v>54</v>
      </c>
      <c r="K18" s="11">
        <f t="shared" si="0"/>
        <v>5</v>
      </c>
      <c r="T18" t="s">
        <v>128</v>
      </c>
    </row>
    <row r="19" spans="1:20" ht="17.25" customHeight="1" x14ac:dyDescent="0.2">
      <c r="A19" t="s">
        <v>1139</v>
      </c>
      <c r="B19">
        <v>0.66447800000000001</v>
      </c>
      <c r="E19" t="str">
        <f t="shared" si="1"/>
        <v>Moniak</v>
      </c>
      <c r="F19" t="str">
        <f t="shared" si="2"/>
        <v>Mickey</v>
      </c>
      <c r="G19" t="str">
        <f t="shared" si="3"/>
        <v>Mickey Moniak</v>
      </c>
      <c r="H19" t="str">
        <f>VLOOKUP(G19,ADP!$B$1:$K$646,3,FALSE)</f>
        <v>OF</v>
      </c>
      <c r="I19" s="10">
        <f t="shared" si="4"/>
        <v>0.66447800000000001</v>
      </c>
      <c r="J19" s="10">
        <f>VLOOKUP(G19,ADP!$B$1:$K$646,4,FALSE)</f>
        <v>252.6</v>
      </c>
      <c r="K19" s="11">
        <f t="shared" si="0"/>
        <v>22</v>
      </c>
      <c r="T19" t="s">
        <v>72</v>
      </c>
    </row>
    <row r="20" spans="1:20" ht="17.25" customHeight="1" x14ac:dyDescent="0.2">
      <c r="A20" t="s">
        <v>1032</v>
      </c>
      <c r="B20">
        <v>0.64699669999999998</v>
      </c>
      <c r="E20" t="str">
        <f t="shared" si="1"/>
        <v>Devers</v>
      </c>
      <c r="F20" t="str">
        <f t="shared" si="2"/>
        <v>Rafael</v>
      </c>
      <c r="G20" t="str">
        <f t="shared" si="3"/>
        <v>Rafael Devers</v>
      </c>
      <c r="H20" t="str">
        <f>VLOOKUP(G20,ADP!$B$1:$K$646,3,FALSE)</f>
        <v>1B/DH</v>
      </c>
      <c r="I20" s="10">
        <f t="shared" si="4"/>
        <v>0.64699669999999998</v>
      </c>
      <c r="J20" s="10">
        <f>VLOOKUP(G20,ADP!$B$1:$K$646,4,FALSE)</f>
        <v>55.5</v>
      </c>
      <c r="K20" s="11">
        <f t="shared" si="0"/>
        <v>5</v>
      </c>
      <c r="T20" t="s">
        <v>153</v>
      </c>
    </row>
    <row r="21" spans="1:20" ht="17.25" customHeight="1" x14ac:dyDescent="0.2">
      <c r="A21" t="s">
        <v>1220</v>
      </c>
      <c r="B21">
        <v>0.64060499999999998</v>
      </c>
      <c r="E21" t="str">
        <f t="shared" si="1"/>
        <v>Acuna Jr.</v>
      </c>
      <c r="F21" t="str">
        <f t="shared" si="2"/>
        <v>Ronald</v>
      </c>
      <c r="G21" t="str">
        <f t="shared" si="3"/>
        <v>Ronald Acuna Jr.</v>
      </c>
      <c r="H21" t="str">
        <f>VLOOKUP(G21,ADP!$B$1:$K$646,3,FALSE)</f>
        <v>OF</v>
      </c>
      <c r="I21" s="10">
        <f t="shared" si="4"/>
        <v>0.64060499999999998</v>
      </c>
      <c r="J21" s="10">
        <f>VLOOKUP(G21,ADP!$B$1:$K$646,4,FALSE)</f>
        <v>6.3</v>
      </c>
      <c r="K21" s="11">
        <f t="shared" si="0"/>
        <v>1</v>
      </c>
      <c r="T21" t="s">
        <v>58</v>
      </c>
    </row>
    <row r="22" spans="1:20" ht="17.25" customHeight="1" x14ac:dyDescent="0.2">
      <c r="A22" t="s">
        <v>1031</v>
      </c>
      <c r="B22">
        <v>0.63250079999999997</v>
      </c>
      <c r="E22" t="str">
        <f t="shared" si="1"/>
        <v>Soto</v>
      </c>
      <c r="F22" t="str">
        <f t="shared" si="2"/>
        <v>Juan</v>
      </c>
      <c r="G22" t="str">
        <f t="shared" si="3"/>
        <v>Juan Soto</v>
      </c>
      <c r="H22" t="str">
        <f>VLOOKUP(G22,ADP!$B$1:$K$646,3,FALSE)</f>
        <v>OF</v>
      </c>
      <c r="I22" s="10">
        <f t="shared" si="4"/>
        <v>0.63250079999999997</v>
      </c>
      <c r="J22" s="10">
        <f>VLOOKUP(G22,ADP!$B$1:$K$646,4,FALSE)</f>
        <v>4.5</v>
      </c>
      <c r="K22" s="11">
        <f t="shared" si="0"/>
        <v>1</v>
      </c>
      <c r="T22" t="s">
        <v>261</v>
      </c>
    </row>
    <row r="23" spans="1:20" ht="17.25" customHeight="1" x14ac:dyDescent="0.2">
      <c r="A23" t="s">
        <v>1043</v>
      </c>
      <c r="B23">
        <v>0.59291744000000002</v>
      </c>
      <c r="E23" t="str">
        <f t="shared" si="1"/>
        <v>Westburg</v>
      </c>
      <c r="F23" t="str">
        <f t="shared" si="2"/>
        <v>Jordan</v>
      </c>
      <c r="G23" t="str">
        <f t="shared" si="3"/>
        <v>Jordan Westburg</v>
      </c>
      <c r="H23" t="str">
        <f>VLOOKUP(G23,ADP!$B$1:$K$646,3,FALSE)</f>
        <v>3B</v>
      </c>
      <c r="I23" s="10">
        <f t="shared" si="4"/>
        <v>0.59291744000000002</v>
      </c>
      <c r="J23" s="10">
        <f>VLOOKUP(G23,ADP!$B$1:$K$646,4,FALSE)</f>
        <v>201.2</v>
      </c>
      <c r="K23" s="11">
        <f t="shared" si="0"/>
        <v>17</v>
      </c>
      <c r="T23" t="s">
        <v>449</v>
      </c>
    </row>
    <row r="24" spans="1:20" ht="17.25" customHeight="1" x14ac:dyDescent="0.2">
      <c r="A24" t="s">
        <v>1140</v>
      </c>
      <c r="B24">
        <v>0.58078927000000002</v>
      </c>
      <c r="E24" t="str">
        <f t="shared" si="1"/>
        <v>Bell</v>
      </c>
      <c r="F24" t="str">
        <f t="shared" si="2"/>
        <v>Josh</v>
      </c>
      <c r="G24" t="str">
        <f t="shared" si="3"/>
        <v>Josh Bell</v>
      </c>
      <c r="H24" t="str">
        <f>VLOOKUP(G24,ADP!$B$1:$K$646,3,FALSE)</f>
        <v>1B/DH</v>
      </c>
      <c r="I24" s="10">
        <f t="shared" si="4"/>
        <v>0.58078927000000002</v>
      </c>
      <c r="J24" s="10">
        <f>VLOOKUP(G24,ADP!$B$1:$K$646,4,FALSE)</f>
        <v>674.8</v>
      </c>
      <c r="K24" s="11">
        <f t="shared" si="0"/>
        <v>57</v>
      </c>
      <c r="T24" t="s">
        <v>619</v>
      </c>
    </row>
    <row r="25" spans="1:20" ht="17.25" customHeight="1" x14ac:dyDescent="0.2">
      <c r="A25" t="s">
        <v>1040</v>
      </c>
      <c r="B25">
        <v>0.57851666000000002</v>
      </c>
      <c r="E25" t="str">
        <f t="shared" si="1"/>
        <v>Stanton</v>
      </c>
      <c r="F25" t="str">
        <f t="shared" si="2"/>
        <v>Giancarlo</v>
      </c>
      <c r="G25" t="str">
        <f t="shared" si="3"/>
        <v>Giancarlo Stanton</v>
      </c>
      <c r="H25" t="str">
        <f>VLOOKUP(G25,ADP!$B$1:$K$646,3,FALSE)</f>
        <v>OF/DH</v>
      </c>
      <c r="I25" s="10">
        <f t="shared" si="4"/>
        <v>0.57851666000000002</v>
      </c>
      <c r="J25" s="10">
        <f>VLOOKUP(G25,ADP!$B$1:$K$646,4,FALSE)</f>
        <v>251.9</v>
      </c>
      <c r="K25" s="11">
        <f t="shared" si="0"/>
        <v>21</v>
      </c>
      <c r="P25" s="12" t="s">
        <v>1050</v>
      </c>
      <c r="T25" t="s">
        <v>88</v>
      </c>
    </row>
    <row r="26" spans="1:20" ht="17.25" customHeight="1" x14ac:dyDescent="0.2">
      <c r="A26" t="s">
        <v>1041</v>
      </c>
      <c r="B26">
        <v>0.57494409999999996</v>
      </c>
      <c r="E26" t="str">
        <f t="shared" si="1"/>
        <v>Merrill</v>
      </c>
      <c r="F26" t="str">
        <f t="shared" si="2"/>
        <v>Jackson</v>
      </c>
      <c r="G26" t="str">
        <f t="shared" si="3"/>
        <v>Jackson Merrill</v>
      </c>
      <c r="H26" t="str">
        <f>VLOOKUP(G26,ADP!$B$1:$K$646,3,FALSE)</f>
        <v>OF</v>
      </c>
      <c r="I26" s="10">
        <f t="shared" si="4"/>
        <v>0.57494409999999996</v>
      </c>
      <c r="J26" s="10">
        <f>VLOOKUP(G26,ADP!$B$1:$K$646,4,FALSE)</f>
        <v>70.8</v>
      </c>
      <c r="K26" s="11">
        <f t="shared" si="0"/>
        <v>6</v>
      </c>
      <c r="P26" s="12" t="s">
        <v>1052</v>
      </c>
      <c r="T26" t="s">
        <v>391</v>
      </c>
    </row>
    <row r="27" spans="1:20" ht="17.25" customHeight="1" x14ac:dyDescent="0.2">
      <c r="A27" t="s">
        <v>1060</v>
      </c>
      <c r="B27">
        <v>0.5433981</v>
      </c>
      <c r="E27" t="str">
        <f t="shared" si="1"/>
        <v>Machado</v>
      </c>
      <c r="F27" t="str">
        <f t="shared" si="2"/>
        <v>Manny</v>
      </c>
      <c r="G27" t="str">
        <f t="shared" si="3"/>
        <v>Manny Machado</v>
      </c>
      <c r="H27" t="str">
        <f>VLOOKUP(G27,ADP!$B$1:$K$646,3,FALSE)</f>
        <v>3B</v>
      </c>
      <c r="I27" s="10">
        <f t="shared" si="4"/>
        <v>0.5433981</v>
      </c>
      <c r="J27" s="10">
        <f>VLOOKUP(G27,ADP!$B$1:$K$646,4,FALSE)</f>
        <v>39.200000000000003</v>
      </c>
      <c r="K27" s="11">
        <f t="shared" si="0"/>
        <v>4</v>
      </c>
      <c r="T27" t="s">
        <v>1054</v>
      </c>
    </row>
    <row r="28" spans="1:20" ht="17.25" customHeight="1" x14ac:dyDescent="0.2">
      <c r="A28" t="s">
        <v>1046</v>
      </c>
      <c r="B28">
        <v>0.52149579999999995</v>
      </c>
      <c r="E28" t="str">
        <f t="shared" si="1"/>
        <v>Crow-Armstrong</v>
      </c>
      <c r="F28" t="str">
        <f t="shared" si="2"/>
        <v>Pete</v>
      </c>
      <c r="G28" t="str">
        <f t="shared" si="3"/>
        <v>Pete Crow-Armstrong</v>
      </c>
      <c r="H28" t="str">
        <f>VLOOKUP(G28,ADP!$B$1:$K$646,3,FALSE)</f>
        <v>OF</v>
      </c>
      <c r="I28" s="10">
        <f t="shared" si="4"/>
        <v>0.52149579999999995</v>
      </c>
      <c r="J28" s="10">
        <f>VLOOKUP(G28,ADP!$B$1:$K$646,4,FALSE)</f>
        <v>31</v>
      </c>
      <c r="K28" s="11">
        <f t="shared" si="0"/>
        <v>3</v>
      </c>
      <c r="T28" t="s">
        <v>289</v>
      </c>
    </row>
    <row r="29" spans="1:20" ht="17.25" customHeight="1" x14ac:dyDescent="0.2">
      <c r="A29" t="s">
        <v>1221</v>
      </c>
      <c r="B29">
        <v>0.50874185999999999</v>
      </c>
      <c r="E29" t="str">
        <f t="shared" si="1"/>
        <v>Diaz</v>
      </c>
      <c r="F29" t="str">
        <f t="shared" si="2"/>
        <v>Yandy</v>
      </c>
      <c r="G29" t="str">
        <f t="shared" si="3"/>
        <v>Yandy Diaz</v>
      </c>
      <c r="H29" t="str">
        <f>VLOOKUP(G29,ADP!$B$1:$K$646,3,FALSE)</f>
        <v>1B/DH</v>
      </c>
      <c r="I29" s="10">
        <f t="shared" si="4"/>
        <v>0.50874185999999999</v>
      </c>
      <c r="J29" s="10">
        <f>VLOOKUP(G29,ADP!$B$1:$K$646,4,FALSE)</f>
        <v>134.80000000000001</v>
      </c>
      <c r="K29" s="11">
        <f t="shared" si="0"/>
        <v>12</v>
      </c>
      <c r="T29" t="s">
        <v>303</v>
      </c>
    </row>
    <row r="30" spans="1:20" ht="17.25" customHeight="1" x14ac:dyDescent="0.2">
      <c r="A30" t="s">
        <v>1141</v>
      </c>
      <c r="B30">
        <v>0.50485957000000004</v>
      </c>
      <c r="E30" t="str">
        <f t="shared" si="1"/>
        <v>Aranda</v>
      </c>
      <c r="F30" t="str">
        <f t="shared" si="2"/>
        <v>Jonathan</v>
      </c>
      <c r="G30" t="str">
        <f t="shared" si="3"/>
        <v>Jonathan Aranda</v>
      </c>
      <c r="H30" t="str">
        <f>VLOOKUP(G30,ADP!$B$1:$K$646,3,FALSE)</f>
        <v>1B</v>
      </c>
      <c r="I30" s="10">
        <f t="shared" si="4"/>
        <v>0.50485957000000004</v>
      </c>
      <c r="J30" s="11">
        <f>VLOOKUP(G30,ADP!$B$1:$K$646,4,FALSE)</f>
        <v>190.7</v>
      </c>
      <c r="K30" s="11">
        <f t="shared" si="0"/>
        <v>16</v>
      </c>
      <c r="T30" t="s">
        <v>183</v>
      </c>
    </row>
    <row r="31" spans="1:20" ht="17.25" customHeight="1" x14ac:dyDescent="0.2">
      <c r="A31" t="s">
        <v>1142</v>
      </c>
      <c r="B31">
        <v>0.49944854</v>
      </c>
      <c r="E31" t="str">
        <f t="shared" si="1"/>
        <v>Anthony</v>
      </c>
      <c r="F31" t="str">
        <f t="shared" si="2"/>
        <v>Roman</v>
      </c>
      <c r="G31" t="str">
        <f t="shared" si="3"/>
        <v>Roman Anthony</v>
      </c>
      <c r="H31" t="str">
        <f>VLOOKUP(G31,ADP!$B$1:$K$646,3,FALSE)</f>
        <v>OF</v>
      </c>
      <c r="I31" s="10">
        <f t="shared" si="4"/>
        <v>0.49944854</v>
      </c>
      <c r="J31" s="10">
        <f>VLOOKUP(G31,ADP!$B$1:$K$646,4,FALSE)</f>
        <v>54.2</v>
      </c>
      <c r="K31" s="11">
        <f t="shared" si="0"/>
        <v>5</v>
      </c>
      <c r="T31" t="s">
        <v>300</v>
      </c>
    </row>
    <row r="32" spans="1:20" ht="17.25" customHeight="1" x14ac:dyDescent="0.2">
      <c r="A32" t="s">
        <v>1143</v>
      </c>
      <c r="B32">
        <v>0.49920999999999999</v>
      </c>
      <c r="E32" t="str">
        <f t="shared" si="1"/>
        <v>Story</v>
      </c>
      <c r="F32" t="str">
        <f t="shared" si="2"/>
        <v>Trevor</v>
      </c>
      <c r="G32" t="str">
        <f t="shared" si="3"/>
        <v>Trevor Story</v>
      </c>
      <c r="H32" t="str">
        <f>VLOOKUP(G32,ADP!$B$1:$K$646,3,FALSE)</f>
        <v>SS</v>
      </c>
      <c r="I32" s="10">
        <f t="shared" si="4"/>
        <v>0.49920999999999999</v>
      </c>
      <c r="J32" s="10">
        <f>VLOOKUP(G32,ADP!$B$1:$K$646,4,FALSE)</f>
        <v>106</v>
      </c>
      <c r="K32" s="11">
        <f t="shared" si="0"/>
        <v>9</v>
      </c>
      <c r="T32" t="s">
        <v>306</v>
      </c>
    </row>
    <row r="33" spans="1:20" ht="17.25" customHeight="1" x14ac:dyDescent="0.2">
      <c r="A33" t="s">
        <v>1144</v>
      </c>
      <c r="B33">
        <v>0.49519849999999999</v>
      </c>
      <c r="E33" t="str">
        <f t="shared" si="1"/>
        <v>Kurtz</v>
      </c>
      <c r="F33" t="str">
        <f t="shared" si="2"/>
        <v>Nick</v>
      </c>
      <c r="G33" t="str">
        <f t="shared" si="3"/>
        <v>Nick Kurtz</v>
      </c>
      <c r="H33" t="str">
        <f>VLOOKUP(G33,ADP!$B$1:$K$646,3,FALSE)</f>
        <v>1B</v>
      </c>
      <c r="I33" s="10">
        <f t="shared" si="4"/>
        <v>0.49519849999999999</v>
      </c>
      <c r="J33" s="10">
        <f>VLOOKUP(G33,ADP!$B$1:$K$646,4,FALSE)</f>
        <v>17.100000000000001</v>
      </c>
      <c r="K33" s="11">
        <f t="shared" si="0"/>
        <v>2</v>
      </c>
      <c r="T33" t="s">
        <v>67</v>
      </c>
    </row>
    <row r="34" spans="1:20" ht="17.25" customHeight="1" x14ac:dyDescent="0.2">
      <c r="A34" t="s">
        <v>1085</v>
      </c>
      <c r="B34">
        <v>0.49494832999999999</v>
      </c>
      <c r="E34" t="str">
        <f t="shared" si="1"/>
        <v>Adell</v>
      </c>
      <c r="F34" t="str">
        <f t="shared" si="2"/>
        <v>Jo</v>
      </c>
      <c r="G34" t="str">
        <f t="shared" si="3"/>
        <v>Jo Adell</v>
      </c>
      <c r="H34" t="str">
        <f>VLOOKUP(G34,ADP!$B$1:$K$646,3,FALSE)</f>
        <v>OF</v>
      </c>
      <c r="I34" s="10">
        <f t="shared" si="4"/>
        <v>0.49494832999999999</v>
      </c>
      <c r="J34" s="10">
        <f>VLOOKUP(G34,ADP!$B$1:$K$646,4,FALSE)</f>
        <v>122.2</v>
      </c>
      <c r="K34" s="11">
        <f t="shared" si="0"/>
        <v>11</v>
      </c>
      <c r="T34" t="s">
        <v>194</v>
      </c>
    </row>
    <row r="35" spans="1:20" ht="17.25" customHeight="1" x14ac:dyDescent="0.2">
      <c r="A35" t="s">
        <v>1102</v>
      </c>
      <c r="B35">
        <v>0.49043991999999997</v>
      </c>
      <c r="E35" t="str">
        <f t="shared" si="1"/>
        <v>Baldwin</v>
      </c>
      <c r="F35" t="str">
        <f t="shared" si="2"/>
        <v>Brooks</v>
      </c>
      <c r="G35" t="str">
        <f t="shared" si="3"/>
        <v>Brooks Baldwin</v>
      </c>
      <c r="H35" t="e">
        <f>VLOOKUP(G35,ADP!$B$1:$K$646,3,FALSE)</f>
        <v>#N/A</v>
      </c>
      <c r="I35" s="10">
        <f t="shared" si="4"/>
        <v>0.49043991999999997</v>
      </c>
      <c r="J35" s="10" t="e">
        <f>VLOOKUP(G35,ADP!$B$1:$K$646,4,FALSE)</f>
        <v>#N/A</v>
      </c>
      <c r="K35" s="11" t="e">
        <f t="shared" si="0"/>
        <v>#N/A</v>
      </c>
      <c r="T35" t="s">
        <v>535</v>
      </c>
    </row>
    <row r="36" spans="1:20" ht="17.25" customHeight="1" x14ac:dyDescent="0.2">
      <c r="A36" t="s">
        <v>1145</v>
      </c>
      <c r="B36">
        <v>0.48686230000000003</v>
      </c>
      <c r="E36" t="str">
        <f t="shared" si="1"/>
        <v>Triolo</v>
      </c>
      <c r="F36" t="str">
        <f t="shared" si="2"/>
        <v>Jared</v>
      </c>
      <c r="G36" t="str">
        <f t="shared" si="3"/>
        <v>Jared Triolo</v>
      </c>
      <c r="H36" t="str">
        <f>VLOOKUP(G36,ADP!$B$1:$K$646,3,FALSE)</f>
        <v>1B/3B/SS</v>
      </c>
      <c r="I36" s="10">
        <f t="shared" si="4"/>
        <v>0.48686230000000003</v>
      </c>
      <c r="J36" s="10">
        <f>VLOOKUP(G36,ADP!$B$1:$K$646,4,FALSE)</f>
        <v>740.2</v>
      </c>
      <c r="K36" s="11">
        <f t="shared" si="0"/>
        <v>62</v>
      </c>
      <c r="T36" t="s">
        <v>804</v>
      </c>
    </row>
    <row r="37" spans="1:20" ht="17.25" customHeight="1" x14ac:dyDescent="0.2">
      <c r="A37" t="s">
        <v>1067</v>
      </c>
      <c r="B37">
        <v>0.48467860000000001</v>
      </c>
      <c r="E37" t="str">
        <f t="shared" si="1"/>
        <v>Grichuk</v>
      </c>
      <c r="F37" t="str">
        <f t="shared" si="2"/>
        <v>Randal</v>
      </c>
      <c r="G37" t="str">
        <f t="shared" si="3"/>
        <v>Randal Grichuk</v>
      </c>
      <c r="H37" t="e">
        <f>VLOOKUP(G37,ADP!$B$1:$K$646,3,FALSE)</f>
        <v>#N/A</v>
      </c>
      <c r="I37" s="10">
        <f t="shared" si="4"/>
        <v>0.48467860000000001</v>
      </c>
      <c r="J37" s="10" t="e">
        <f>VLOOKUP(G37,ADP!$B$1:$K$646,4,FALSE)</f>
        <v>#N/A</v>
      </c>
      <c r="K37" s="11" t="e">
        <f t="shared" si="0"/>
        <v>#N/A</v>
      </c>
    </row>
    <row r="38" spans="1:20" ht="17.25" customHeight="1" x14ac:dyDescent="0.2">
      <c r="A38" t="s">
        <v>1146</v>
      </c>
      <c r="B38">
        <v>0.47824115</v>
      </c>
      <c r="E38" t="str">
        <f t="shared" si="1"/>
        <v>Springer</v>
      </c>
      <c r="F38" t="str">
        <f t="shared" si="2"/>
        <v>George</v>
      </c>
      <c r="G38" t="str">
        <f t="shared" si="3"/>
        <v>George Springer</v>
      </c>
      <c r="H38" t="str">
        <f>VLOOKUP(G38,ADP!$B$1:$K$646,3,FALSE)</f>
        <v>OF/DH</v>
      </c>
      <c r="I38" s="10">
        <f t="shared" si="4"/>
        <v>0.47824115</v>
      </c>
      <c r="J38" s="10">
        <f>VLOOKUP(G38,ADP!$B$1:$K$646,4,FALSE)</f>
        <v>94.7</v>
      </c>
      <c r="K38" s="11">
        <f t="shared" si="0"/>
        <v>8</v>
      </c>
    </row>
    <row r="39" spans="1:20" ht="17.25" customHeight="1" x14ac:dyDescent="0.2">
      <c r="A39" t="s">
        <v>1078</v>
      </c>
      <c r="B39">
        <v>0.43693896999999998</v>
      </c>
      <c r="E39" t="str">
        <f t="shared" si="1"/>
        <v>Robert Jr.</v>
      </c>
      <c r="F39" t="str">
        <f t="shared" si="2"/>
        <v>Luis</v>
      </c>
      <c r="G39" t="str">
        <f t="shared" si="3"/>
        <v>Luis Robert Jr.</v>
      </c>
      <c r="H39" t="str">
        <f>VLOOKUP(G39,ADP!$B$1:$K$646,3,FALSE)</f>
        <v>OF</v>
      </c>
      <c r="I39" s="10">
        <f t="shared" si="4"/>
        <v>0.43693896999999998</v>
      </c>
      <c r="J39" s="3">
        <f>VLOOKUP(G39,ADP!$B$1:$K$646,4,FALSE)</f>
        <v>104.7</v>
      </c>
      <c r="K39" s="11">
        <f t="shared" si="0"/>
        <v>9</v>
      </c>
    </row>
    <row r="40" spans="1:20" ht="17.25" customHeight="1" x14ac:dyDescent="0.2">
      <c r="A40" t="s">
        <v>1222</v>
      </c>
      <c r="B40">
        <v>0.42875287000000001</v>
      </c>
      <c r="E40" t="str">
        <f t="shared" si="1"/>
        <v>Ramirez</v>
      </c>
      <c r="F40" t="str">
        <f t="shared" si="2"/>
        <v>Agustin</v>
      </c>
      <c r="G40" t="str">
        <f t="shared" si="3"/>
        <v>Agustin Ramirez</v>
      </c>
      <c r="H40" t="str">
        <f>VLOOKUP(G40,ADP!$B$1:$K$646,3,FALSE)</f>
        <v>C/DH</v>
      </c>
      <c r="I40" s="10">
        <f t="shared" si="4"/>
        <v>0.42875287000000001</v>
      </c>
      <c r="J40" s="10">
        <f>VLOOKUP(G40,ADP!$B$1:$K$646,4,FALSE)</f>
        <v>82.7</v>
      </c>
      <c r="K40" s="11">
        <f t="shared" si="0"/>
        <v>7</v>
      </c>
    </row>
    <row r="41" spans="1:20" ht="17.25" customHeight="1" x14ac:dyDescent="0.2">
      <c r="A41" t="s">
        <v>1099</v>
      </c>
      <c r="B41">
        <v>0.41992893999999997</v>
      </c>
      <c r="E41" t="str">
        <f t="shared" si="1"/>
        <v>Benson</v>
      </c>
      <c r="F41" t="str">
        <f t="shared" si="2"/>
        <v>Will</v>
      </c>
      <c r="G41" t="str">
        <f t="shared" si="3"/>
        <v>Will Benson</v>
      </c>
      <c r="H41" t="e">
        <f>VLOOKUP(G41,ADP!$B$1:$K$646,3,FALSE)</f>
        <v>#N/A</v>
      </c>
      <c r="I41" s="10">
        <f t="shared" si="4"/>
        <v>0.41992893999999997</v>
      </c>
      <c r="J41" s="10" t="e">
        <f>VLOOKUP(G41,ADP!$B$1:$K$646,4,FALSE)</f>
        <v>#N/A</v>
      </c>
      <c r="K41" s="11" t="e">
        <f t="shared" si="0"/>
        <v>#N/A</v>
      </c>
    </row>
    <row r="42" spans="1:20" ht="17.25" customHeight="1" x14ac:dyDescent="0.2">
      <c r="A42" t="s">
        <v>1068</v>
      </c>
      <c r="B42">
        <v>0.41895660000000001</v>
      </c>
      <c r="E42" t="str">
        <f t="shared" si="1"/>
        <v>Duran</v>
      </c>
      <c r="F42" t="str">
        <f t="shared" si="2"/>
        <v>Jarren</v>
      </c>
      <c r="G42" t="str">
        <f t="shared" si="3"/>
        <v>Jarren Duran</v>
      </c>
      <c r="H42" t="str">
        <f>VLOOKUP(G42,ADP!$B$1:$K$646,3,FALSE)</f>
        <v>OF</v>
      </c>
      <c r="I42" s="10">
        <f t="shared" si="4"/>
        <v>0.41895660000000001</v>
      </c>
      <c r="J42" s="10">
        <f>VLOOKUP(G42,ADP!$B$1:$K$646,4,FALSE)</f>
        <v>72.599999999999994</v>
      </c>
      <c r="K42" s="11">
        <f t="shared" si="0"/>
        <v>7</v>
      </c>
    </row>
    <row r="43" spans="1:20" ht="17.25" customHeight="1" x14ac:dyDescent="0.2">
      <c r="A43" t="s">
        <v>1061</v>
      </c>
      <c r="B43">
        <v>0.41224100000000002</v>
      </c>
      <c r="E43" t="str">
        <f t="shared" si="1"/>
        <v>Cruz</v>
      </c>
      <c r="F43" t="str">
        <f t="shared" si="2"/>
        <v>Oneil</v>
      </c>
      <c r="G43" t="str">
        <f t="shared" si="3"/>
        <v>Oneil Cruz</v>
      </c>
      <c r="H43" t="str">
        <f>VLOOKUP(G43,ADP!$B$1:$K$646,3,FALSE)</f>
        <v>OF</v>
      </c>
      <c r="I43" s="10">
        <f t="shared" si="4"/>
        <v>0.41224100000000002</v>
      </c>
      <c r="J43" s="10">
        <f>VLOOKUP(G43,ADP!$B$1:$K$646,4,FALSE)</f>
        <v>94.1</v>
      </c>
      <c r="K43" s="11">
        <f t="shared" si="0"/>
        <v>8</v>
      </c>
    </row>
    <row r="44" spans="1:20" ht="17.25" customHeight="1" x14ac:dyDescent="0.2">
      <c r="A44" t="s">
        <v>1223</v>
      </c>
      <c r="B44">
        <v>0.39798107999999999</v>
      </c>
      <c r="E44" t="str">
        <f t="shared" si="1"/>
        <v>Laureano</v>
      </c>
      <c r="F44" t="str">
        <f t="shared" si="2"/>
        <v>Ramon</v>
      </c>
      <c r="G44" t="str">
        <f t="shared" si="3"/>
        <v>Ramon Laureano</v>
      </c>
      <c r="H44" t="str">
        <f>VLOOKUP(G44,ADP!$B$1:$K$646,3,FALSE)</f>
        <v>OF</v>
      </c>
      <c r="I44" s="10">
        <f t="shared" si="4"/>
        <v>0.39798107999999999</v>
      </c>
      <c r="J44" s="3">
        <f>VLOOKUP(G44,ADP!$B$1:$K$646,4,FALSE)</f>
        <v>220.8</v>
      </c>
      <c r="K44" s="11">
        <f t="shared" si="0"/>
        <v>19</v>
      </c>
    </row>
    <row r="45" spans="1:20" ht="17.25" customHeight="1" x14ac:dyDescent="0.2">
      <c r="A45" t="s">
        <v>1147</v>
      </c>
      <c r="B45">
        <v>0.39574350000000003</v>
      </c>
      <c r="E45" t="str">
        <f t="shared" si="1"/>
        <v>Taylor</v>
      </c>
      <c r="F45" t="str">
        <f t="shared" si="2"/>
        <v>Tyrone</v>
      </c>
      <c r="G45" t="str">
        <f t="shared" si="3"/>
        <v>Tyrone Taylor</v>
      </c>
      <c r="H45" t="e">
        <f>VLOOKUP(G45,ADP!$B$1:$K$646,3,FALSE)</f>
        <v>#N/A</v>
      </c>
      <c r="I45" s="10">
        <f t="shared" si="4"/>
        <v>0.39574350000000003</v>
      </c>
      <c r="J45" s="10" t="e">
        <f>VLOOKUP(G45,ADP!$B$1:$K$646,4,FALSE)</f>
        <v>#N/A</v>
      </c>
      <c r="K45" s="11" t="e">
        <f t="shared" si="0"/>
        <v>#N/A</v>
      </c>
    </row>
    <row r="46" spans="1:20" ht="17.25" customHeight="1" x14ac:dyDescent="0.2">
      <c r="A46" t="s">
        <v>1148</v>
      </c>
      <c r="B46">
        <v>0.36898293999999998</v>
      </c>
      <c r="E46" t="str">
        <f t="shared" si="1"/>
        <v>Barger</v>
      </c>
      <c r="F46" t="str">
        <f t="shared" si="2"/>
        <v>Addison</v>
      </c>
      <c r="G46" t="str">
        <f t="shared" si="3"/>
        <v>Addison Barger</v>
      </c>
      <c r="H46" t="str">
        <f>VLOOKUP(G46,ADP!$B$1:$K$646,3,FALSE)</f>
        <v>3B/OF</v>
      </c>
      <c r="I46" s="10">
        <f t="shared" si="4"/>
        <v>0.36898293999999998</v>
      </c>
      <c r="J46" s="3">
        <f>VLOOKUP(G46,ADP!$B$1:$K$646,4,FALSE)</f>
        <v>206.2</v>
      </c>
      <c r="K46" s="11">
        <f t="shared" si="0"/>
        <v>18</v>
      </c>
    </row>
    <row r="47" spans="1:20" ht="17.25" customHeight="1" x14ac:dyDescent="0.2">
      <c r="A47" t="s">
        <v>1057</v>
      </c>
      <c r="B47">
        <v>0.36483404000000003</v>
      </c>
      <c r="E47" t="str">
        <f t="shared" si="1"/>
        <v>Lowe</v>
      </c>
      <c r="F47" t="str">
        <f t="shared" si="2"/>
        <v>Brandon</v>
      </c>
      <c r="G47" t="str">
        <f t="shared" si="3"/>
        <v>Brandon Lowe</v>
      </c>
      <c r="H47" t="str">
        <f>VLOOKUP(G47,ADP!$B$1:$K$646,3,FALSE)</f>
        <v>2B</v>
      </c>
      <c r="I47" s="10">
        <f t="shared" si="4"/>
        <v>0.36483404000000003</v>
      </c>
      <c r="J47" s="10">
        <f>VLOOKUP(G47,ADP!$B$1:$K$646,4,FALSE)</f>
        <v>185.1</v>
      </c>
      <c r="K47" s="11">
        <f t="shared" si="0"/>
        <v>16</v>
      </c>
    </row>
    <row r="48" spans="1:20" ht="17.25" customHeight="1" x14ac:dyDescent="0.2">
      <c r="A48" t="s">
        <v>1224</v>
      </c>
      <c r="B48">
        <v>0.35408594999999998</v>
      </c>
      <c r="E48" t="str">
        <f t="shared" si="1"/>
        <v>Ramirez</v>
      </c>
      <c r="F48" t="str">
        <f t="shared" si="2"/>
        <v>Jose</v>
      </c>
      <c r="G48" t="str">
        <f t="shared" si="3"/>
        <v>Jose Ramirez</v>
      </c>
      <c r="H48" t="str">
        <f>VLOOKUP(G48,ADP!$B$1:$K$646,3,FALSE)</f>
        <v>3B/DH</v>
      </c>
      <c r="I48" s="10">
        <f t="shared" si="4"/>
        <v>0.35408594999999998</v>
      </c>
      <c r="J48" s="10">
        <f>VLOOKUP(G48,ADP!$B$1:$K$646,4,FALSE)</f>
        <v>5.8</v>
      </c>
      <c r="K48" s="11">
        <f t="shared" si="0"/>
        <v>1</v>
      </c>
    </row>
    <row r="49" spans="1:11" ht="17.25" customHeight="1" x14ac:dyDescent="0.2">
      <c r="A49" t="s">
        <v>1058</v>
      </c>
      <c r="B49">
        <v>0.34281904000000002</v>
      </c>
      <c r="E49" t="str">
        <f t="shared" si="1"/>
        <v>Semien</v>
      </c>
      <c r="F49" t="str">
        <f t="shared" si="2"/>
        <v>Marcus</v>
      </c>
      <c r="G49" t="str">
        <f t="shared" si="3"/>
        <v>Marcus Semien</v>
      </c>
      <c r="H49" t="str">
        <f>VLOOKUP(G49,ADP!$B$1:$K$646,3,FALSE)</f>
        <v>2B</v>
      </c>
      <c r="I49" s="10">
        <f t="shared" si="4"/>
        <v>0.34281904000000002</v>
      </c>
      <c r="J49" s="10">
        <f>VLOOKUP(G49,ADP!$B$1:$K$646,4,FALSE)</f>
        <v>251</v>
      </c>
      <c r="K49" s="11">
        <f t="shared" si="0"/>
        <v>21</v>
      </c>
    </row>
    <row r="50" spans="1:11" ht="17.25" customHeight="1" x14ac:dyDescent="0.2">
      <c r="A50" t="s">
        <v>1069</v>
      </c>
      <c r="B50">
        <v>0.32987523000000002</v>
      </c>
      <c r="E50" t="str">
        <f t="shared" si="1"/>
        <v>Langford</v>
      </c>
      <c r="F50" t="str">
        <f t="shared" si="2"/>
        <v>Wyatt</v>
      </c>
      <c r="G50" t="str">
        <f t="shared" si="3"/>
        <v>Wyatt Langford</v>
      </c>
      <c r="H50" t="str">
        <f>VLOOKUP(G50,ADP!$B$1:$K$646,3,FALSE)</f>
        <v>OF</v>
      </c>
      <c r="I50" s="10">
        <f t="shared" si="4"/>
        <v>0.32987523000000002</v>
      </c>
      <c r="J50" s="10">
        <f>VLOOKUP(G50,ADP!$B$1:$K$646,4,FALSE)</f>
        <v>41.2</v>
      </c>
      <c r="K50" s="11">
        <f t="shared" si="0"/>
        <v>4</v>
      </c>
    </row>
    <row r="51" spans="1:11" ht="17.25" customHeight="1" x14ac:dyDescent="0.2">
      <c r="A51" t="s">
        <v>1084</v>
      </c>
      <c r="B51">
        <v>0.31645151999999999</v>
      </c>
      <c r="E51" t="str">
        <f t="shared" si="1"/>
        <v>De La Cruz</v>
      </c>
      <c r="F51" t="str">
        <f t="shared" si="2"/>
        <v>Elly</v>
      </c>
      <c r="G51" t="str">
        <f t="shared" si="3"/>
        <v>Elly De La Cruz</v>
      </c>
      <c r="H51" t="str">
        <f>VLOOKUP(G51,ADP!$B$1:$K$646,3,FALSE)</f>
        <v>SS</v>
      </c>
      <c r="I51" s="10">
        <f t="shared" si="4"/>
        <v>0.31645151999999999</v>
      </c>
      <c r="J51" s="10">
        <f>VLOOKUP(G51,ADP!$B$1:$K$646,4,FALSE)</f>
        <v>8.5</v>
      </c>
      <c r="K51" s="11">
        <f t="shared" si="0"/>
        <v>1</v>
      </c>
    </row>
    <row r="52" spans="1:11" ht="17.25" customHeight="1" x14ac:dyDescent="0.2">
      <c r="A52" t="s">
        <v>1089</v>
      </c>
      <c r="B52">
        <v>0.30508044000000001</v>
      </c>
      <c r="E52" t="str">
        <f t="shared" si="1"/>
        <v>Raley</v>
      </c>
      <c r="F52" t="str">
        <f t="shared" si="2"/>
        <v>Luke</v>
      </c>
      <c r="G52" t="str">
        <f t="shared" si="3"/>
        <v>Luke Raley</v>
      </c>
      <c r="H52" t="e">
        <f>VLOOKUP(G52,ADP!$B$1:$K$646,3,FALSE)</f>
        <v>#N/A</v>
      </c>
      <c r="I52" s="10">
        <f t="shared" si="4"/>
        <v>0.30508044000000001</v>
      </c>
      <c r="J52" s="10" t="e">
        <f>VLOOKUP(G52,ADP!$B$1:$K$646,4,FALSE)</f>
        <v>#N/A</v>
      </c>
      <c r="K52" s="11" t="e">
        <f t="shared" si="0"/>
        <v>#N/A</v>
      </c>
    </row>
    <row r="53" spans="1:11" ht="17.25" customHeight="1" x14ac:dyDescent="0.2">
      <c r="A53" t="s">
        <v>1090</v>
      </c>
      <c r="B53">
        <v>0.30271086000000003</v>
      </c>
      <c r="E53" t="str">
        <f t="shared" si="1"/>
        <v>Turner</v>
      </c>
      <c r="F53" t="str">
        <f t="shared" si="2"/>
        <v>Trea</v>
      </c>
      <c r="G53" t="str">
        <f t="shared" si="3"/>
        <v>Trea Turner</v>
      </c>
      <c r="H53" t="str">
        <f>VLOOKUP(G53,ADP!$B$1:$K$646,3,FALSE)</f>
        <v>SS</v>
      </c>
      <c r="I53" s="10">
        <f t="shared" si="4"/>
        <v>0.30271086000000003</v>
      </c>
      <c r="J53" s="10">
        <f>VLOOKUP(G53,ADP!$B$1:$K$646,4,FALSE)</f>
        <v>27.8</v>
      </c>
      <c r="K53" s="11">
        <f t="shared" si="0"/>
        <v>3</v>
      </c>
    </row>
    <row r="54" spans="1:11" ht="17.25" customHeight="1" x14ac:dyDescent="0.2">
      <c r="A54" t="s">
        <v>1053</v>
      </c>
      <c r="B54">
        <v>0.30232727999999998</v>
      </c>
      <c r="E54" t="str">
        <f t="shared" si="1"/>
        <v>Chourio</v>
      </c>
      <c r="F54" t="str">
        <f t="shared" si="2"/>
        <v>Jackson</v>
      </c>
      <c r="G54" t="str">
        <f t="shared" si="3"/>
        <v>Jackson Chourio</v>
      </c>
      <c r="H54" t="str">
        <f>VLOOKUP(G54,ADP!$B$1:$K$646,3,FALSE)</f>
        <v>OF</v>
      </c>
      <c r="I54" s="10">
        <f t="shared" si="4"/>
        <v>0.30232727999999998</v>
      </c>
      <c r="J54" s="3">
        <f>VLOOKUP(G54,ADP!$B$1:$K$646,4,FALSE)</f>
        <v>19.600000000000001</v>
      </c>
      <c r="K54" s="11">
        <f t="shared" si="0"/>
        <v>2</v>
      </c>
    </row>
    <row r="55" spans="1:11" ht="17.25" customHeight="1" x14ac:dyDescent="0.2">
      <c r="A55" t="s">
        <v>1225</v>
      </c>
      <c r="B55">
        <v>0.29134408000000001</v>
      </c>
      <c r="E55" t="str">
        <f t="shared" si="1"/>
        <v>Herrera</v>
      </c>
      <c r="F55" t="str">
        <f t="shared" si="2"/>
        <v>Ivan</v>
      </c>
      <c r="G55" t="str">
        <f t="shared" si="3"/>
        <v>Ivan Herrera</v>
      </c>
      <c r="H55" t="str">
        <f>VLOOKUP(G55,ADP!$B$1:$K$646,3,FALSE)</f>
        <v>DH</v>
      </c>
      <c r="I55" s="10">
        <f t="shared" si="4"/>
        <v>0.29134408000000001</v>
      </c>
      <c r="J55" s="3">
        <f>VLOOKUP(G55,ADP!$B$1:$K$646,4,FALSE)</f>
        <v>157.9</v>
      </c>
      <c r="K55" s="11">
        <f t="shared" si="0"/>
        <v>14</v>
      </c>
    </row>
    <row r="56" spans="1:11" ht="17.25" customHeight="1" x14ac:dyDescent="0.2">
      <c r="A56" t="s">
        <v>1039</v>
      </c>
      <c r="B56">
        <v>0.29097086</v>
      </c>
      <c r="E56" t="str">
        <f t="shared" si="1"/>
        <v>Trout</v>
      </c>
      <c r="F56" t="str">
        <f t="shared" si="2"/>
        <v>Mike</v>
      </c>
      <c r="G56" t="str">
        <f t="shared" si="3"/>
        <v>Mike Trout</v>
      </c>
      <c r="H56" t="str">
        <f>VLOOKUP(G56,ADP!$B$1:$K$646,3,FALSE)</f>
        <v>OF/DH</v>
      </c>
      <c r="I56" s="10">
        <f t="shared" si="4"/>
        <v>0.29097086</v>
      </c>
      <c r="J56" s="10">
        <f>VLOOKUP(G56,ADP!$B$1:$K$646,4,FALSE)</f>
        <v>174.1</v>
      </c>
      <c r="K56" s="11">
        <f t="shared" si="0"/>
        <v>15</v>
      </c>
    </row>
    <row r="57" spans="1:11" ht="17.25" customHeight="1" x14ac:dyDescent="0.2">
      <c r="A57" t="s">
        <v>1149</v>
      </c>
      <c r="B57">
        <v>0.28268072</v>
      </c>
      <c r="E57" t="str">
        <f t="shared" si="1"/>
        <v>Swanson</v>
      </c>
      <c r="F57" t="str">
        <f t="shared" si="2"/>
        <v>Dansby</v>
      </c>
      <c r="G57" t="str">
        <f t="shared" si="3"/>
        <v>Dansby Swanson</v>
      </c>
      <c r="H57" t="str">
        <f>VLOOKUP(G57,ADP!$B$1:$K$646,3,FALSE)</f>
        <v>SS</v>
      </c>
      <c r="I57" s="10">
        <f t="shared" si="4"/>
        <v>0.28268072</v>
      </c>
      <c r="J57" s="10">
        <f>VLOOKUP(G57,ADP!$B$1:$K$646,4,FALSE)</f>
        <v>153.6</v>
      </c>
      <c r="K57" s="11">
        <f t="shared" si="0"/>
        <v>13</v>
      </c>
    </row>
    <row r="58" spans="1:11" ht="17.25" customHeight="1" x14ac:dyDescent="0.2">
      <c r="A58" t="s">
        <v>1150</v>
      </c>
      <c r="B58">
        <v>0.27564981999999999</v>
      </c>
      <c r="E58" t="str">
        <f t="shared" si="1"/>
        <v>Bauers</v>
      </c>
      <c r="F58" t="str">
        <f t="shared" si="2"/>
        <v>Jake</v>
      </c>
      <c r="G58" t="str">
        <f t="shared" si="3"/>
        <v>Jake Bauers</v>
      </c>
      <c r="H58" t="e">
        <f>VLOOKUP(G58,ADP!$B$1:$K$646,3,FALSE)</f>
        <v>#N/A</v>
      </c>
      <c r="I58" s="10">
        <f t="shared" si="4"/>
        <v>0.27564981999999999</v>
      </c>
      <c r="J58" s="10" t="e">
        <f>VLOOKUP(G58,ADP!$B$1:$K$646,4,FALSE)</f>
        <v>#N/A</v>
      </c>
      <c r="K58" s="11" t="e">
        <f t="shared" si="0"/>
        <v>#N/A</v>
      </c>
    </row>
    <row r="59" spans="1:11" ht="17.25" customHeight="1" x14ac:dyDescent="0.2">
      <c r="A59" t="s">
        <v>1151</v>
      </c>
      <c r="B59">
        <v>0.26862029999999998</v>
      </c>
      <c r="E59" t="str">
        <f t="shared" si="1"/>
        <v>Vaughn</v>
      </c>
      <c r="F59" t="str">
        <f t="shared" si="2"/>
        <v>Andrew</v>
      </c>
      <c r="G59" t="str">
        <f t="shared" si="3"/>
        <v>Andrew Vaughn</v>
      </c>
      <c r="H59" t="str">
        <f>VLOOKUP(G59,ADP!$B$1:$K$646,3,FALSE)</f>
        <v>1B</v>
      </c>
      <c r="I59" s="10">
        <f t="shared" si="4"/>
        <v>0.26862029999999998</v>
      </c>
      <c r="J59" s="10">
        <f>VLOOKUP(G59,ADP!$B$1:$K$646,4,FALSE)</f>
        <v>334.1</v>
      </c>
      <c r="K59" s="11">
        <f t="shared" si="0"/>
        <v>28</v>
      </c>
    </row>
    <row r="60" spans="1:11" ht="17.25" customHeight="1" x14ac:dyDescent="0.2">
      <c r="A60" t="s">
        <v>1037</v>
      </c>
      <c r="B60">
        <v>0.26704280000000002</v>
      </c>
      <c r="E60" t="str">
        <f t="shared" si="1"/>
        <v>Henderson</v>
      </c>
      <c r="F60" t="str">
        <f t="shared" si="2"/>
        <v>Gunnar</v>
      </c>
      <c r="G60" t="str">
        <f t="shared" si="3"/>
        <v>Gunnar Henderson</v>
      </c>
      <c r="H60" t="str">
        <f>VLOOKUP(G60,ADP!$B$1:$K$646,3,FALSE)</f>
        <v>SS</v>
      </c>
      <c r="I60" s="10">
        <f t="shared" si="4"/>
        <v>0.26704280000000002</v>
      </c>
      <c r="J60" s="10">
        <f>VLOOKUP(G60,ADP!$B$1:$K$646,4,FALSE)</f>
        <v>12.8</v>
      </c>
      <c r="K60" s="11">
        <f t="shared" si="0"/>
        <v>2</v>
      </c>
    </row>
    <row r="61" spans="1:11" ht="17.25" customHeight="1" x14ac:dyDescent="0.2">
      <c r="A61" t="s">
        <v>1152</v>
      </c>
      <c r="B61">
        <v>0.26665022999999999</v>
      </c>
      <c r="E61" t="str">
        <f t="shared" si="1"/>
        <v>Clement</v>
      </c>
      <c r="F61" t="str">
        <f t="shared" si="2"/>
        <v>Ernie</v>
      </c>
      <c r="G61" t="str">
        <f t="shared" si="3"/>
        <v>Ernie Clement</v>
      </c>
      <c r="H61" t="str">
        <f>VLOOKUP(G61,ADP!$B$1:$K$646,3,FALSE)</f>
        <v>2B/3B/SS</v>
      </c>
      <c r="I61" s="10">
        <f t="shared" si="4"/>
        <v>0.26665022999999999</v>
      </c>
      <c r="J61" s="10">
        <f>VLOOKUP(G61,ADP!$B$1:$K$646,4,FALSE)</f>
        <v>333.2</v>
      </c>
      <c r="K61" s="11">
        <f t="shared" si="0"/>
        <v>28</v>
      </c>
    </row>
    <row r="62" spans="1:11" ht="17.25" customHeight="1" x14ac:dyDescent="0.2">
      <c r="A62" t="s">
        <v>1080</v>
      </c>
      <c r="B62">
        <v>0.26593715000000001</v>
      </c>
      <c r="E62" t="str">
        <f t="shared" si="1"/>
        <v>Tovar</v>
      </c>
      <c r="F62" t="str">
        <f t="shared" si="2"/>
        <v>Ezequiel</v>
      </c>
      <c r="G62" t="str">
        <f t="shared" si="3"/>
        <v>Ezequiel Tovar</v>
      </c>
      <c r="H62" t="str">
        <f>VLOOKUP(G62,ADP!$B$1:$K$646,3,FALSE)</f>
        <v>SS</v>
      </c>
      <c r="I62" s="10">
        <f t="shared" si="4"/>
        <v>0.26593715000000001</v>
      </c>
      <c r="J62" s="3">
        <f>VLOOKUP(G62,ADP!$B$1:$K$646,4,FALSE)</f>
        <v>205.1</v>
      </c>
      <c r="K62" s="11">
        <f t="shared" si="0"/>
        <v>18</v>
      </c>
    </row>
    <row r="63" spans="1:11" ht="17.25" customHeight="1" x14ac:dyDescent="0.2">
      <c r="A63" t="s">
        <v>1076</v>
      </c>
      <c r="B63">
        <v>0.25719150000000002</v>
      </c>
      <c r="E63" t="str">
        <f t="shared" si="1"/>
        <v>Soderstrom</v>
      </c>
      <c r="F63" t="str">
        <f t="shared" si="2"/>
        <v>Tyler</v>
      </c>
      <c r="G63" t="str">
        <f t="shared" si="3"/>
        <v>Tyler Soderstrom</v>
      </c>
      <c r="H63" t="str">
        <f>VLOOKUP(G63,ADP!$B$1:$K$646,3,FALSE)</f>
        <v>1B/OF</v>
      </c>
      <c r="I63" s="10">
        <f t="shared" si="4"/>
        <v>0.25719150000000002</v>
      </c>
      <c r="J63" s="3">
        <f>VLOOKUP(G63,ADP!$B$1:$K$646,4,FALSE)</f>
        <v>86.6</v>
      </c>
      <c r="K63" s="11">
        <f t="shared" si="0"/>
        <v>8</v>
      </c>
    </row>
    <row r="64" spans="1:11" ht="17.25" customHeight="1" x14ac:dyDescent="0.2">
      <c r="A64" t="s">
        <v>1049</v>
      </c>
      <c r="B64">
        <v>0.25634119999999999</v>
      </c>
      <c r="E64" t="str">
        <f t="shared" si="1"/>
        <v>Harris II</v>
      </c>
      <c r="F64" t="str">
        <f t="shared" si="2"/>
        <v>Michael</v>
      </c>
      <c r="G64" t="str">
        <f t="shared" si="3"/>
        <v>Michael Harris II</v>
      </c>
      <c r="H64" t="str">
        <f>VLOOKUP(G64,ADP!$B$1:$K$646,3,FALSE)</f>
        <v>OF</v>
      </c>
      <c r="I64" s="10">
        <f t="shared" si="4"/>
        <v>0.25634119999999999</v>
      </c>
      <c r="J64" s="10">
        <f>VLOOKUP(G64,ADP!$B$1:$K$646,4,FALSE)</f>
        <v>100.5</v>
      </c>
      <c r="K64" s="11">
        <f t="shared" si="0"/>
        <v>9</v>
      </c>
    </row>
    <row r="65" spans="1:11" ht="17.25" customHeight="1" x14ac:dyDescent="0.2">
      <c r="A65" t="s">
        <v>1074</v>
      </c>
      <c r="B65">
        <v>0.25618764999999999</v>
      </c>
      <c r="E65" t="str">
        <f t="shared" si="1"/>
        <v>Doyle</v>
      </c>
      <c r="F65" t="str">
        <f t="shared" si="2"/>
        <v>Brenton</v>
      </c>
      <c r="G65" t="str">
        <f t="shared" si="3"/>
        <v>Brenton Doyle</v>
      </c>
      <c r="H65" t="str">
        <f>VLOOKUP(G65,ADP!$B$1:$K$646,3,FALSE)</f>
        <v>OF</v>
      </c>
      <c r="I65" s="10">
        <f t="shared" si="4"/>
        <v>0.25618764999999999</v>
      </c>
      <c r="J65" s="10">
        <f>VLOOKUP(G65,ADP!$B$1:$K$646,4,FALSE)</f>
        <v>161.5</v>
      </c>
      <c r="K65" s="11">
        <f t="shared" si="0"/>
        <v>14</v>
      </c>
    </row>
    <row r="66" spans="1:11" ht="17.25" customHeight="1" x14ac:dyDescent="0.2">
      <c r="A66" t="s">
        <v>1153</v>
      </c>
      <c r="B66">
        <v>0.25581482</v>
      </c>
      <c r="E66" t="str">
        <f t="shared" si="1"/>
        <v>Canzone</v>
      </c>
      <c r="F66" t="str">
        <f t="shared" si="2"/>
        <v>Dominic</v>
      </c>
      <c r="G66" t="str">
        <f t="shared" si="3"/>
        <v>Dominic Canzone</v>
      </c>
      <c r="H66" t="str">
        <f>VLOOKUP(G66,ADP!$B$1:$K$646,3,FALSE)</f>
        <v>OF</v>
      </c>
      <c r="I66" s="10">
        <f t="shared" si="4"/>
        <v>0.25581482</v>
      </c>
      <c r="J66" s="10">
        <f>VLOOKUP(G66,ADP!$B$1:$K$646,4,FALSE)</f>
        <v>541.9</v>
      </c>
      <c r="K66" s="11">
        <f t="shared" ref="K66:K129" si="5">_xlfn.CEILING.MATH(J66/12)</f>
        <v>46</v>
      </c>
    </row>
    <row r="67" spans="1:11" ht="17.25" customHeight="1" x14ac:dyDescent="0.2">
      <c r="A67" t="s">
        <v>1097</v>
      </c>
      <c r="B67">
        <v>0.25175953000000001</v>
      </c>
      <c r="E67" t="str">
        <f t="shared" ref="E67:E130" si="6">LEFT(A67, FIND(",", A67) - 1)</f>
        <v>Crews</v>
      </c>
      <c r="F67" t="str">
        <f t="shared" ref="F67:F130" si="7">TRIM(MID(A67, FIND(",", A67) + 1, LEN(A67)))</f>
        <v>Dylan</v>
      </c>
      <c r="G67" t="str">
        <f t="shared" ref="G67:G130" si="8">F67 &amp; " " &amp; E67</f>
        <v>Dylan Crews</v>
      </c>
      <c r="H67" t="str">
        <f>VLOOKUP(G67,ADP!$B$1:$K$646,3,FALSE)</f>
        <v>OF</v>
      </c>
      <c r="I67" s="10">
        <f t="shared" ref="I67:I130" si="9">B67</f>
        <v>0.25175953000000001</v>
      </c>
      <c r="J67" s="11">
        <f>VLOOKUP(G67,ADP!$B$1:$K$646,4,FALSE)</f>
        <v>161.69999999999999</v>
      </c>
      <c r="K67" s="11">
        <f t="shared" si="5"/>
        <v>14</v>
      </c>
    </row>
    <row r="68" spans="1:11" ht="17.25" customHeight="1" x14ac:dyDescent="0.2">
      <c r="A68" t="s">
        <v>1154</v>
      </c>
      <c r="B68">
        <v>0.24579903</v>
      </c>
      <c r="E68" t="str">
        <f t="shared" si="6"/>
        <v>Kepler</v>
      </c>
      <c r="F68" t="str">
        <f t="shared" si="7"/>
        <v>Max</v>
      </c>
      <c r="G68" t="str">
        <f t="shared" si="8"/>
        <v>Max Kepler</v>
      </c>
      <c r="H68" t="str">
        <f>VLOOKUP(G68,ADP!$B$1:$K$646,3,FALSE)</f>
        <v>OF</v>
      </c>
      <c r="I68" s="10">
        <f t="shared" si="9"/>
        <v>0.24579903</v>
      </c>
      <c r="J68" s="10">
        <f>VLOOKUP(G68,ADP!$B$1:$K$646,4,FALSE)</f>
        <v>0</v>
      </c>
      <c r="K68" s="11">
        <f t="shared" si="5"/>
        <v>0</v>
      </c>
    </row>
    <row r="69" spans="1:11" ht="17.25" customHeight="1" x14ac:dyDescent="0.2">
      <c r="A69" t="s">
        <v>1155</v>
      </c>
      <c r="B69">
        <v>0.24352756</v>
      </c>
      <c r="E69" t="str">
        <f t="shared" si="6"/>
        <v>Suzuki</v>
      </c>
      <c r="F69" t="str">
        <f t="shared" si="7"/>
        <v>Seiya</v>
      </c>
      <c r="G69" t="str">
        <f t="shared" si="8"/>
        <v>Seiya Suzuki</v>
      </c>
      <c r="H69" t="str">
        <f>VLOOKUP(G69,ADP!$B$1:$K$646,3,FALSE)</f>
        <v>OF/DH</v>
      </c>
      <c r="I69" s="10">
        <f t="shared" si="9"/>
        <v>0.24352756</v>
      </c>
      <c r="J69" s="10">
        <f>VLOOKUP(G69,ADP!$B$1:$K$646,4,FALSE)</f>
        <v>95.5</v>
      </c>
      <c r="K69" s="11">
        <f t="shared" si="5"/>
        <v>8</v>
      </c>
    </row>
    <row r="70" spans="1:11" ht="17.25" customHeight="1" x14ac:dyDescent="0.2">
      <c r="A70" t="s">
        <v>1091</v>
      </c>
      <c r="B70">
        <v>0.23750451</v>
      </c>
      <c r="E70" t="str">
        <f t="shared" si="6"/>
        <v>Stowers</v>
      </c>
      <c r="F70" t="str">
        <f t="shared" si="7"/>
        <v>Kyle</v>
      </c>
      <c r="G70" t="str">
        <f t="shared" si="8"/>
        <v>Kyle Stowers</v>
      </c>
      <c r="H70" t="str">
        <f>VLOOKUP(G70,ADP!$B$1:$K$646,3,FALSE)</f>
        <v>OF</v>
      </c>
      <c r="I70" s="10">
        <f t="shared" si="9"/>
        <v>0.23750451</v>
      </c>
      <c r="J70" s="10">
        <f>VLOOKUP(G70,ADP!$B$1:$K$646,4,FALSE)</f>
        <v>128.6</v>
      </c>
      <c r="K70" s="11">
        <f t="shared" si="5"/>
        <v>11</v>
      </c>
    </row>
    <row r="71" spans="1:11" ht="17.25" customHeight="1" x14ac:dyDescent="0.2">
      <c r="A71" t="s">
        <v>1156</v>
      </c>
      <c r="B71">
        <v>0.23108897</v>
      </c>
      <c r="E71" t="str">
        <f t="shared" si="6"/>
        <v>O'Neill</v>
      </c>
      <c r="F71" t="str">
        <f t="shared" si="7"/>
        <v>Tyler</v>
      </c>
      <c r="G71" t="str">
        <f t="shared" si="8"/>
        <v>Tyler O'Neill</v>
      </c>
      <c r="H71" t="str">
        <f>VLOOKUP(G71,ADP!$B$1:$K$646,3,FALSE)</f>
        <v>OF</v>
      </c>
      <c r="I71" s="10">
        <f t="shared" si="9"/>
        <v>0.23108897</v>
      </c>
      <c r="J71" s="10">
        <f>VLOOKUP(G71,ADP!$B$1:$K$646,4,FALSE)</f>
        <v>729.2</v>
      </c>
      <c r="K71" s="11">
        <f t="shared" si="5"/>
        <v>61</v>
      </c>
    </row>
    <row r="72" spans="1:11" ht="17.25" customHeight="1" x14ac:dyDescent="0.2">
      <c r="A72" t="s">
        <v>1101</v>
      </c>
      <c r="B72">
        <v>0.22754455000000001</v>
      </c>
      <c r="E72" t="str">
        <f t="shared" si="6"/>
        <v>Contreras</v>
      </c>
      <c r="F72" t="str">
        <f t="shared" si="7"/>
        <v>Willson</v>
      </c>
      <c r="G72" t="str">
        <f t="shared" si="8"/>
        <v>Willson Contreras</v>
      </c>
      <c r="H72" t="str">
        <f>VLOOKUP(G72,ADP!$B$1:$K$646,3,FALSE)</f>
        <v>1B</v>
      </c>
      <c r="I72" s="10">
        <f t="shared" si="9"/>
        <v>0.22754455000000001</v>
      </c>
      <c r="J72" s="10">
        <f>VLOOKUP(G72,ADP!$B$1:$K$646,4,FALSE)</f>
        <v>174.5</v>
      </c>
      <c r="K72" s="11">
        <f t="shared" si="5"/>
        <v>15</v>
      </c>
    </row>
    <row r="73" spans="1:11" ht="17.25" customHeight="1" x14ac:dyDescent="0.2">
      <c r="A73" t="s">
        <v>1157</v>
      </c>
      <c r="B73">
        <v>0.22378899999999999</v>
      </c>
      <c r="E73" t="str">
        <f t="shared" si="6"/>
        <v>Burger</v>
      </c>
      <c r="F73" t="str">
        <f t="shared" si="7"/>
        <v>Jake</v>
      </c>
      <c r="G73" t="str">
        <f t="shared" si="8"/>
        <v>Jake Burger</v>
      </c>
      <c r="H73" t="str">
        <f>VLOOKUP(G73,ADP!$B$1:$K$646,3,FALSE)</f>
        <v>1B</v>
      </c>
      <c r="I73" s="10">
        <f t="shared" si="9"/>
        <v>0.22378899999999999</v>
      </c>
      <c r="J73" s="10">
        <f>VLOOKUP(G73,ADP!$B$1:$K$646,4,FALSE)</f>
        <v>255.2</v>
      </c>
      <c r="K73" s="11">
        <f t="shared" si="5"/>
        <v>22</v>
      </c>
    </row>
    <row r="74" spans="1:11" ht="17.25" customHeight="1" x14ac:dyDescent="0.2">
      <c r="A74" t="s">
        <v>1226</v>
      </c>
      <c r="B74">
        <v>0.22174667000000001</v>
      </c>
      <c r="E74" t="str">
        <f t="shared" si="6"/>
        <v>Hernandez</v>
      </c>
      <c r="F74" t="str">
        <f t="shared" si="7"/>
        <v>Heriberto</v>
      </c>
      <c r="G74" t="str">
        <f t="shared" si="8"/>
        <v>Heriberto Hernandez</v>
      </c>
      <c r="H74" t="str">
        <f>VLOOKUP(G74,ADP!$B$1:$K$646,3,FALSE)</f>
        <v>OF/DH</v>
      </c>
      <c r="I74" s="10">
        <f t="shared" si="9"/>
        <v>0.22174667000000001</v>
      </c>
      <c r="J74" s="10">
        <f>VLOOKUP(G74,ADP!$B$1:$K$646,4,FALSE)</f>
        <v>0</v>
      </c>
      <c r="K74" s="11">
        <f t="shared" si="5"/>
        <v>0</v>
      </c>
    </row>
    <row r="75" spans="1:11" ht="17.25" customHeight="1" x14ac:dyDescent="0.2">
      <c r="A75" t="s">
        <v>1158</v>
      </c>
      <c r="B75">
        <v>0.20979042000000001</v>
      </c>
      <c r="E75" t="str">
        <f t="shared" si="6"/>
        <v>Caglianone</v>
      </c>
      <c r="F75" t="str">
        <f t="shared" si="7"/>
        <v>Jac</v>
      </c>
      <c r="G75" t="str">
        <f t="shared" si="8"/>
        <v>Jac Caglianone</v>
      </c>
      <c r="H75" t="str">
        <f>VLOOKUP(G75,ADP!$B$1:$K$646,3,FALSE)</f>
        <v>OF</v>
      </c>
      <c r="I75" s="10">
        <f t="shared" si="9"/>
        <v>0.20979042000000001</v>
      </c>
      <c r="J75" s="10">
        <f>VLOOKUP(G75,ADP!$B$1:$K$646,4,FALSE)</f>
        <v>209.4</v>
      </c>
      <c r="K75" s="11">
        <f t="shared" si="5"/>
        <v>18</v>
      </c>
    </row>
    <row r="76" spans="1:11" ht="17.25" customHeight="1" x14ac:dyDescent="0.2">
      <c r="A76" t="s">
        <v>1093</v>
      </c>
      <c r="B76">
        <v>0.19854160000000001</v>
      </c>
      <c r="E76" t="str">
        <f t="shared" si="6"/>
        <v>Gonzales</v>
      </c>
      <c r="F76" t="str">
        <f t="shared" si="7"/>
        <v>Nick</v>
      </c>
      <c r="G76" t="str">
        <f t="shared" si="8"/>
        <v>Nick Gonzales</v>
      </c>
      <c r="H76" t="e">
        <f>VLOOKUP(G76,ADP!$B$1:$K$646,3,FALSE)</f>
        <v>#N/A</v>
      </c>
      <c r="I76" s="10">
        <f t="shared" si="9"/>
        <v>0.19854160000000001</v>
      </c>
      <c r="J76" s="10" t="e">
        <f>VLOOKUP(G76,ADP!$B$1:$K$646,4,FALSE)</f>
        <v>#N/A</v>
      </c>
      <c r="K76" s="11" t="e">
        <f t="shared" si="5"/>
        <v>#N/A</v>
      </c>
    </row>
    <row r="77" spans="1:11" ht="17.25" customHeight="1" x14ac:dyDescent="0.2">
      <c r="A77" t="s">
        <v>1064</v>
      </c>
      <c r="B77">
        <v>0.19621219000000001</v>
      </c>
      <c r="E77" t="str">
        <f t="shared" si="6"/>
        <v>Caminero</v>
      </c>
      <c r="F77" t="str">
        <f t="shared" si="7"/>
        <v>Junior</v>
      </c>
      <c r="G77" t="str">
        <f t="shared" si="8"/>
        <v>Junior Caminero</v>
      </c>
      <c r="H77" t="str">
        <f>VLOOKUP(G77,ADP!$B$1:$K$646,3,FALSE)</f>
        <v>3B</v>
      </c>
      <c r="I77" s="10">
        <f t="shared" si="9"/>
        <v>0.19621219000000001</v>
      </c>
      <c r="J77" s="3">
        <f>VLOOKUP(G77,ADP!$B$1:$K$646,4,FALSE)</f>
        <v>16.3</v>
      </c>
      <c r="K77" s="11">
        <f t="shared" si="5"/>
        <v>2</v>
      </c>
    </row>
    <row r="78" spans="1:11" ht="17.25" customHeight="1" x14ac:dyDescent="0.2">
      <c r="A78" t="s">
        <v>1159</v>
      </c>
      <c r="B78">
        <v>0.19491281999999999</v>
      </c>
      <c r="E78" t="str">
        <f t="shared" si="6"/>
        <v>Straw</v>
      </c>
      <c r="F78" t="str">
        <f t="shared" si="7"/>
        <v>Myles</v>
      </c>
      <c r="G78" t="str">
        <f t="shared" si="8"/>
        <v>Myles Straw</v>
      </c>
      <c r="H78" t="str">
        <f>VLOOKUP(G78,ADP!$B$1:$K$646,3,FALSE)</f>
        <v>OF</v>
      </c>
      <c r="I78" s="10">
        <f t="shared" si="9"/>
        <v>0.19491281999999999</v>
      </c>
      <c r="J78" s="10">
        <f>VLOOKUP(G78,ADP!$B$1:$K$646,4,FALSE)</f>
        <v>0</v>
      </c>
      <c r="K78" s="11">
        <f t="shared" si="5"/>
        <v>0</v>
      </c>
    </row>
    <row r="79" spans="1:11" ht="17.25" customHeight="1" x14ac:dyDescent="0.2">
      <c r="A79" t="s">
        <v>1160</v>
      </c>
      <c r="B79">
        <v>0.19392271</v>
      </c>
      <c r="E79" t="str">
        <f t="shared" si="6"/>
        <v>Abreu</v>
      </c>
      <c r="F79" t="str">
        <f t="shared" si="7"/>
        <v>Wilyer</v>
      </c>
      <c r="G79" t="str">
        <f t="shared" si="8"/>
        <v>Wilyer Abreu</v>
      </c>
      <c r="H79" t="str">
        <f>VLOOKUP(G79,ADP!$B$1:$K$646,3,FALSE)</f>
        <v>OF</v>
      </c>
      <c r="I79" s="10">
        <f t="shared" si="9"/>
        <v>0.19392271</v>
      </c>
      <c r="J79" s="3">
        <f>VLOOKUP(G79,ADP!$B$1:$K$646,4,FALSE)</f>
        <v>219.2</v>
      </c>
      <c r="K79" s="11">
        <f t="shared" si="5"/>
        <v>19</v>
      </c>
    </row>
    <row r="80" spans="1:11" ht="17.25" customHeight="1" x14ac:dyDescent="0.2">
      <c r="A80" t="s">
        <v>1161</v>
      </c>
      <c r="B80">
        <v>0.18759397</v>
      </c>
      <c r="E80" t="str">
        <f t="shared" si="6"/>
        <v>Freeman</v>
      </c>
      <c r="F80" t="str">
        <f t="shared" si="7"/>
        <v>Tyler</v>
      </c>
      <c r="G80" t="str">
        <f t="shared" si="8"/>
        <v>Tyler Freeman</v>
      </c>
      <c r="H80" t="str">
        <f>VLOOKUP(G80,ADP!$B$1:$K$646,3,FALSE)</f>
        <v>OF/DH</v>
      </c>
      <c r="I80" s="10">
        <f t="shared" si="9"/>
        <v>0.18759397</v>
      </c>
      <c r="J80" s="3">
        <f>VLOOKUP(G80,ADP!$B$1:$K$646,4,FALSE)</f>
        <v>740.6</v>
      </c>
      <c r="K80" s="11">
        <f t="shared" si="5"/>
        <v>62</v>
      </c>
    </row>
    <row r="81" spans="1:11" ht="17.25" customHeight="1" x14ac:dyDescent="0.2">
      <c r="A81" t="s">
        <v>1051</v>
      </c>
      <c r="B81">
        <v>0.18670042000000001</v>
      </c>
      <c r="E81" t="str">
        <f t="shared" si="6"/>
        <v>Tucker</v>
      </c>
      <c r="F81" t="str">
        <f t="shared" si="7"/>
        <v>Kyle</v>
      </c>
      <c r="G81" t="str">
        <f t="shared" si="8"/>
        <v>Kyle Tucker</v>
      </c>
      <c r="H81" t="str">
        <f>VLOOKUP(G81,ADP!$B$1:$K$646,3,FALSE)</f>
        <v>OF</v>
      </c>
      <c r="I81" s="10">
        <f t="shared" si="9"/>
        <v>0.18670042000000001</v>
      </c>
      <c r="J81" s="10">
        <f>VLOOKUP(G81,ADP!$B$1:$K$646,4,FALSE)</f>
        <v>14.4</v>
      </c>
      <c r="K81" s="11">
        <f t="shared" si="5"/>
        <v>2</v>
      </c>
    </row>
    <row r="82" spans="1:11" ht="17.25" customHeight="1" x14ac:dyDescent="0.2">
      <c r="A82" t="s">
        <v>1227</v>
      </c>
      <c r="B82">
        <v>0.18441376000000001</v>
      </c>
      <c r="E82" t="str">
        <f t="shared" si="6"/>
        <v>Dominguez</v>
      </c>
      <c r="F82" t="str">
        <f t="shared" si="7"/>
        <v>Jasson</v>
      </c>
      <c r="G82" t="str">
        <f t="shared" si="8"/>
        <v>Jasson Dominguez</v>
      </c>
      <c r="H82" t="str">
        <f>VLOOKUP(G82,ADP!$B$1:$K$646,3,FALSE)</f>
        <v>OF</v>
      </c>
      <c r="I82" s="10">
        <f t="shared" si="9"/>
        <v>0.18441376000000001</v>
      </c>
      <c r="J82" s="10">
        <f>VLOOKUP(G82,ADP!$B$1:$K$646,4,FALSE)</f>
        <v>322</v>
      </c>
      <c r="K82" s="11">
        <f t="shared" si="5"/>
        <v>27</v>
      </c>
    </row>
    <row r="83" spans="1:11" ht="17.25" customHeight="1" x14ac:dyDescent="0.2">
      <c r="A83" t="s">
        <v>1059</v>
      </c>
      <c r="B83">
        <v>0.17824777999999999</v>
      </c>
      <c r="E83" t="str">
        <f t="shared" si="6"/>
        <v>Perez</v>
      </c>
      <c r="F83" t="str">
        <f t="shared" si="7"/>
        <v>Salvador</v>
      </c>
      <c r="G83" t="str">
        <f t="shared" si="8"/>
        <v>Salvador Perez</v>
      </c>
      <c r="H83" t="str">
        <f>VLOOKUP(G83,ADP!$B$1:$K$646,3,FALSE)</f>
        <v>C/1B/DH</v>
      </c>
      <c r="I83" s="10">
        <f t="shared" si="9"/>
        <v>0.17824777999999999</v>
      </c>
      <c r="J83" s="10">
        <f>VLOOKUP(G83,ADP!$B$1:$K$646,4,FALSE)</f>
        <v>94.3</v>
      </c>
      <c r="K83" s="11">
        <f t="shared" si="5"/>
        <v>8</v>
      </c>
    </row>
    <row r="84" spans="1:11" ht="17.25" customHeight="1" x14ac:dyDescent="0.2">
      <c r="A84" t="s">
        <v>1036</v>
      </c>
      <c r="B84">
        <v>0.16818379999999999</v>
      </c>
      <c r="E84" t="str">
        <f t="shared" si="6"/>
        <v>Chapman</v>
      </c>
      <c r="F84" t="str">
        <f t="shared" si="7"/>
        <v>Matt</v>
      </c>
      <c r="G84" t="str">
        <f t="shared" si="8"/>
        <v>Matt Chapman</v>
      </c>
      <c r="H84" t="str">
        <f>VLOOKUP(G84,ADP!$B$1:$K$646,3,FALSE)</f>
        <v>3B</v>
      </c>
      <c r="I84" s="10">
        <f t="shared" si="9"/>
        <v>0.16818379999999999</v>
      </c>
      <c r="J84" s="11">
        <f>VLOOKUP(G84,ADP!$B$1:$K$646,4,FALSE)</f>
        <v>168</v>
      </c>
      <c r="K84" s="11">
        <f t="shared" si="5"/>
        <v>14</v>
      </c>
    </row>
    <row r="85" spans="1:11" ht="17.25" customHeight="1" x14ac:dyDescent="0.2">
      <c r="A85" t="s">
        <v>1162</v>
      </c>
      <c r="B85">
        <v>0.16656013</v>
      </c>
      <c r="E85" t="str">
        <f t="shared" si="6"/>
        <v>Freeman</v>
      </c>
      <c r="F85" t="str">
        <f t="shared" si="7"/>
        <v>Freddie</v>
      </c>
      <c r="G85" t="str">
        <f t="shared" si="8"/>
        <v>Freddie Freeman</v>
      </c>
      <c r="H85" t="str">
        <f>VLOOKUP(G85,ADP!$B$1:$K$646,3,FALSE)</f>
        <v>1B</v>
      </c>
      <c r="I85" s="10">
        <f t="shared" si="9"/>
        <v>0.16656013</v>
      </c>
      <c r="J85" s="10">
        <f>VLOOKUP(G85,ADP!$B$1:$K$646,4,FALSE)</f>
        <v>70.2</v>
      </c>
      <c r="K85" s="11">
        <f t="shared" si="5"/>
        <v>6</v>
      </c>
    </row>
    <row r="86" spans="1:11" ht="17.25" customHeight="1" x14ac:dyDescent="0.2">
      <c r="A86" t="s">
        <v>1163</v>
      </c>
      <c r="B86">
        <v>0.16656013</v>
      </c>
      <c r="E86" t="str">
        <f t="shared" si="6"/>
        <v>Goldschmidt</v>
      </c>
      <c r="F86" t="str">
        <f t="shared" si="7"/>
        <v>Paul</v>
      </c>
      <c r="G86" t="str">
        <f t="shared" si="8"/>
        <v>Paul Goldschmidt</v>
      </c>
      <c r="H86" t="str">
        <f>VLOOKUP(G86,ADP!$B$1:$K$646,3,FALSE)</f>
        <v>1B</v>
      </c>
      <c r="I86" s="10">
        <f t="shared" si="9"/>
        <v>0.16656013</v>
      </c>
      <c r="J86" s="10">
        <f>VLOOKUP(G86,ADP!$B$1:$K$646,4,FALSE)</f>
        <v>740.4</v>
      </c>
      <c r="K86" s="11">
        <f t="shared" si="5"/>
        <v>62</v>
      </c>
    </row>
    <row r="87" spans="1:11" ht="17.25" customHeight="1" x14ac:dyDescent="0.2">
      <c r="A87" t="s">
        <v>1098</v>
      </c>
      <c r="B87">
        <v>0.16656013</v>
      </c>
      <c r="E87" t="str">
        <f t="shared" si="6"/>
        <v>Pasquantino</v>
      </c>
      <c r="F87" t="str">
        <f t="shared" si="7"/>
        <v>Vinnie</v>
      </c>
      <c r="G87" t="str">
        <f t="shared" si="8"/>
        <v>Vinnie Pasquantino</v>
      </c>
      <c r="H87" t="str">
        <f>VLOOKUP(G87,ADP!$B$1:$K$646,3,FALSE)</f>
        <v>1B/DH</v>
      </c>
      <c r="I87" s="10">
        <f t="shared" si="9"/>
        <v>0.16656013</v>
      </c>
      <c r="J87" s="10">
        <f>VLOOKUP(G87,ADP!$B$1:$K$646,4,FALSE)</f>
        <v>79.3</v>
      </c>
      <c r="K87" s="11">
        <f t="shared" si="5"/>
        <v>7</v>
      </c>
    </row>
    <row r="88" spans="1:11" ht="17.25" customHeight="1" x14ac:dyDescent="0.2">
      <c r="A88" t="s">
        <v>1066</v>
      </c>
      <c r="B88">
        <v>0.16656013</v>
      </c>
      <c r="E88" t="str">
        <f t="shared" si="6"/>
        <v>Lindor</v>
      </c>
      <c r="F88" t="str">
        <f t="shared" si="7"/>
        <v>Francisco</v>
      </c>
      <c r="G88" t="str">
        <f t="shared" si="8"/>
        <v>Francisco Lindor</v>
      </c>
      <c r="H88" t="str">
        <f>VLOOKUP(G88,ADP!$B$1:$K$646,3,FALSE)</f>
        <v>SS</v>
      </c>
      <c r="I88" s="10">
        <f t="shared" si="9"/>
        <v>0.16656013</v>
      </c>
      <c r="J88" s="10">
        <f>VLOOKUP(G88,ADP!$B$1:$K$646,4,FALSE)</f>
        <v>23.4</v>
      </c>
      <c r="K88" s="11">
        <f t="shared" si="5"/>
        <v>2</v>
      </c>
    </row>
    <row r="89" spans="1:11" ht="17.25" customHeight="1" x14ac:dyDescent="0.2">
      <c r="A89" t="s">
        <v>1228</v>
      </c>
      <c r="B89">
        <v>0.16448499999999999</v>
      </c>
      <c r="E89" t="str">
        <f t="shared" si="6"/>
        <v>Sanchez</v>
      </c>
      <c r="F89" t="str">
        <f t="shared" si="7"/>
        <v>Jesus</v>
      </c>
      <c r="G89" t="str">
        <f t="shared" si="8"/>
        <v>Jesus Sanchez</v>
      </c>
      <c r="H89" t="str">
        <f>VLOOKUP(G89,ADP!$B$1:$K$646,3,FALSE)</f>
        <v>OF</v>
      </c>
      <c r="I89" s="10">
        <f t="shared" si="9"/>
        <v>0.16448499999999999</v>
      </c>
      <c r="J89" s="10">
        <f>VLOOKUP(G89,ADP!$B$1:$K$646,4,FALSE)</f>
        <v>555</v>
      </c>
      <c r="K89" s="11">
        <f t="shared" si="5"/>
        <v>47</v>
      </c>
    </row>
    <row r="90" spans="1:11" ht="17.25" customHeight="1" x14ac:dyDescent="0.2">
      <c r="A90" t="s">
        <v>1164</v>
      </c>
      <c r="B90">
        <v>0.1603975</v>
      </c>
      <c r="E90" t="str">
        <f t="shared" si="6"/>
        <v>Nimmo</v>
      </c>
      <c r="F90" t="str">
        <f t="shared" si="7"/>
        <v>Brandon</v>
      </c>
      <c r="G90" t="str">
        <f t="shared" si="8"/>
        <v>Brandon Nimmo</v>
      </c>
      <c r="H90" t="str">
        <f>VLOOKUP(G90,ADP!$B$1:$K$646,3,FALSE)</f>
        <v>OF</v>
      </c>
      <c r="I90" s="10">
        <f t="shared" si="9"/>
        <v>0.1603975</v>
      </c>
      <c r="J90" s="10">
        <f>VLOOKUP(G90,ADP!$B$1:$K$646,4,FALSE)</f>
        <v>147.6</v>
      </c>
      <c r="K90" s="11">
        <f t="shared" si="5"/>
        <v>13</v>
      </c>
    </row>
    <row r="91" spans="1:11" ht="17.25" customHeight="1" x14ac:dyDescent="0.2">
      <c r="A91" t="s">
        <v>1165</v>
      </c>
      <c r="B91">
        <v>0.15538605</v>
      </c>
      <c r="E91" t="str">
        <f t="shared" si="6"/>
        <v>Baldwin</v>
      </c>
      <c r="F91" t="str">
        <f t="shared" si="7"/>
        <v>Drake</v>
      </c>
      <c r="G91" t="str">
        <f t="shared" si="8"/>
        <v>Drake Baldwin</v>
      </c>
      <c r="H91" t="str">
        <f>VLOOKUP(G91,ADP!$B$1:$K$646,3,FALSE)</f>
        <v>C</v>
      </c>
      <c r="I91" s="10">
        <f t="shared" si="9"/>
        <v>0.15538605</v>
      </c>
      <c r="J91" s="10">
        <f>VLOOKUP(G91,ADP!$B$1:$K$646,4,FALSE)</f>
        <v>88.3</v>
      </c>
      <c r="K91" s="11">
        <f t="shared" si="5"/>
        <v>8</v>
      </c>
    </row>
    <row r="92" spans="1:11" ht="17.25" customHeight="1" x14ac:dyDescent="0.2">
      <c r="A92" t="s">
        <v>1047</v>
      </c>
      <c r="B92">
        <v>0.15510124</v>
      </c>
      <c r="E92" t="str">
        <f t="shared" si="6"/>
        <v>Marte</v>
      </c>
      <c r="F92" t="str">
        <f t="shared" si="7"/>
        <v>Ketel</v>
      </c>
      <c r="G92" t="str">
        <f t="shared" si="8"/>
        <v>Ketel Marte</v>
      </c>
      <c r="H92" t="str">
        <f>VLOOKUP(G92,ADP!$B$1:$K$646,3,FALSE)</f>
        <v>2B/DH</v>
      </c>
      <c r="I92" s="10">
        <f t="shared" si="9"/>
        <v>0.15510124</v>
      </c>
      <c r="J92" s="3">
        <f>VLOOKUP(G92,ADP!$B$1:$K$646,4,FALSE)</f>
        <v>32.6</v>
      </c>
      <c r="K92" s="11">
        <f t="shared" si="5"/>
        <v>3</v>
      </c>
    </row>
    <row r="93" spans="1:11" ht="17.25" customHeight="1" x14ac:dyDescent="0.2">
      <c r="A93" t="s">
        <v>1071</v>
      </c>
      <c r="B93">
        <v>0.15410460000000001</v>
      </c>
      <c r="E93" t="str">
        <f t="shared" si="6"/>
        <v>Contreras</v>
      </c>
      <c r="F93" t="str">
        <f t="shared" si="7"/>
        <v>William</v>
      </c>
      <c r="G93" t="str">
        <f t="shared" si="8"/>
        <v>William Contreras</v>
      </c>
      <c r="H93" t="str">
        <f>VLOOKUP(G93,ADP!$B$1:$K$646,3,FALSE)</f>
        <v>C/DH</v>
      </c>
      <c r="I93" s="10">
        <f t="shared" si="9"/>
        <v>0.15410460000000001</v>
      </c>
      <c r="J93" s="10">
        <f>VLOOKUP(G93,ADP!$B$1:$K$646,4,FALSE)</f>
        <v>53.3</v>
      </c>
      <c r="K93" s="11">
        <f t="shared" si="5"/>
        <v>5</v>
      </c>
    </row>
    <row r="94" spans="1:11" ht="17.25" customHeight="1" x14ac:dyDescent="0.2">
      <c r="A94" t="s">
        <v>1166</v>
      </c>
      <c r="B94">
        <v>0.15321723000000001</v>
      </c>
      <c r="E94" t="str">
        <f t="shared" si="6"/>
        <v>Clemens</v>
      </c>
      <c r="F94" t="str">
        <f t="shared" si="7"/>
        <v>Kody</v>
      </c>
      <c r="G94" t="str">
        <f t="shared" si="8"/>
        <v>Kody Clemens</v>
      </c>
      <c r="H94" t="str">
        <f>VLOOKUP(G94,ADP!$B$1:$K$646,3,FALSE)</f>
        <v>1B/2B/OF</v>
      </c>
      <c r="I94" s="10">
        <f t="shared" si="9"/>
        <v>0.15321723000000001</v>
      </c>
      <c r="J94" s="3">
        <f>VLOOKUP(G94,ADP!$B$1:$K$646,4,FALSE)</f>
        <v>707.5</v>
      </c>
      <c r="K94" s="11">
        <f t="shared" si="5"/>
        <v>59</v>
      </c>
    </row>
    <row r="95" spans="1:11" ht="17.25" customHeight="1" x14ac:dyDescent="0.2">
      <c r="A95" t="s">
        <v>1167</v>
      </c>
      <c r="B95">
        <v>0.15297317999999999</v>
      </c>
      <c r="E95" t="str">
        <f t="shared" si="6"/>
        <v>Busch</v>
      </c>
      <c r="F95" t="str">
        <f t="shared" si="7"/>
        <v>Michael</v>
      </c>
      <c r="G95" t="str">
        <f t="shared" si="8"/>
        <v>Michael Busch</v>
      </c>
      <c r="H95" t="str">
        <f>VLOOKUP(G95,ADP!$B$1:$K$646,3,FALSE)</f>
        <v>1B</v>
      </c>
      <c r="I95" s="10">
        <f t="shared" si="9"/>
        <v>0.15297317999999999</v>
      </c>
      <c r="J95" s="3">
        <f>VLOOKUP(G95,ADP!$B$1:$K$646,4,FALSE)</f>
        <v>108.9</v>
      </c>
      <c r="K95" s="11">
        <f t="shared" si="5"/>
        <v>10</v>
      </c>
    </row>
    <row r="96" spans="1:11" ht="17.25" customHeight="1" x14ac:dyDescent="0.2">
      <c r="A96" t="s">
        <v>1168</v>
      </c>
      <c r="B96">
        <v>0.15048069</v>
      </c>
      <c r="E96" t="str">
        <f t="shared" si="6"/>
        <v>Kemp</v>
      </c>
      <c r="F96" t="str">
        <f t="shared" si="7"/>
        <v>Otto</v>
      </c>
      <c r="G96" t="str">
        <f t="shared" si="8"/>
        <v>Otto Kemp</v>
      </c>
      <c r="H96" t="e">
        <f>VLOOKUP(G96,ADP!$B$1:$K$646,3,FALSE)</f>
        <v>#N/A</v>
      </c>
      <c r="I96" s="10">
        <f t="shared" si="9"/>
        <v>0.15048069</v>
      </c>
      <c r="J96" s="10" t="e">
        <f>VLOOKUP(G96,ADP!$B$1:$K$646,4,FALSE)</f>
        <v>#N/A</v>
      </c>
      <c r="K96" s="11" t="e">
        <f t="shared" si="5"/>
        <v>#N/A</v>
      </c>
    </row>
    <row r="97" spans="1:11" ht="17.25" customHeight="1" x14ac:dyDescent="0.2">
      <c r="A97" t="s">
        <v>1169</v>
      </c>
      <c r="B97">
        <v>0.15048069</v>
      </c>
      <c r="E97" t="str">
        <f t="shared" si="6"/>
        <v>Alexander</v>
      </c>
      <c r="F97" t="str">
        <f t="shared" si="7"/>
        <v>Blaze</v>
      </c>
      <c r="G97" t="str">
        <f t="shared" si="8"/>
        <v>Blaze Alexander</v>
      </c>
      <c r="H97" t="e">
        <f>VLOOKUP(G97,ADP!$B$1:$K$646,3,FALSE)</f>
        <v>#N/A</v>
      </c>
      <c r="I97" s="10">
        <f t="shared" si="9"/>
        <v>0.15048069</v>
      </c>
      <c r="J97" s="10" t="e">
        <f>VLOOKUP(G97,ADP!$B$1:$K$646,4,FALSE)</f>
        <v>#N/A</v>
      </c>
      <c r="K97" s="11" t="e">
        <f t="shared" si="5"/>
        <v>#N/A</v>
      </c>
    </row>
    <row r="98" spans="1:11" ht="17.25" customHeight="1" x14ac:dyDescent="0.2">
      <c r="A98" t="s">
        <v>1081</v>
      </c>
      <c r="B98">
        <v>0.14871839000000001</v>
      </c>
      <c r="E98" t="str">
        <f t="shared" si="6"/>
        <v>Varsho</v>
      </c>
      <c r="F98" t="str">
        <f t="shared" si="7"/>
        <v>Daulton</v>
      </c>
      <c r="G98" t="str">
        <f t="shared" si="8"/>
        <v>Daulton Varsho</v>
      </c>
      <c r="H98" t="str">
        <f>VLOOKUP(G98,ADP!$B$1:$K$646,3,FALSE)</f>
        <v>OF</v>
      </c>
      <c r="I98" s="10">
        <f t="shared" si="9"/>
        <v>0.14871839000000001</v>
      </c>
      <c r="J98" s="10">
        <f>VLOOKUP(G98,ADP!$B$1:$K$646,4,FALSE)</f>
        <v>208.2</v>
      </c>
      <c r="K98" s="11">
        <f t="shared" si="5"/>
        <v>18</v>
      </c>
    </row>
    <row r="99" spans="1:11" ht="17.25" customHeight="1" x14ac:dyDescent="0.2">
      <c r="A99" t="s">
        <v>1075</v>
      </c>
      <c r="B99">
        <v>0.14760537000000001</v>
      </c>
      <c r="E99" t="str">
        <f t="shared" si="6"/>
        <v>Vargas</v>
      </c>
      <c r="F99" t="str">
        <f t="shared" si="7"/>
        <v>Miguel</v>
      </c>
      <c r="G99" t="str">
        <f t="shared" si="8"/>
        <v>Miguel Vargas</v>
      </c>
      <c r="H99" t="str">
        <f>VLOOKUP(G99,ADP!$B$1:$K$646,3,FALSE)</f>
        <v>1B/3B</v>
      </c>
      <c r="I99" s="10">
        <f t="shared" si="9"/>
        <v>0.14760537000000001</v>
      </c>
      <c r="J99" s="3">
        <f>VLOOKUP(G99,ADP!$B$1:$K$646,4,FALSE)</f>
        <v>319.39999999999998</v>
      </c>
      <c r="K99" s="11">
        <f t="shared" si="5"/>
        <v>27</v>
      </c>
    </row>
    <row r="100" spans="1:11" ht="17.25" customHeight="1" x14ac:dyDescent="0.2">
      <c r="A100" t="s">
        <v>1170</v>
      </c>
      <c r="B100">
        <v>0.14745512999999999</v>
      </c>
      <c r="E100" t="str">
        <f t="shared" si="6"/>
        <v>Polanco</v>
      </c>
      <c r="F100" t="str">
        <f t="shared" si="7"/>
        <v>Jorge</v>
      </c>
      <c r="G100" t="str">
        <f t="shared" si="8"/>
        <v>Jorge Polanco</v>
      </c>
      <c r="H100" t="str">
        <f>VLOOKUP(G100,ADP!$B$1:$K$646,3,FALSE)</f>
        <v>2B/DH</v>
      </c>
      <c r="I100" s="10">
        <f t="shared" si="9"/>
        <v>0.14745512999999999</v>
      </c>
      <c r="J100" s="10">
        <f>VLOOKUP(G100,ADP!$B$1:$K$646,4,FALSE)</f>
        <v>217.8</v>
      </c>
      <c r="K100" s="11">
        <f t="shared" si="5"/>
        <v>19</v>
      </c>
    </row>
    <row r="101" spans="1:11" ht="17.25" customHeight="1" x14ac:dyDescent="0.2">
      <c r="A101" t="s">
        <v>1033</v>
      </c>
      <c r="B101">
        <v>0.1458043</v>
      </c>
      <c r="E101" t="str">
        <f t="shared" si="6"/>
        <v>Riley</v>
      </c>
      <c r="F101" t="str">
        <f t="shared" si="7"/>
        <v>Austin</v>
      </c>
      <c r="G101" t="str">
        <f t="shared" si="8"/>
        <v>Austin Riley</v>
      </c>
      <c r="H101" t="str">
        <f>VLOOKUP(G101,ADP!$B$1:$K$646,3,FALSE)</f>
        <v>3B</v>
      </c>
      <c r="I101" s="10">
        <f t="shared" si="9"/>
        <v>0.1458043</v>
      </c>
      <c r="J101" s="3">
        <f>VLOOKUP(G101,ADP!$B$1:$K$646,4,FALSE)</f>
        <v>68.400000000000006</v>
      </c>
      <c r="K101" s="11">
        <f t="shared" si="5"/>
        <v>6</v>
      </c>
    </row>
    <row r="102" spans="1:11" ht="17.25" customHeight="1" x14ac:dyDescent="0.2">
      <c r="A102" t="s">
        <v>1171</v>
      </c>
      <c r="B102">
        <v>0.14264344000000001</v>
      </c>
      <c r="E102" t="str">
        <f t="shared" si="6"/>
        <v>Walker</v>
      </c>
      <c r="F102" t="str">
        <f t="shared" si="7"/>
        <v>Jordan</v>
      </c>
      <c r="G102" t="str">
        <f t="shared" si="8"/>
        <v>Jordan Walker</v>
      </c>
      <c r="H102" t="str">
        <f>VLOOKUP(G102,ADP!$B$1:$K$646,3,FALSE)</f>
        <v>OF</v>
      </c>
      <c r="I102" s="10">
        <f t="shared" si="9"/>
        <v>0.14264344000000001</v>
      </c>
      <c r="J102" s="11">
        <f>VLOOKUP(G102,ADP!$B$1:$K$646,4,FALSE)</f>
        <v>371</v>
      </c>
      <c r="K102" s="11">
        <f t="shared" si="5"/>
        <v>31</v>
      </c>
    </row>
    <row r="103" spans="1:11" x14ac:dyDescent="0.2">
      <c r="A103" t="s">
        <v>1172</v>
      </c>
      <c r="B103">
        <v>0.14217930000000001</v>
      </c>
      <c r="E103" t="str">
        <f t="shared" si="6"/>
        <v>Mullins</v>
      </c>
      <c r="F103" t="str">
        <f t="shared" si="7"/>
        <v>Cedric</v>
      </c>
      <c r="G103" t="str">
        <f t="shared" si="8"/>
        <v>Cedric Mullins</v>
      </c>
      <c r="H103" t="str">
        <f>VLOOKUP(G103,ADP!$B$1:$K$646,3,FALSE)</f>
        <v>OF</v>
      </c>
      <c r="I103" s="10">
        <f t="shared" si="9"/>
        <v>0.14217930000000001</v>
      </c>
      <c r="J103" s="11">
        <f>VLOOKUP(G103,ADP!$B$1:$K$646,4,FALSE)</f>
        <v>314.3</v>
      </c>
      <c r="K103" s="11">
        <f t="shared" si="5"/>
        <v>27</v>
      </c>
    </row>
    <row r="104" spans="1:11" x14ac:dyDescent="0.2">
      <c r="A104" t="s">
        <v>1083</v>
      </c>
      <c r="B104">
        <v>0.14214477</v>
      </c>
      <c r="E104" t="str">
        <f t="shared" si="6"/>
        <v>Stott</v>
      </c>
      <c r="F104" t="str">
        <f t="shared" si="7"/>
        <v>Bryson</v>
      </c>
      <c r="G104" t="str">
        <f t="shared" si="8"/>
        <v>Bryson Stott</v>
      </c>
      <c r="H104" t="str">
        <f>VLOOKUP(G104,ADP!$B$1:$K$646,3,FALSE)</f>
        <v>2B</v>
      </c>
      <c r="I104" s="10">
        <f t="shared" si="9"/>
        <v>0.14214477</v>
      </c>
      <c r="J104" s="11">
        <f>VLOOKUP(G104,ADP!$B$1:$K$646,4,FALSE)</f>
        <v>185.2</v>
      </c>
      <c r="K104" s="11">
        <f t="shared" si="5"/>
        <v>16</v>
      </c>
    </row>
    <row r="105" spans="1:11" x14ac:dyDescent="0.2">
      <c r="A105" t="s">
        <v>1173</v>
      </c>
      <c r="B105">
        <v>0.13844194000000001</v>
      </c>
      <c r="E105" t="str">
        <f t="shared" si="6"/>
        <v>Kelly</v>
      </c>
      <c r="F105" t="str">
        <f t="shared" si="7"/>
        <v>Carson</v>
      </c>
      <c r="G105" t="str">
        <f t="shared" si="8"/>
        <v>Carson Kelly</v>
      </c>
      <c r="H105" t="str">
        <f>VLOOKUP(G105,ADP!$B$1:$K$646,3,FALSE)</f>
        <v>C</v>
      </c>
      <c r="I105" s="10">
        <f t="shared" si="9"/>
        <v>0.13844194000000001</v>
      </c>
      <c r="J105" s="11">
        <f>VLOOKUP(G105,ADP!$B$1:$K$646,4,FALSE)</f>
        <v>611.70000000000005</v>
      </c>
      <c r="K105" s="11">
        <f t="shared" si="5"/>
        <v>51</v>
      </c>
    </row>
    <row r="106" spans="1:11" x14ac:dyDescent="0.2">
      <c r="A106" t="s">
        <v>1174</v>
      </c>
      <c r="B106">
        <v>0.13691075</v>
      </c>
      <c r="E106" t="str">
        <f t="shared" si="6"/>
        <v>Turang</v>
      </c>
      <c r="F106" t="str">
        <f t="shared" si="7"/>
        <v>Brice</v>
      </c>
      <c r="G106" t="str">
        <f t="shared" si="8"/>
        <v>Brice Turang</v>
      </c>
      <c r="H106" t="str">
        <f>VLOOKUP(G106,ADP!$B$1:$K$646,3,FALSE)</f>
        <v>2B</v>
      </c>
      <c r="I106" s="10">
        <f t="shared" si="9"/>
        <v>0.13691075</v>
      </c>
      <c r="J106" s="11">
        <f>VLOOKUP(G106,ADP!$B$1:$K$646,4,FALSE)</f>
        <v>52.9</v>
      </c>
      <c r="K106" s="11">
        <f t="shared" si="5"/>
        <v>5</v>
      </c>
    </row>
    <row r="107" spans="1:11" x14ac:dyDescent="0.2">
      <c r="A107" t="s">
        <v>1079</v>
      </c>
      <c r="B107">
        <v>0.13374594000000001</v>
      </c>
      <c r="E107" t="str">
        <f t="shared" si="6"/>
        <v>Rooker</v>
      </c>
      <c r="F107" t="str">
        <f t="shared" si="7"/>
        <v>Brent</v>
      </c>
      <c r="G107" t="str">
        <f t="shared" si="8"/>
        <v>Brent Rooker</v>
      </c>
      <c r="H107" t="str">
        <f>VLOOKUP(G107,ADP!$B$1:$K$646,3,FALSE)</f>
        <v>OF/DH</v>
      </c>
      <c r="I107" s="10">
        <f t="shared" si="9"/>
        <v>0.13374594000000001</v>
      </c>
      <c r="J107" s="11">
        <f>VLOOKUP(G107,ADP!$B$1:$K$646,4,FALSE)</f>
        <v>51.7</v>
      </c>
      <c r="K107" s="11">
        <f t="shared" si="5"/>
        <v>5</v>
      </c>
    </row>
    <row r="108" spans="1:11" x14ac:dyDescent="0.2">
      <c r="A108" t="s">
        <v>1175</v>
      </c>
      <c r="B108">
        <v>0.13100329999999999</v>
      </c>
      <c r="E108" t="str">
        <f t="shared" si="6"/>
        <v>Holliday</v>
      </c>
      <c r="F108" t="str">
        <f t="shared" si="7"/>
        <v>Jackson</v>
      </c>
      <c r="G108" t="str">
        <f t="shared" si="8"/>
        <v>Jackson Holliday</v>
      </c>
      <c r="H108" t="str">
        <f>VLOOKUP(G108,ADP!$B$1:$K$646,3,FALSE)</f>
        <v>2B</v>
      </c>
      <c r="I108" s="10">
        <f t="shared" si="9"/>
        <v>0.13100329999999999</v>
      </c>
      <c r="J108" s="11">
        <f>VLOOKUP(G108,ADP!$B$1:$K$646,4,FALSE)</f>
        <v>169.3</v>
      </c>
      <c r="K108" s="11">
        <f t="shared" si="5"/>
        <v>15</v>
      </c>
    </row>
    <row r="109" spans="1:11" x14ac:dyDescent="0.2">
      <c r="A109" t="s">
        <v>1176</v>
      </c>
      <c r="B109">
        <v>0.1292054</v>
      </c>
      <c r="E109" t="str">
        <f t="shared" si="6"/>
        <v>Burleson</v>
      </c>
      <c r="F109" t="str">
        <f t="shared" si="7"/>
        <v>Alec</v>
      </c>
      <c r="G109" t="str">
        <f t="shared" si="8"/>
        <v>Alec Burleson</v>
      </c>
      <c r="H109" t="str">
        <f>VLOOKUP(G109,ADP!$B$1:$K$646,3,FALSE)</f>
        <v>1B/OF/DH</v>
      </c>
      <c r="I109" s="10">
        <f t="shared" si="9"/>
        <v>0.1292054</v>
      </c>
      <c r="J109" s="11">
        <f>VLOOKUP(G109,ADP!$B$1:$K$646,4,FALSE)</f>
        <v>179.9</v>
      </c>
      <c r="K109" s="11">
        <f t="shared" si="5"/>
        <v>15</v>
      </c>
    </row>
    <row r="110" spans="1:11" x14ac:dyDescent="0.2">
      <c r="A110" t="s">
        <v>1177</v>
      </c>
      <c r="B110">
        <v>0.1281765</v>
      </c>
      <c r="E110" t="str">
        <f t="shared" si="6"/>
        <v>Goodman</v>
      </c>
      <c r="F110" t="str">
        <f t="shared" si="7"/>
        <v>Hunter</v>
      </c>
      <c r="G110" t="str">
        <f t="shared" si="8"/>
        <v>Hunter Goodman</v>
      </c>
      <c r="H110" t="str">
        <f>VLOOKUP(G110,ADP!$B$1:$K$646,3,FALSE)</f>
        <v>C/DH</v>
      </c>
      <c r="I110" s="10">
        <f t="shared" si="9"/>
        <v>0.1281765</v>
      </c>
      <c r="J110" s="11">
        <f>VLOOKUP(G110,ADP!$B$1:$K$646,4,FALSE)</f>
        <v>65</v>
      </c>
      <c r="K110" s="11">
        <f t="shared" si="5"/>
        <v>6</v>
      </c>
    </row>
    <row r="111" spans="1:11" x14ac:dyDescent="0.2">
      <c r="A111" t="s">
        <v>1092</v>
      </c>
      <c r="B111">
        <v>0.12691972000000001</v>
      </c>
      <c r="E111" t="str">
        <f t="shared" si="6"/>
        <v>Betts</v>
      </c>
      <c r="F111" t="str">
        <f t="shared" si="7"/>
        <v>Mookie</v>
      </c>
      <c r="G111" t="str">
        <f t="shared" si="8"/>
        <v>Mookie Betts</v>
      </c>
      <c r="H111" t="str">
        <f>VLOOKUP(G111,ADP!$B$1:$K$646,3,FALSE)</f>
        <v>SS</v>
      </c>
      <c r="I111" s="10">
        <f t="shared" si="9"/>
        <v>0.12691972000000001</v>
      </c>
      <c r="J111" s="11">
        <f>VLOOKUP(G111,ADP!$B$1:$K$646,4,FALSE)</f>
        <v>56</v>
      </c>
      <c r="K111" s="11">
        <f t="shared" si="5"/>
        <v>5</v>
      </c>
    </row>
    <row r="112" spans="1:11" x14ac:dyDescent="0.2">
      <c r="A112" t="s">
        <v>1178</v>
      </c>
      <c r="B112">
        <v>0.1259256</v>
      </c>
      <c r="E112" t="str">
        <f t="shared" si="6"/>
        <v>Pham</v>
      </c>
      <c r="F112" t="str">
        <f t="shared" si="7"/>
        <v>Tommy</v>
      </c>
      <c r="G112" t="str">
        <f t="shared" si="8"/>
        <v>Tommy Pham</v>
      </c>
      <c r="H112" t="str">
        <f>VLOOKUP(G112,ADP!$B$1:$K$646,3,FALSE)</f>
        <v>OF</v>
      </c>
      <c r="I112" s="10">
        <f t="shared" si="9"/>
        <v>0.1259256</v>
      </c>
      <c r="J112" s="11">
        <f>VLOOKUP(G112,ADP!$B$1:$K$646,4,FALSE)</f>
        <v>0</v>
      </c>
      <c r="K112" s="11">
        <f t="shared" si="5"/>
        <v>0</v>
      </c>
    </row>
    <row r="113" spans="1:11" x14ac:dyDescent="0.2">
      <c r="A113" t="s">
        <v>1072</v>
      </c>
      <c r="B113">
        <v>0.12139429</v>
      </c>
      <c r="E113" t="str">
        <f t="shared" si="6"/>
        <v>Yelich</v>
      </c>
      <c r="F113" t="str">
        <f t="shared" si="7"/>
        <v>Christian</v>
      </c>
      <c r="G113" t="str">
        <f t="shared" si="8"/>
        <v>Christian Yelich</v>
      </c>
      <c r="H113" t="str">
        <f>VLOOKUP(G113,ADP!$B$1:$K$646,3,FALSE)</f>
        <v>DH</v>
      </c>
      <c r="I113" s="10">
        <f t="shared" si="9"/>
        <v>0.12139429</v>
      </c>
      <c r="J113" s="11">
        <f>VLOOKUP(G113,ADP!$B$1:$K$646,4,FALSE)</f>
        <v>128.30000000000001</v>
      </c>
      <c r="K113" s="11">
        <f t="shared" si="5"/>
        <v>11</v>
      </c>
    </row>
    <row r="114" spans="1:11" x14ac:dyDescent="0.2">
      <c r="A114" t="s">
        <v>1179</v>
      </c>
      <c r="B114">
        <v>0.11953981</v>
      </c>
      <c r="E114" t="str">
        <f t="shared" si="6"/>
        <v>Kirk</v>
      </c>
      <c r="F114" t="str">
        <f t="shared" si="7"/>
        <v>Alejandro</v>
      </c>
      <c r="G114" t="str">
        <f t="shared" si="8"/>
        <v>Alejandro Kirk</v>
      </c>
      <c r="H114" t="str">
        <f>VLOOKUP(G114,ADP!$B$1:$K$646,3,FALSE)</f>
        <v>C</v>
      </c>
      <c r="I114" s="10">
        <f t="shared" si="9"/>
        <v>0.11953981</v>
      </c>
      <c r="J114" s="11">
        <f>VLOOKUP(G114,ADP!$B$1:$K$646,4,FALSE)</f>
        <v>159</v>
      </c>
      <c r="K114" s="11">
        <f t="shared" si="5"/>
        <v>14</v>
      </c>
    </row>
    <row r="115" spans="1:11" x14ac:dyDescent="0.2">
      <c r="A115" t="s">
        <v>1180</v>
      </c>
      <c r="B115">
        <v>0.117184415</v>
      </c>
      <c r="E115" t="str">
        <f t="shared" si="6"/>
        <v>Lewis</v>
      </c>
      <c r="F115" t="str">
        <f t="shared" si="7"/>
        <v>Royce</v>
      </c>
      <c r="G115" t="str">
        <f t="shared" si="8"/>
        <v>Royce Lewis</v>
      </c>
      <c r="H115" t="str">
        <f>VLOOKUP(G115,ADP!$B$1:$K$646,3,FALSE)</f>
        <v>3B</v>
      </c>
      <c r="I115" s="10">
        <f t="shared" si="9"/>
        <v>0.117184415</v>
      </c>
      <c r="J115" s="11">
        <f>VLOOKUP(G115,ADP!$B$1:$K$646,4,FALSE)</f>
        <v>171.9</v>
      </c>
      <c r="K115" s="11">
        <f t="shared" si="5"/>
        <v>15</v>
      </c>
    </row>
    <row r="116" spans="1:11" x14ac:dyDescent="0.2">
      <c r="A116" t="s">
        <v>1181</v>
      </c>
      <c r="B116">
        <v>0.11657692</v>
      </c>
      <c r="E116" t="str">
        <f t="shared" si="6"/>
        <v>Bellinger</v>
      </c>
      <c r="F116" t="str">
        <f t="shared" si="7"/>
        <v>Cody</v>
      </c>
      <c r="G116" t="str">
        <f t="shared" si="8"/>
        <v>Cody Bellinger</v>
      </c>
      <c r="H116" t="str">
        <f>VLOOKUP(G116,ADP!$B$1:$K$646,3,FALSE)</f>
        <v>OF</v>
      </c>
      <c r="I116" s="10">
        <f t="shared" si="9"/>
        <v>0.11657692</v>
      </c>
      <c r="J116" s="11">
        <f>VLOOKUP(G116,ADP!$B$1:$K$646,4,FALSE)</f>
        <v>78.099999999999994</v>
      </c>
      <c r="K116" s="11">
        <f t="shared" si="5"/>
        <v>7</v>
      </c>
    </row>
    <row r="117" spans="1:11" x14ac:dyDescent="0.2">
      <c r="A117" t="s">
        <v>1073</v>
      </c>
      <c r="B117">
        <v>0.11637093</v>
      </c>
      <c r="E117" t="str">
        <f t="shared" si="6"/>
        <v>Nootbaar</v>
      </c>
      <c r="F117" t="str">
        <f t="shared" si="7"/>
        <v>Lars</v>
      </c>
      <c r="G117" t="str">
        <f t="shared" si="8"/>
        <v>Lars Nootbaar</v>
      </c>
      <c r="H117" t="str">
        <f>VLOOKUP(G117,ADP!$B$1:$K$646,3,FALSE)</f>
        <v>OF</v>
      </c>
      <c r="I117" s="10">
        <f t="shared" si="9"/>
        <v>0.11637093</v>
      </c>
      <c r="J117" s="11">
        <f>VLOOKUP(G117,ADP!$B$1:$K$646,4,FALSE)</f>
        <v>716.3</v>
      </c>
      <c r="K117" s="11">
        <f t="shared" si="5"/>
        <v>60</v>
      </c>
    </row>
    <row r="118" spans="1:11" x14ac:dyDescent="0.2">
      <c r="A118" t="s">
        <v>1182</v>
      </c>
      <c r="B118">
        <v>0.11512743</v>
      </c>
      <c r="E118" t="str">
        <f t="shared" si="6"/>
        <v>Greene</v>
      </c>
      <c r="F118" t="str">
        <f t="shared" si="7"/>
        <v>Riley</v>
      </c>
      <c r="G118" t="str">
        <f t="shared" si="8"/>
        <v>Riley Greene</v>
      </c>
      <c r="H118" t="str">
        <f>VLOOKUP(G118,ADP!$B$1:$K$646,3,FALSE)</f>
        <v>OF/DH</v>
      </c>
      <c r="I118" s="10">
        <f t="shared" si="9"/>
        <v>0.11512743</v>
      </c>
      <c r="J118" s="11">
        <f>VLOOKUP(G118,ADP!$B$1:$K$646,4,FALSE)</f>
        <v>78.599999999999994</v>
      </c>
      <c r="K118" s="11">
        <f t="shared" si="5"/>
        <v>7</v>
      </c>
    </row>
    <row r="119" spans="1:11" x14ac:dyDescent="0.2">
      <c r="A119" t="s">
        <v>1088</v>
      </c>
      <c r="B119">
        <v>0.11483802999999999</v>
      </c>
      <c r="E119" t="str">
        <f t="shared" si="6"/>
        <v>Ramos</v>
      </c>
      <c r="F119" t="str">
        <f t="shared" si="7"/>
        <v>Heliot</v>
      </c>
      <c r="G119" t="str">
        <f t="shared" si="8"/>
        <v>Heliot Ramos</v>
      </c>
      <c r="H119" t="str">
        <f>VLOOKUP(G119,ADP!$B$1:$K$646,3,FALSE)</f>
        <v>OF</v>
      </c>
      <c r="I119" s="10">
        <f t="shared" si="9"/>
        <v>0.11483802999999999</v>
      </c>
      <c r="J119" s="11">
        <f>VLOOKUP(G119,ADP!$B$1:$K$646,4,FALSE)</f>
        <v>222</v>
      </c>
      <c r="K119" s="11">
        <f t="shared" si="5"/>
        <v>19</v>
      </c>
    </row>
    <row r="120" spans="1:11" x14ac:dyDescent="0.2">
      <c r="A120" t="s">
        <v>1183</v>
      </c>
      <c r="B120">
        <v>0.11338504000000001</v>
      </c>
      <c r="E120" t="str">
        <f t="shared" si="6"/>
        <v>Shaw</v>
      </c>
      <c r="F120" t="str">
        <f t="shared" si="7"/>
        <v>Matt</v>
      </c>
      <c r="G120" t="str">
        <f t="shared" si="8"/>
        <v>Matt Shaw</v>
      </c>
      <c r="H120" t="str">
        <f>VLOOKUP(G120,ADP!$B$1:$K$646,3,FALSE)</f>
        <v>3B</v>
      </c>
      <c r="I120" s="10">
        <f t="shared" si="9"/>
        <v>0.11338504000000001</v>
      </c>
      <c r="J120" s="11">
        <f>VLOOKUP(G120,ADP!$B$1:$K$646,4,FALSE)</f>
        <v>294</v>
      </c>
      <c r="K120" s="11">
        <f t="shared" si="5"/>
        <v>25</v>
      </c>
    </row>
    <row r="121" spans="1:11" x14ac:dyDescent="0.2">
      <c r="A121" t="s">
        <v>1184</v>
      </c>
      <c r="B121">
        <v>0.11247174</v>
      </c>
      <c r="E121" t="str">
        <f t="shared" si="6"/>
        <v>Baty</v>
      </c>
      <c r="F121" t="str">
        <f t="shared" si="7"/>
        <v>Brett</v>
      </c>
      <c r="G121" t="str">
        <f t="shared" si="8"/>
        <v>Brett Baty</v>
      </c>
      <c r="H121" t="str">
        <f>VLOOKUP(G121,ADP!$B$1:$K$646,3,FALSE)</f>
        <v>2B/3B</v>
      </c>
      <c r="I121" s="10">
        <f t="shared" si="9"/>
        <v>0.11247174</v>
      </c>
      <c r="J121" s="11">
        <f>VLOOKUP(G121,ADP!$B$1:$K$646,4,FALSE)</f>
        <v>291.7</v>
      </c>
      <c r="K121" s="11">
        <f t="shared" si="5"/>
        <v>25</v>
      </c>
    </row>
    <row r="122" spans="1:11" x14ac:dyDescent="0.2">
      <c r="A122" t="s">
        <v>1094</v>
      </c>
      <c r="B122">
        <v>0.10867151999999999</v>
      </c>
      <c r="E122" t="str">
        <f t="shared" si="6"/>
        <v>Diaz</v>
      </c>
      <c r="F122" t="str">
        <f t="shared" si="7"/>
        <v>Yainer</v>
      </c>
      <c r="G122" t="str">
        <f t="shared" si="8"/>
        <v>Yainer Diaz</v>
      </c>
      <c r="H122" t="str">
        <f>VLOOKUP(G122,ADP!$B$1:$K$646,3,FALSE)</f>
        <v>C/DH</v>
      </c>
      <c r="I122" s="10">
        <f t="shared" si="9"/>
        <v>0.10867151999999999</v>
      </c>
      <c r="J122" s="11">
        <f>VLOOKUP(G122,ADP!$B$1:$K$646,4,FALSE)</f>
        <v>112.3</v>
      </c>
      <c r="K122" s="11">
        <f t="shared" si="5"/>
        <v>10</v>
      </c>
    </row>
    <row r="123" spans="1:11" x14ac:dyDescent="0.2">
      <c r="A123" t="s">
        <v>1185</v>
      </c>
      <c r="B123">
        <v>0.10788493</v>
      </c>
      <c r="E123" t="str">
        <f t="shared" si="6"/>
        <v>Raleigh</v>
      </c>
      <c r="F123" t="str">
        <f t="shared" si="7"/>
        <v>Cal</v>
      </c>
      <c r="G123" t="str">
        <f t="shared" si="8"/>
        <v>Cal Raleigh</v>
      </c>
      <c r="H123" t="str">
        <f>VLOOKUP(G123,ADP!$B$1:$K$646,3,FALSE)</f>
        <v>C/DH</v>
      </c>
      <c r="I123" s="10">
        <f t="shared" si="9"/>
        <v>0.10788493</v>
      </c>
      <c r="J123" s="11">
        <f>VLOOKUP(G123,ADP!$B$1:$K$646,4,FALSE)</f>
        <v>18.5</v>
      </c>
      <c r="K123" s="11">
        <f t="shared" si="5"/>
        <v>2</v>
      </c>
    </row>
    <row r="124" spans="1:11" x14ac:dyDescent="0.2">
      <c r="A124" t="s">
        <v>1186</v>
      </c>
      <c r="B124">
        <v>0.10705308600000001</v>
      </c>
      <c r="E124" t="str">
        <f t="shared" si="6"/>
        <v>O'Hearn</v>
      </c>
      <c r="F124" t="str">
        <f t="shared" si="7"/>
        <v>Ryan</v>
      </c>
      <c r="G124" t="str">
        <f t="shared" si="8"/>
        <v>Ryan O'Hearn</v>
      </c>
      <c r="H124" t="str">
        <f>VLOOKUP(G124,ADP!$B$1:$K$646,3,FALSE)</f>
        <v>1B/OF/DH</v>
      </c>
      <c r="I124" s="10">
        <f t="shared" si="9"/>
        <v>0.10705308600000001</v>
      </c>
      <c r="J124" s="11">
        <f>VLOOKUP(G124,ADP!$B$1:$K$646,4,FALSE)</f>
        <v>296.2</v>
      </c>
      <c r="K124" s="11">
        <f t="shared" si="5"/>
        <v>25</v>
      </c>
    </row>
    <row r="125" spans="1:11" x14ac:dyDescent="0.2">
      <c r="A125" t="s">
        <v>1187</v>
      </c>
      <c r="B125">
        <v>0.105344854</v>
      </c>
      <c r="E125" t="str">
        <f t="shared" si="6"/>
        <v>Wagaman</v>
      </c>
      <c r="F125" t="str">
        <f t="shared" si="7"/>
        <v>Eric</v>
      </c>
      <c r="G125" t="str">
        <f t="shared" si="8"/>
        <v>Eric Wagaman</v>
      </c>
      <c r="H125" t="str">
        <f>VLOOKUP(G125,ADP!$B$1:$K$646,3,FALSE)</f>
        <v>1B/OF</v>
      </c>
      <c r="I125" s="10">
        <f t="shared" si="9"/>
        <v>0.105344854</v>
      </c>
      <c r="J125" s="11">
        <f>VLOOKUP(G125,ADP!$B$1:$K$646,4,FALSE)</f>
        <v>0</v>
      </c>
      <c r="K125" s="11">
        <f t="shared" si="5"/>
        <v>0</v>
      </c>
    </row>
    <row r="126" spans="1:11" x14ac:dyDescent="0.2">
      <c r="A126" t="s">
        <v>1188</v>
      </c>
      <c r="B126">
        <v>0.10231701999999999</v>
      </c>
      <c r="E126" t="str">
        <f t="shared" si="6"/>
        <v>Mountcastle</v>
      </c>
      <c r="F126" t="str">
        <f t="shared" si="7"/>
        <v>Ryan</v>
      </c>
      <c r="G126" t="str">
        <f t="shared" si="8"/>
        <v>Ryan Mountcastle</v>
      </c>
      <c r="H126" t="e">
        <f>VLOOKUP(G126,ADP!$B$1:$K$646,3,FALSE)</f>
        <v>#N/A</v>
      </c>
      <c r="I126" s="10">
        <f t="shared" si="9"/>
        <v>0.10231701999999999</v>
      </c>
      <c r="J126" s="11" t="e">
        <f>VLOOKUP(G126,ADP!$B$1:$K$646,4,FALSE)</f>
        <v>#N/A</v>
      </c>
      <c r="K126" s="11" t="e">
        <f t="shared" si="5"/>
        <v>#N/A</v>
      </c>
    </row>
    <row r="127" spans="1:11" x14ac:dyDescent="0.2">
      <c r="A127" t="s">
        <v>1189</v>
      </c>
      <c r="B127">
        <v>9.9427150000000006E-2</v>
      </c>
      <c r="E127" t="str">
        <f t="shared" si="6"/>
        <v>McCutchen</v>
      </c>
      <c r="F127" t="str">
        <f t="shared" si="7"/>
        <v>Andrew</v>
      </c>
      <c r="G127" t="str">
        <f t="shared" si="8"/>
        <v>Andrew McCutchen</v>
      </c>
      <c r="H127" t="str">
        <f>VLOOKUP(G127,ADP!$B$1:$K$646,3,FALSE)</f>
        <v>DH</v>
      </c>
      <c r="I127" s="10">
        <f t="shared" si="9"/>
        <v>9.9427150000000006E-2</v>
      </c>
      <c r="J127" s="11">
        <f>VLOOKUP(G127,ADP!$B$1:$K$646,4,FALSE)</f>
        <v>0</v>
      </c>
      <c r="K127" s="11">
        <f t="shared" si="5"/>
        <v>0</v>
      </c>
    </row>
    <row r="128" spans="1:11" x14ac:dyDescent="0.2">
      <c r="A128" t="s">
        <v>1190</v>
      </c>
      <c r="B128">
        <v>9.9427150000000006E-2</v>
      </c>
      <c r="E128" t="str">
        <f t="shared" si="6"/>
        <v>Rutschman</v>
      </c>
      <c r="F128" t="str">
        <f t="shared" si="7"/>
        <v>Adley</v>
      </c>
      <c r="G128" t="str">
        <f t="shared" si="8"/>
        <v>Adley Rutschman</v>
      </c>
      <c r="H128" t="str">
        <f>VLOOKUP(G128,ADP!$B$1:$K$646,3,FALSE)</f>
        <v>C</v>
      </c>
      <c r="I128" s="10">
        <f t="shared" si="9"/>
        <v>9.9427150000000006E-2</v>
      </c>
      <c r="J128" s="11">
        <f>VLOOKUP(G128,ADP!$B$1:$K$646,4,FALSE)</f>
        <v>152.4</v>
      </c>
      <c r="K128" s="11">
        <f t="shared" si="5"/>
        <v>13</v>
      </c>
    </row>
    <row r="129" spans="1:11" x14ac:dyDescent="0.2">
      <c r="A129" t="s">
        <v>1191</v>
      </c>
      <c r="B129">
        <v>9.9427150000000006E-2</v>
      </c>
      <c r="E129" t="str">
        <f t="shared" si="6"/>
        <v>Sheets</v>
      </c>
      <c r="F129" t="str">
        <f t="shared" si="7"/>
        <v>Gavin</v>
      </c>
      <c r="G129" t="str">
        <f t="shared" si="8"/>
        <v>Gavin Sheets</v>
      </c>
      <c r="H129" t="str">
        <f>VLOOKUP(G129,ADP!$B$1:$K$646,3,FALSE)</f>
        <v>OF/DH</v>
      </c>
      <c r="I129" s="10">
        <f t="shared" si="9"/>
        <v>9.9427150000000006E-2</v>
      </c>
      <c r="J129" s="11">
        <f>VLOOKUP(G129,ADP!$B$1:$K$646,4,FALSE)</f>
        <v>675.5</v>
      </c>
      <c r="K129" s="11">
        <f t="shared" si="5"/>
        <v>57</v>
      </c>
    </row>
    <row r="130" spans="1:11" x14ac:dyDescent="0.2">
      <c r="A130" t="s">
        <v>1192</v>
      </c>
      <c r="B130">
        <v>9.9020769999999994E-2</v>
      </c>
      <c r="E130" t="str">
        <f t="shared" si="6"/>
        <v>Carter</v>
      </c>
      <c r="F130" t="str">
        <f t="shared" si="7"/>
        <v>Evan</v>
      </c>
      <c r="G130" t="str">
        <f t="shared" si="8"/>
        <v>Evan Carter</v>
      </c>
      <c r="H130" t="str">
        <f>VLOOKUP(G130,ADP!$B$1:$K$646,3,FALSE)</f>
        <v>OF</v>
      </c>
      <c r="I130" s="10">
        <f t="shared" si="9"/>
        <v>9.9020769999999994E-2</v>
      </c>
      <c r="J130" s="11">
        <f>VLOOKUP(G130,ADP!$B$1:$K$646,4,FALSE)</f>
        <v>282.5</v>
      </c>
      <c r="K130" s="11">
        <f t="shared" ref="K130:K168" si="10">_xlfn.CEILING.MATH(J130/12)</f>
        <v>24</v>
      </c>
    </row>
    <row r="131" spans="1:11" x14ac:dyDescent="0.2">
      <c r="A131" t="s">
        <v>1193</v>
      </c>
      <c r="B131">
        <v>9.7917870000000004E-2</v>
      </c>
      <c r="E131" t="str">
        <f t="shared" ref="E131:E168" si="11">LEFT(A131, FIND(",", A131) - 1)</f>
        <v>McLain</v>
      </c>
      <c r="F131" t="str">
        <f t="shared" ref="F131:F168" si="12">TRIM(MID(A131, FIND(",", A131) + 1, LEN(A131)))</f>
        <v>Matt</v>
      </c>
      <c r="G131" t="str">
        <f t="shared" ref="G131:G168" si="13">F131 &amp; " " &amp; E131</f>
        <v>Matt McLain</v>
      </c>
      <c r="H131" t="str">
        <f>VLOOKUP(G131,ADP!$B$1:$K$646,3,FALSE)</f>
        <v>2B</v>
      </c>
      <c r="I131" s="10">
        <f t="shared" ref="I131:I168" si="14">B131</f>
        <v>9.7917870000000004E-2</v>
      </c>
      <c r="J131" s="11">
        <f>VLOOKUP(G131,ADP!$B$1:$K$646,4,FALSE)</f>
        <v>183.2</v>
      </c>
      <c r="K131" s="11">
        <f t="shared" si="10"/>
        <v>16</v>
      </c>
    </row>
    <row r="132" spans="1:11" x14ac:dyDescent="0.2">
      <c r="A132" t="s">
        <v>1194</v>
      </c>
      <c r="B132">
        <v>9.7324190000000005E-2</v>
      </c>
      <c r="E132" t="str">
        <f t="shared" si="11"/>
        <v>Profar</v>
      </c>
      <c r="F132" t="str">
        <f t="shared" si="12"/>
        <v>Jurickson</v>
      </c>
      <c r="G132" t="str">
        <f t="shared" si="13"/>
        <v>Jurickson Profar</v>
      </c>
      <c r="H132" t="str">
        <f>VLOOKUP(G132,ADP!$B$1:$K$646,3,FALSE)</f>
        <v>OF</v>
      </c>
      <c r="I132" s="10">
        <f t="shared" si="14"/>
        <v>9.7324190000000005E-2</v>
      </c>
      <c r="J132" s="11">
        <f>VLOOKUP(G132,ADP!$B$1:$K$646,4,FALSE)</f>
        <v>189.8</v>
      </c>
      <c r="K132" s="11">
        <f t="shared" si="10"/>
        <v>16</v>
      </c>
    </row>
    <row r="133" spans="1:11" x14ac:dyDescent="0.2">
      <c r="A133" t="s">
        <v>1095</v>
      </c>
      <c r="B133">
        <v>9.7324190000000005E-2</v>
      </c>
      <c r="E133" t="str">
        <f t="shared" si="11"/>
        <v>Pederson</v>
      </c>
      <c r="F133" t="str">
        <f t="shared" si="12"/>
        <v>Joc</v>
      </c>
      <c r="G133" t="str">
        <f t="shared" si="13"/>
        <v>Joc Pederson</v>
      </c>
      <c r="H133" t="e">
        <f>VLOOKUP(G133,ADP!$B$1:$K$646,3,FALSE)</f>
        <v>#N/A</v>
      </c>
      <c r="I133" s="10">
        <f t="shared" si="14"/>
        <v>9.7324190000000005E-2</v>
      </c>
      <c r="J133" s="11" t="e">
        <f>VLOOKUP(G133,ADP!$B$1:$K$646,4,FALSE)</f>
        <v>#N/A</v>
      </c>
      <c r="K133" s="11" t="e">
        <f t="shared" si="10"/>
        <v>#N/A</v>
      </c>
    </row>
    <row r="134" spans="1:11" x14ac:dyDescent="0.2">
      <c r="A134" t="s">
        <v>1195</v>
      </c>
      <c r="B134">
        <v>9.7046820000000006E-2</v>
      </c>
      <c r="E134" t="str">
        <f t="shared" si="11"/>
        <v>Naylor</v>
      </c>
      <c r="F134" t="str">
        <f t="shared" si="12"/>
        <v>Bo</v>
      </c>
      <c r="G134" t="str">
        <f t="shared" si="13"/>
        <v>Bo Naylor</v>
      </c>
      <c r="H134" t="str">
        <f>VLOOKUP(G134,ADP!$B$1:$K$646,3,FALSE)</f>
        <v>C</v>
      </c>
      <c r="I134" s="10">
        <f t="shared" si="14"/>
        <v>9.7046820000000006E-2</v>
      </c>
      <c r="J134" s="11">
        <f>VLOOKUP(G134,ADP!$B$1:$K$646,4,FALSE)</f>
        <v>633.9</v>
      </c>
      <c r="K134" s="11">
        <f t="shared" si="10"/>
        <v>53</v>
      </c>
    </row>
    <row r="135" spans="1:11" x14ac:dyDescent="0.2">
      <c r="A135" t="s">
        <v>1196</v>
      </c>
      <c r="B135">
        <v>9.6724435999999997E-2</v>
      </c>
      <c r="E135" t="str">
        <f t="shared" si="11"/>
        <v>Realmuto</v>
      </c>
      <c r="F135" t="str">
        <f t="shared" si="12"/>
        <v>J.T.</v>
      </c>
      <c r="G135" t="str">
        <f t="shared" si="13"/>
        <v>J.T. Realmuto</v>
      </c>
      <c r="H135" t="str">
        <f>VLOOKUP(G135,ADP!$B$1:$K$646,3,FALSE)</f>
        <v>C</v>
      </c>
      <c r="I135" s="10">
        <f t="shared" si="14"/>
        <v>9.6724435999999997E-2</v>
      </c>
      <c r="J135" s="11">
        <f>VLOOKUP(G135,ADP!$B$1:$K$646,4,FALSE)</f>
        <v>215.8</v>
      </c>
      <c r="K135" s="11">
        <f t="shared" si="10"/>
        <v>18</v>
      </c>
    </row>
    <row r="136" spans="1:11" x14ac:dyDescent="0.2">
      <c r="A136" t="s">
        <v>1197</v>
      </c>
      <c r="B136">
        <v>9.5330133999999997E-2</v>
      </c>
      <c r="E136" t="str">
        <f t="shared" si="11"/>
        <v>Correa</v>
      </c>
      <c r="F136" t="str">
        <f t="shared" si="12"/>
        <v>Carlos</v>
      </c>
      <c r="G136" t="str">
        <f t="shared" si="13"/>
        <v>Carlos Correa</v>
      </c>
      <c r="H136" t="str">
        <f>VLOOKUP(G136,ADP!$B$1:$K$646,3,FALSE)</f>
        <v>3B/SS</v>
      </c>
      <c r="I136" s="10">
        <f t="shared" si="14"/>
        <v>9.5330133999999997E-2</v>
      </c>
      <c r="J136" s="11">
        <f>VLOOKUP(G136,ADP!$B$1:$K$646,4,FALSE)</f>
        <v>276.10000000000002</v>
      </c>
      <c r="K136" s="11">
        <f t="shared" si="10"/>
        <v>24</v>
      </c>
    </row>
    <row r="137" spans="1:11" x14ac:dyDescent="0.2">
      <c r="A137" t="s">
        <v>1198</v>
      </c>
      <c r="B137">
        <v>9.5302650000000003E-2</v>
      </c>
      <c r="E137" t="str">
        <f t="shared" si="11"/>
        <v>Yastrzemski</v>
      </c>
      <c r="F137" t="str">
        <f t="shared" si="12"/>
        <v>Mike</v>
      </c>
      <c r="G137" t="str">
        <f t="shared" si="13"/>
        <v>Mike Yastrzemski</v>
      </c>
      <c r="H137" t="str">
        <f>VLOOKUP(G137,ADP!$B$1:$K$646,3,FALSE)</f>
        <v>OF</v>
      </c>
      <c r="I137" s="10">
        <f t="shared" si="14"/>
        <v>9.5302650000000003E-2</v>
      </c>
      <c r="J137" s="11">
        <f>VLOOKUP(G137,ADP!$B$1:$K$646,4,FALSE)</f>
        <v>0</v>
      </c>
      <c r="K137" s="11">
        <f t="shared" si="10"/>
        <v>0</v>
      </c>
    </row>
    <row r="138" spans="1:11" x14ac:dyDescent="0.2">
      <c r="A138" t="s">
        <v>1096</v>
      </c>
      <c r="B138">
        <v>9.4760129999999998E-2</v>
      </c>
      <c r="E138" t="str">
        <f t="shared" si="11"/>
        <v>Happ</v>
      </c>
      <c r="F138" t="str">
        <f t="shared" si="12"/>
        <v>Ian</v>
      </c>
      <c r="G138" t="str">
        <f t="shared" si="13"/>
        <v>Ian Happ</v>
      </c>
      <c r="H138" t="str">
        <f>VLOOKUP(G138,ADP!$B$1:$K$646,3,FALSE)</f>
        <v>OF</v>
      </c>
      <c r="I138" s="10">
        <f t="shared" si="14"/>
        <v>9.4760129999999998E-2</v>
      </c>
      <c r="J138" s="11">
        <f>VLOOKUP(G138,ADP!$B$1:$K$646,4,FALSE)</f>
        <v>189.5</v>
      </c>
      <c r="K138" s="11">
        <f t="shared" si="10"/>
        <v>16</v>
      </c>
    </row>
    <row r="139" spans="1:11" x14ac:dyDescent="0.2">
      <c r="A139" t="s">
        <v>1229</v>
      </c>
      <c r="B139">
        <v>9.4760129999999998E-2</v>
      </c>
      <c r="E139" t="str">
        <f t="shared" si="11"/>
        <v>Perez</v>
      </c>
      <c r="F139" t="str">
        <f t="shared" si="12"/>
        <v>Wenceel</v>
      </c>
      <c r="G139" t="str">
        <f t="shared" si="13"/>
        <v>Wenceel Perez</v>
      </c>
      <c r="H139" t="e">
        <f>VLOOKUP(G139,ADP!$B$1:$K$646,3,FALSE)</f>
        <v>#N/A</v>
      </c>
      <c r="I139" s="10">
        <f t="shared" si="14"/>
        <v>9.4760129999999998E-2</v>
      </c>
      <c r="J139" s="11" t="e">
        <f>VLOOKUP(G139,ADP!$B$1:$K$646,4,FALSE)</f>
        <v>#N/A</v>
      </c>
      <c r="K139" s="11" t="e">
        <f t="shared" si="10"/>
        <v>#N/A</v>
      </c>
    </row>
    <row r="140" spans="1:11" x14ac:dyDescent="0.2">
      <c r="A140" t="s">
        <v>1199</v>
      </c>
      <c r="B140">
        <v>9.4760129999999998E-2</v>
      </c>
      <c r="E140" t="str">
        <f t="shared" si="11"/>
        <v>Dingler</v>
      </c>
      <c r="F140" t="str">
        <f t="shared" si="12"/>
        <v>Dillon</v>
      </c>
      <c r="G140" t="str">
        <f t="shared" si="13"/>
        <v>Dillon Dingler</v>
      </c>
      <c r="H140" t="str">
        <f>VLOOKUP(G140,ADP!$B$1:$K$646,3,FALSE)</f>
        <v>C</v>
      </c>
      <c r="I140" s="10">
        <f t="shared" si="14"/>
        <v>9.4760129999999998E-2</v>
      </c>
      <c r="J140" s="11">
        <f>VLOOKUP(G140,ADP!$B$1:$K$646,4,FALSE)</f>
        <v>255.7</v>
      </c>
      <c r="K140" s="11">
        <f t="shared" si="10"/>
        <v>22</v>
      </c>
    </row>
    <row r="141" spans="1:11" x14ac:dyDescent="0.2">
      <c r="A141" t="s">
        <v>1200</v>
      </c>
      <c r="B141">
        <v>9.2345250000000004E-2</v>
      </c>
      <c r="E141" t="str">
        <f t="shared" si="11"/>
        <v>Massey</v>
      </c>
      <c r="F141" t="str">
        <f t="shared" si="12"/>
        <v>Michael</v>
      </c>
      <c r="G141" t="str">
        <f t="shared" si="13"/>
        <v>Michael Massey</v>
      </c>
      <c r="H141" t="e">
        <f>VLOOKUP(G141,ADP!$B$1:$K$646,3,FALSE)</f>
        <v>#N/A</v>
      </c>
      <c r="I141" s="10">
        <f t="shared" si="14"/>
        <v>9.2345250000000004E-2</v>
      </c>
      <c r="J141" s="11" t="e">
        <f>VLOOKUP(G141,ADP!$B$1:$K$646,4,FALSE)</f>
        <v>#N/A</v>
      </c>
      <c r="K141" s="11" t="e">
        <f t="shared" si="10"/>
        <v>#N/A</v>
      </c>
    </row>
    <row r="142" spans="1:11" x14ac:dyDescent="0.2">
      <c r="A142" t="s">
        <v>1201</v>
      </c>
      <c r="B142">
        <v>9.0368500000000004E-2</v>
      </c>
      <c r="E142" t="str">
        <f t="shared" si="11"/>
        <v>Hoerner</v>
      </c>
      <c r="F142" t="str">
        <f t="shared" si="12"/>
        <v>Nico</v>
      </c>
      <c r="G142" t="str">
        <f t="shared" si="13"/>
        <v>Nico Hoerner</v>
      </c>
      <c r="H142" t="str">
        <f>VLOOKUP(G142,ADP!$B$1:$K$646,3,FALSE)</f>
        <v>2B</v>
      </c>
      <c r="I142" s="10">
        <f t="shared" si="14"/>
        <v>9.0368500000000004E-2</v>
      </c>
      <c r="J142" s="11">
        <f>VLOOKUP(G142,ADP!$B$1:$K$646,4,FALSE)</f>
        <v>107</v>
      </c>
      <c r="K142" s="11">
        <f t="shared" si="10"/>
        <v>9</v>
      </c>
    </row>
    <row r="143" spans="1:11" x14ac:dyDescent="0.2">
      <c r="A143" t="s">
        <v>1202</v>
      </c>
      <c r="B143">
        <v>9.0318084000000007E-2</v>
      </c>
      <c r="E143" t="str">
        <f t="shared" si="11"/>
        <v>Arozarena</v>
      </c>
      <c r="F143" t="str">
        <f t="shared" si="12"/>
        <v>Randy</v>
      </c>
      <c r="G143" t="str">
        <f t="shared" si="13"/>
        <v>Randy Arozarena</v>
      </c>
      <c r="H143" t="str">
        <f>VLOOKUP(G143,ADP!$B$1:$K$646,3,FALSE)</f>
        <v>OF</v>
      </c>
      <c r="I143" s="10">
        <f t="shared" si="14"/>
        <v>9.0318084000000007E-2</v>
      </c>
      <c r="J143" s="11">
        <f>VLOOKUP(G143,ADP!$B$1:$K$646,4,FALSE)</f>
        <v>88.9</v>
      </c>
      <c r="K143" s="11">
        <f t="shared" si="10"/>
        <v>8</v>
      </c>
    </row>
    <row r="144" spans="1:11" x14ac:dyDescent="0.2">
      <c r="A144" t="s">
        <v>1203</v>
      </c>
      <c r="B144">
        <v>8.9797619999999995E-2</v>
      </c>
      <c r="E144" t="str">
        <f t="shared" si="11"/>
        <v>Yoshida</v>
      </c>
      <c r="F144" t="str">
        <f t="shared" si="12"/>
        <v>Masataka</v>
      </c>
      <c r="G144" t="str">
        <f t="shared" si="13"/>
        <v>Masataka Yoshida</v>
      </c>
      <c r="H144" t="e">
        <f>VLOOKUP(G144,ADP!$B$1:$K$646,3,FALSE)</f>
        <v>#N/A</v>
      </c>
      <c r="I144" s="10">
        <f t="shared" si="14"/>
        <v>8.9797619999999995E-2</v>
      </c>
      <c r="J144" s="11" t="e">
        <f>VLOOKUP(G144,ADP!$B$1:$K$646,4,FALSE)</f>
        <v>#N/A</v>
      </c>
      <c r="K144" s="11" t="e">
        <f t="shared" si="10"/>
        <v>#N/A</v>
      </c>
    </row>
    <row r="145" spans="1:11" x14ac:dyDescent="0.2">
      <c r="A145" t="s">
        <v>1204</v>
      </c>
      <c r="B145">
        <v>8.9079775E-2</v>
      </c>
      <c r="E145" t="str">
        <f t="shared" si="11"/>
        <v>Wade Jr.</v>
      </c>
      <c r="F145" t="str">
        <f t="shared" si="12"/>
        <v>LaMonte</v>
      </c>
      <c r="G145" t="str">
        <f t="shared" si="13"/>
        <v>LaMonte Wade Jr.</v>
      </c>
      <c r="H145" t="e">
        <f>VLOOKUP(G145,ADP!$B$1:$K$646,3,FALSE)</f>
        <v>#N/A</v>
      </c>
      <c r="I145" s="10">
        <f t="shared" si="14"/>
        <v>8.9079775E-2</v>
      </c>
      <c r="J145" s="11" t="e">
        <f>VLOOKUP(G145,ADP!$B$1:$K$646,4,FALSE)</f>
        <v>#N/A</v>
      </c>
      <c r="K145" s="11" t="e">
        <f t="shared" si="10"/>
        <v>#N/A</v>
      </c>
    </row>
    <row r="146" spans="1:11" x14ac:dyDescent="0.2">
      <c r="A146" t="s">
        <v>1100</v>
      </c>
      <c r="B146">
        <v>8.8377364E-2</v>
      </c>
      <c r="E146" t="str">
        <f t="shared" si="11"/>
        <v>Arias</v>
      </c>
      <c r="F146" t="str">
        <f t="shared" si="12"/>
        <v>Gabriel</v>
      </c>
      <c r="G146" t="str">
        <f t="shared" si="13"/>
        <v>Gabriel Arias</v>
      </c>
      <c r="H146" t="str">
        <f>VLOOKUP(G146,ADP!$B$1:$K$646,3,FALSE)</f>
        <v>2B/SS</v>
      </c>
      <c r="I146" s="10">
        <f t="shared" si="14"/>
        <v>8.8377364E-2</v>
      </c>
      <c r="J146" s="11">
        <f>VLOOKUP(G146,ADP!$B$1:$K$646,4,FALSE)</f>
        <v>0</v>
      </c>
      <c r="K146" s="11">
        <f t="shared" si="10"/>
        <v>0</v>
      </c>
    </row>
    <row r="147" spans="1:11" x14ac:dyDescent="0.2">
      <c r="A147" t="s">
        <v>1205</v>
      </c>
      <c r="B147">
        <v>8.7975810000000002E-2</v>
      </c>
      <c r="E147" t="str">
        <f t="shared" si="11"/>
        <v>Rafaela</v>
      </c>
      <c r="F147" t="str">
        <f t="shared" si="12"/>
        <v>Ceddanne</v>
      </c>
      <c r="G147" t="str">
        <f t="shared" si="13"/>
        <v>Ceddanne Rafaela</v>
      </c>
      <c r="H147" t="str">
        <f>VLOOKUP(G147,ADP!$B$1:$K$646,3,FALSE)</f>
        <v>2B/OF</v>
      </c>
      <c r="I147" s="10">
        <f t="shared" si="14"/>
        <v>8.7975810000000002E-2</v>
      </c>
      <c r="J147" s="11">
        <f>VLOOKUP(G147,ADP!$B$1:$K$646,4,FALSE)</f>
        <v>140.19999999999999</v>
      </c>
      <c r="K147" s="11">
        <f t="shared" si="10"/>
        <v>12</v>
      </c>
    </row>
    <row r="148" spans="1:11" x14ac:dyDescent="0.2">
      <c r="A148" t="s">
        <v>1206</v>
      </c>
      <c r="B148">
        <v>8.7966890000000006E-2</v>
      </c>
      <c r="E148" t="str">
        <f t="shared" si="11"/>
        <v>Muncy</v>
      </c>
      <c r="F148" t="str">
        <f t="shared" si="12"/>
        <v>Max</v>
      </c>
      <c r="G148" t="str">
        <f t="shared" si="13"/>
        <v>Max Muncy</v>
      </c>
      <c r="H148" t="str">
        <f>VLOOKUP(G148,ADP!$B$1:$K$646,3,FALSE)</f>
        <v>3B</v>
      </c>
      <c r="I148" s="10">
        <f t="shared" si="14"/>
        <v>8.7966890000000006E-2</v>
      </c>
      <c r="J148" s="11">
        <f>VLOOKUP(G148,ADP!$B$1:$K$646,4,FALSE)</f>
        <v>253</v>
      </c>
      <c r="K148" s="11">
        <f t="shared" si="10"/>
        <v>22</v>
      </c>
    </row>
    <row r="149" spans="1:11" x14ac:dyDescent="0.2">
      <c r="A149" t="s">
        <v>1207</v>
      </c>
      <c r="B149">
        <v>8.7595010000000001E-2</v>
      </c>
      <c r="E149" t="str">
        <f t="shared" si="11"/>
        <v>House</v>
      </c>
      <c r="F149" t="str">
        <f t="shared" si="12"/>
        <v>Brady</v>
      </c>
      <c r="G149" t="str">
        <f t="shared" si="13"/>
        <v>Brady House</v>
      </c>
      <c r="H149" t="str">
        <f>VLOOKUP(G149,ADP!$B$1:$K$646,3,FALSE)</f>
        <v>3B</v>
      </c>
      <c r="I149" s="10">
        <f t="shared" si="14"/>
        <v>8.7595010000000001E-2</v>
      </c>
      <c r="J149" s="11">
        <f>VLOOKUP(G149,ADP!$B$1:$K$646,4,FALSE)</f>
        <v>729.8</v>
      </c>
      <c r="K149" s="11">
        <f t="shared" si="10"/>
        <v>61</v>
      </c>
    </row>
    <row r="150" spans="1:11" x14ac:dyDescent="0.2">
      <c r="A150" t="s">
        <v>1208</v>
      </c>
      <c r="B150">
        <v>8.7574295999999996E-2</v>
      </c>
      <c r="E150" t="str">
        <f t="shared" si="11"/>
        <v>Thomas</v>
      </c>
      <c r="F150" t="str">
        <f t="shared" si="12"/>
        <v>Alek</v>
      </c>
      <c r="G150" t="str">
        <f t="shared" si="13"/>
        <v>Alek Thomas</v>
      </c>
      <c r="H150" t="str">
        <f>VLOOKUP(G150,ADP!$B$1:$K$646,3,FALSE)</f>
        <v>OF</v>
      </c>
      <c r="I150" s="10">
        <f t="shared" si="14"/>
        <v>8.7574295999999996E-2</v>
      </c>
      <c r="J150" s="11">
        <f>VLOOKUP(G150,ADP!$B$1:$K$646,4,FALSE)</f>
        <v>0</v>
      </c>
      <c r="K150" s="11">
        <f t="shared" si="10"/>
        <v>0</v>
      </c>
    </row>
    <row r="151" spans="1:11" x14ac:dyDescent="0.2">
      <c r="A151" t="s">
        <v>1209</v>
      </c>
      <c r="B151">
        <v>8.7543263999999996E-2</v>
      </c>
      <c r="E151" t="str">
        <f t="shared" si="11"/>
        <v>Morel</v>
      </c>
      <c r="F151" t="str">
        <f t="shared" si="12"/>
        <v>Christopher</v>
      </c>
      <c r="G151" t="str">
        <f t="shared" si="13"/>
        <v>Christopher Morel</v>
      </c>
      <c r="H151" t="e">
        <f>VLOOKUP(G151,ADP!$B$1:$K$646,3,FALSE)</f>
        <v>#N/A</v>
      </c>
      <c r="I151" s="10">
        <f t="shared" si="14"/>
        <v>8.7543263999999996E-2</v>
      </c>
      <c r="J151" s="11" t="e">
        <f>VLOOKUP(G151,ADP!$B$1:$K$646,4,FALSE)</f>
        <v>#N/A</v>
      </c>
      <c r="K151" s="11" t="e">
        <f t="shared" si="10"/>
        <v>#N/A</v>
      </c>
    </row>
    <row r="152" spans="1:11" x14ac:dyDescent="0.2">
      <c r="A152" t="s">
        <v>1086</v>
      </c>
      <c r="B152">
        <v>8.5825170000000006E-2</v>
      </c>
      <c r="E152" t="str">
        <f t="shared" si="11"/>
        <v>Larnach</v>
      </c>
      <c r="F152" t="str">
        <f t="shared" si="12"/>
        <v>Trevor</v>
      </c>
      <c r="G152" t="str">
        <f t="shared" si="13"/>
        <v>Trevor Larnach</v>
      </c>
      <c r="H152" t="str">
        <f>VLOOKUP(G152,ADP!$B$1:$K$646,3,FALSE)</f>
        <v>OF/DH</v>
      </c>
      <c r="I152" s="10">
        <f t="shared" si="14"/>
        <v>8.5825170000000006E-2</v>
      </c>
      <c r="J152" s="11">
        <f>VLOOKUP(G152,ADP!$B$1:$K$646,4,FALSE)</f>
        <v>0</v>
      </c>
      <c r="K152" s="11">
        <f t="shared" si="10"/>
        <v>0</v>
      </c>
    </row>
    <row r="153" spans="1:11" x14ac:dyDescent="0.2">
      <c r="A153" t="s">
        <v>1210</v>
      </c>
      <c r="B153">
        <v>8.5179829999999998E-2</v>
      </c>
      <c r="E153" t="str">
        <f t="shared" si="11"/>
        <v>Collins</v>
      </c>
      <c r="F153" t="str">
        <f t="shared" si="12"/>
        <v>Isaac</v>
      </c>
      <c r="G153" t="str">
        <f t="shared" si="13"/>
        <v>Isaac Collins</v>
      </c>
      <c r="H153" t="str">
        <f>VLOOKUP(G153,ADP!$B$1:$K$646,3,FALSE)</f>
        <v>OF</v>
      </c>
      <c r="I153" s="10">
        <f t="shared" si="14"/>
        <v>8.5179829999999998E-2</v>
      </c>
      <c r="J153" s="11">
        <f>VLOOKUP(G153,ADP!$B$1:$K$646,4,FALSE)</f>
        <v>524.9</v>
      </c>
      <c r="K153" s="11">
        <f t="shared" si="10"/>
        <v>44</v>
      </c>
    </row>
    <row r="154" spans="1:11" x14ac:dyDescent="0.2">
      <c r="A154" t="s">
        <v>1211</v>
      </c>
      <c r="B154">
        <v>8.4242806000000003E-2</v>
      </c>
      <c r="E154" t="str">
        <f t="shared" si="11"/>
        <v>Smith</v>
      </c>
      <c r="F154" t="str">
        <f t="shared" si="12"/>
        <v>Will</v>
      </c>
      <c r="G154" t="str">
        <f t="shared" si="13"/>
        <v>Will Smith</v>
      </c>
      <c r="H154" t="str">
        <f>VLOOKUP(G154,ADP!$B$1:$K$646,3,FALSE)</f>
        <v>C</v>
      </c>
      <c r="I154" s="10">
        <f t="shared" si="14"/>
        <v>8.4242806000000003E-2</v>
      </c>
      <c r="J154" s="11">
        <f>VLOOKUP(G154,ADP!$B$1:$K$646,4,FALSE)</f>
        <v>104.4</v>
      </c>
      <c r="K154" s="11">
        <f t="shared" si="10"/>
        <v>9</v>
      </c>
    </row>
    <row r="155" spans="1:11" x14ac:dyDescent="0.2">
      <c r="A155" t="s">
        <v>1065</v>
      </c>
      <c r="B155">
        <v>8.3344735000000003E-2</v>
      </c>
      <c r="E155" t="str">
        <f t="shared" si="11"/>
        <v>Sosa</v>
      </c>
      <c r="F155" t="str">
        <f t="shared" si="12"/>
        <v>Edmundo</v>
      </c>
      <c r="G155" t="str">
        <f t="shared" si="13"/>
        <v>Edmundo Sosa</v>
      </c>
      <c r="H155" t="str">
        <f>VLOOKUP(G155,ADP!$B$1:$K$646,3,FALSE)</f>
        <v>2B/3B</v>
      </c>
      <c r="I155" s="10">
        <f t="shared" si="14"/>
        <v>8.3344735000000003E-2</v>
      </c>
      <c r="J155" s="11">
        <f>VLOOKUP(G155,ADP!$B$1:$K$646,4,FALSE)</f>
        <v>0</v>
      </c>
      <c r="K155" s="11">
        <f t="shared" si="10"/>
        <v>0</v>
      </c>
    </row>
    <row r="156" spans="1:11" x14ac:dyDescent="0.2">
      <c r="A156" t="s">
        <v>1230</v>
      </c>
      <c r="B156">
        <v>8.3052054E-2</v>
      </c>
      <c r="E156" t="str">
        <f t="shared" si="11"/>
        <v>Pena</v>
      </c>
      <c r="F156" t="str">
        <f t="shared" si="12"/>
        <v>Jeremy</v>
      </c>
      <c r="G156" t="str">
        <f t="shared" si="13"/>
        <v>Jeremy Pena</v>
      </c>
      <c r="H156" t="str">
        <f>VLOOKUP(G156,ADP!$B$1:$K$646,3,FALSE)</f>
        <v>SS</v>
      </c>
      <c r="I156" s="10">
        <f t="shared" si="14"/>
        <v>8.3052054E-2</v>
      </c>
      <c r="J156" s="11">
        <f>VLOOKUP(G156,ADP!$B$1:$K$646,4,FALSE)</f>
        <v>92.4</v>
      </c>
      <c r="K156" s="11">
        <f t="shared" si="10"/>
        <v>8</v>
      </c>
    </row>
    <row r="157" spans="1:11" x14ac:dyDescent="0.2">
      <c r="A157" t="s">
        <v>1829</v>
      </c>
      <c r="B157">
        <v>8.2822750000000001E-2</v>
      </c>
      <c r="E157" t="str">
        <f t="shared" si="11"/>
        <v>Garcia</v>
      </c>
      <c r="F157" t="str">
        <f t="shared" si="12"/>
        <v>Adolis</v>
      </c>
      <c r="G157" t="str">
        <f t="shared" si="13"/>
        <v>Adolis Garcia</v>
      </c>
      <c r="H157" t="str">
        <f>VLOOKUP(G157,ADP!$B$1:$K$646,3,FALSE)</f>
        <v>OF</v>
      </c>
      <c r="I157" s="10">
        <f t="shared" si="14"/>
        <v>8.2822750000000001E-2</v>
      </c>
      <c r="J157" s="11">
        <f>VLOOKUP(G157,ADP!$B$1:$K$646,4,FALSE)</f>
        <v>225.1</v>
      </c>
      <c r="K157" s="11">
        <f t="shared" si="10"/>
        <v>19</v>
      </c>
    </row>
    <row r="158" spans="1:11" x14ac:dyDescent="0.2">
      <c r="A158" t="s">
        <v>1212</v>
      </c>
      <c r="B158">
        <v>8.1735279999999993E-2</v>
      </c>
      <c r="E158" t="str">
        <f t="shared" si="11"/>
        <v>Torrens</v>
      </c>
      <c r="F158" t="str">
        <f t="shared" si="12"/>
        <v>Luis</v>
      </c>
      <c r="G158" t="str">
        <f t="shared" si="13"/>
        <v>Luis Torrens</v>
      </c>
      <c r="H158" t="str">
        <f>VLOOKUP(G158,ADP!$B$1:$K$646,3,FALSE)</f>
        <v>C</v>
      </c>
      <c r="I158" s="10">
        <f t="shared" si="14"/>
        <v>8.1735279999999993E-2</v>
      </c>
      <c r="J158" s="11">
        <f>VLOOKUP(G158,ADP!$B$1:$K$646,4,FALSE)</f>
        <v>0</v>
      </c>
      <c r="K158" s="11">
        <f t="shared" si="10"/>
        <v>0</v>
      </c>
    </row>
    <row r="159" spans="1:11" x14ac:dyDescent="0.2">
      <c r="A159" t="s">
        <v>1213</v>
      </c>
      <c r="B159">
        <v>8.1735279999999993E-2</v>
      </c>
      <c r="E159" t="str">
        <f t="shared" si="11"/>
        <v>Bichette</v>
      </c>
      <c r="F159" t="str">
        <f t="shared" si="12"/>
        <v>Bo</v>
      </c>
      <c r="G159" t="str">
        <f t="shared" si="13"/>
        <v>Bo Bichette</v>
      </c>
      <c r="H159" t="str">
        <f>VLOOKUP(G159,ADP!$B$1:$K$646,3,FALSE)</f>
        <v>SS</v>
      </c>
      <c r="I159" s="10">
        <f t="shared" si="14"/>
        <v>8.1735279999999993E-2</v>
      </c>
      <c r="J159" s="11">
        <f>VLOOKUP(G159,ADP!$B$1:$K$646,4,FALSE)</f>
        <v>99.7</v>
      </c>
      <c r="K159" s="11">
        <f t="shared" si="10"/>
        <v>9</v>
      </c>
    </row>
    <row r="160" spans="1:11" x14ac:dyDescent="0.2">
      <c r="A160" t="s">
        <v>1214</v>
      </c>
      <c r="B160">
        <v>7.8541756000000004E-2</v>
      </c>
      <c r="E160" t="str">
        <f t="shared" si="11"/>
        <v>Bohm</v>
      </c>
      <c r="F160" t="str">
        <f t="shared" si="12"/>
        <v>Alec</v>
      </c>
      <c r="G160" t="str">
        <f t="shared" si="13"/>
        <v>Alec Bohm</v>
      </c>
      <c r="H160" t="str">
        <f>VLOOKUP(G160,ADP!$B$1:$K$646,3,FALSE)</f>
        <v>3B</v>
      </c>
      <c r="I160" s="10">
        <f t="shared" si="14"/>
        <v>7.8541756000000004E-2</v>
      </c>
      <c r="J160" s="11">
        <f>VLOOKUP(G160,ADP!$B$1:$K$646,4,FALSE)</f>
        <v>273</v>
      </c>
      <c r="K160" s="11">
        <f t="shared" si="10"/>
        <v>23</v>
      </c>
    </row>
    <row r="161" spans="1:11" x14ac:dyDescent="0.2">
      <c r="A161" t="s">
        <v>1215</v>
      </c>
      <c r="B161">
        <v>7.8541756000000004E-2</v>
      </c>
      <c r="E161" t="str">
        <f t="shared" si="11"/>
        <v>France</v>
      </c>
      <c r="F161" t="str">
        <f t="shared" si="12"/>
        <v>Ty</v>
      </c>
      <c r="G161" t="str">
        <f t="shared" si="13"/>
        <v>Ty France</v>
      </c>
      <c r="H161" t="str">
        <f>VLOOKUP(G161,ADP!$B$1:$K$646,3,FALSE)</f>
        <v>1B</v>
      </c>
      <c r="I161" s="10">
        <f t="shared" si="14"/>
        <v>7.8541756000000004E-2</v>
      </c>
      <c r="J161" s="11">
        <f>VLOOKUP(G161,ADP!$B$1:$K$646,4,FALSE)</f>
        <v>0</v>
      </c>
      <c r="K161" s="11">
        <f t="shared" si="10"/>
        <v>0</v>
      </c>
    </row>
    <row r="162" spans="1:11" x14ac:dyDescent="0.2">
      <c r="A162" t="s">
        <v>1231</v>
      </c>
      <c r="B162">
        <v>7.8541756000000004E-2</v>
      </c>
      <c r="E162" t="str">
        <f t="shared" si="11"/>
        <v>Garcia Jr.</v>
      </c>
      <c r="F162" t="str">
        <f t="shared" si="12"/>
        <v>Luis</v>
      </c>
      <c r="G162" t="str">
        <f t="shared" si="13"/>
        <v>Luis Garcia Jr.</v>
      </c>
      <c r="H162" t="str">
        <f>VLOOKUP(G162,ADP!$B$1:$K$646,3,FALSE)</f>
        <v>2B</v>
      </c>
      <c r="I162" s="10">
        <f t="shared" si="14"/>
        <v>7.8541756000000004E-2</v>
      </c>
      <c r="J162" s="11">
        <f>VLOOKUP(G162,ADP!$B$1:$K$646,4,FALSE)</f>
        <v>240.8</v>
      </c>
      <c r="K162" s="11">
        <f t="shared" si="10"/>
        <v>21</v>
      </c>
    </row>
    <row r="163" spans="1:11" x14ac:dyDescent="0.2">
      <c r="A163" t="s">
        <v>1232</v>
      </c>
      <c r="B163">
        <v>7.7190320000000007E-2</v>
      </c>
      <c r="E163" t="str">
        <f t="shared" si="11"/>
        <v>Hernandez</v>
      </c>
      <c r="F163" t="str">
        <f t="shared" si="12"/>
        <v>Teoscar</v>
      </c>
      <c r="G163" t="str">
        <f t="shared" si="13"/>
        <v>Teoscar Hernandez</v>
      </c>
      <c r="H163" t="str">
        <f>VLOOKUP(G163,ADP!$B$1:$K$646,3,FALSE)</f>
        <v>OF</v>
      </c>
      <c r="I163" s="10">
        <f t="shared" si="14"/>
        <v>7.7190320000000007E-2</v>
      </c>
      <c r="J163" s="11">
        <f>VLOOKUP(G163,ADP!$B$1:$K$646,4,FALSE)</f>
        <v>137.69999999999999</v>
      </c>
      <c r="K163" s="11">
        <f t="shared" si="10"/>
        <v>12</v>
      </c>
    </row>
    <row r="164" spans="1:11" x14ac:dyDescent="0.2">
      <c r="A164" t="s">
        <v>1216</v>
      </c>
      <c r="B164">
        <v>7.6322846E-2</v>
      </c>
      <c r="E164" t="str">
        <f t="shared" si="11"/>
        <v>Vientos</v>
      </c>
      <c r="F164" t="str">
        <f t="shared" si="12"/>
        <v>Mark</v>
      </c>
      <c r="G164" t="str">
        <f t="shared" si="13"/>
        <v>Mark Vientos</v>
      </c>
      <c r="H164" t="str">
        <f>VLOOKUP(G164,ADP!$B$1:$K$646,3,FALSE)</f>
        <v>3B/DH</v>
      </c>
      <c r="I164" s="10">
        <f t="shared" si="14"/>
        <v>7.6322846E-2</v>
      </c>
      <c r="J164" s="11">
        <f>VLOOKUP(G164,ADP!$B$1:$K$646,4,FALSE)</f>
        <v>414.2</v>
      </c>
      <c r="K164" s="11">
        <f t="shared" si="10"/>
        <v>35</v>
      </c>
    </row>
    <row r="165" spans="1:11" x14ac:dyDescent="0.2">
      <c r="A165" t="s">
        <v>1042</v>
      </c>
      <c r="B165">
        <v>7.5464055000000002E-2</v>
      </c>
      <c r="E165" t="str">
        <f t="shared" si="11"/>
        <v>Walker</v>
      </c>
      <c r="F165" t="str">
        <f t="shared" si="12"/>
        <v>Christian</v>
      </c>
      <c r="G165" t="str">
        <f t="shared" si="13"/>
        <v>Christian Walker</v>
      </c>
      <c r="H165" t="str">
        <f>VLOOKUP(G165,ADP!$B$1:$K$646,3,FALSE)</f>
        <v>1B</v>
      </c>
      <c r="I165" s="10">
        <f t="shared" si="14"/>
        <v>7.5464055000000002E-2</v>
      </c>
      <c r="J165" s="11">
        <f>VLOOKUP(G165,ADP!$B$1:$K$646,4,FALSE)</f>
        <v>205.2</v>
      </c>
      <c r="K165" s="11">
        <f t="shared" si="10"/>
        <v>18</v>
      </c>
    </row>
    <row r="166" spans="1:11" x14ac:dyDescent="0.2">
      <c r="A166" t="s">
        <v>1217</v>
      </c>
      <c r="B166">
        <v>7.5139609999999996E-2</v>
      </c>
      <c r="E166" t="str">
        <f t="shared" si="11"/>
        <v>Ortiz</v>
      </c>
      <c r="F166" t="str">
        <f t="shared" si="12"/>
        <v>Joey</v>
      </c>
      <c r="G166" t="str">
        <f t="shared" si="13"/>
        <v>Joey Ortiz</v>
      </c>
      <c r="H166" t="str">
        <f>VLOOKUP(G166,ADP!$B$1:$K$646,3,FALSE)</f>
        <v>SS</v>
      </c>
      <c r="I166" s="10">
        <f t="shared" si="14"/>
        <v>7.5139609999999996E-2</v>
      </c>
      <c r="J166" s="11">
        <f>VLOOKUP(G166,ADP!$B$1:$K$646,4,FALSE)</f>
        <v>740.6</v>
      </c>
      <c r="K166" s="11">
        <f t="shared" si="10"/>
        <v>62</v>
      </c>
    </row>
    <row r="167" spans="1:11" x14ac:dyDescent="0.2">
      <c r="A167" t="s">
        <v>1218</v>
      </c>
      <c r="B167">
        <v>7.5139609999999996E-2</v>
      </c>
      <c r="E167" t="str">
        <f t="shared" si="11"/>
        <v>Frelick</v>
      </c>
      <c r="F167" t="str">
        <f t="shared" si="12"/>
        <v>Sal</v>
      </c>
      <c r="G167" t="str">
        <f t="shared" si="13"/>
        <v>Sal Frelick</v>
      </c>
      <c r="H167" t="str">
        <f>VLOOKUP(G167,ADP!$B$1:$K$646,3,FALSE)</f>
        <v>OF</v>
      </c>
      <c r="I167" s="10">
        <f t="shared" si="14"/>
        <v>7.5139609999999996E-2</v>
      </c>
      <c r="J167" s="11">
        <f>VLOOKUP(G167,ADP!$B$1:$K$646,4,FALSE)</f>
        <v>211.5</v>
      </c>
      <c r="K167" s="11">
        <f t="shared" si="10"/>
        <v>18</v>
      </c>
    </row>
    <row r="168" spans="1:11" x14ac:dyDescent="0.2">
      <c r="A168" t="s">
        <v>1045</v>
      </c>
      <c r="B168">
        <v>7.5089180000000005E-2</v>
      </c>
      <c r="E168" t="str">
        <f t="shared" si="11"/>
        <v>Buxton</v>
      </c>
      <c r="F168" t="str">
        <f t="shared" si="12"/>
        <v>Byron</v>
      </c>
      <c r="G168" t="str">
        <f t="shared" si="13"/>
        <v>Byron Buxton</v>
      </c>
      <c r="H168" t="str">
        <f>VLOOKUP(G168,ADP!$B$1:$K$646,3,FALSE)</f>
        <v>OF</v>
      </c>
      <c r="I168" s="10">
        <f t="shared" si="14"/>
        <v>7.5089180000000005E-2</v>
      </c>
      <c r="J168" s="11">
        <f>VLOOKUP(G168,ADP!$B$1:$K$646,4,FALSE)</f>
        <v>70.599999999999994</v>
      </c>
      <c r="K168" s="11">
        <f t="shared" si="10"/>
        <v>6</v>
      </c>
    </row>
    <row r="169" spans="1:11" x14ac:dyDescent="0.2">
      <c r="B169"/>
      <c r="F169" s="5"/>
      <c r="G169" s="3"/>
      <c r="H169" s="3"/>
      <c r="I169" s="3"/>
      <c r="J169"/>
      <c r="K169"/>
    </row>
    <row r="170" spans="1:11" x14ac:dyDescent="0.2">
      <c r="B170"/>
      <c r="F170" s="5"/>
      <c r="G170" s="3"/>
      <c r="H170" s="3"/>
      <c r="I170" s="3"/>
      <c r="J170"/>
      <c r="K170"/>
    </row>
    <row r="171" spans="1:11" x14ac:dyDescent="0.2">
      <c r="B171"/>
      <c r="F171" s="5"/>
      <c r="G171" s="3"/>
      <c r="H171" s="3"/>
      <c r="I171" s="3"/>
      <c r="J171"/>
      <c r="K171"/>
    </row>
    <row r="172" spans="1:11" x14ac:dyDescent="0.2">
      <c r="B172"/>
      <c r="F172" s="5"/>
      <c r="G172" s="3"/>
      <c r="H172" s="3"/>
      <c r="I172" s="3"/>
      <c r="J172"/>
      <c r="K172"/>
    </row>
    <row r="173" spans="1:11" x14ac:dyDescent="0.2">
      <c r="B173"/>
      <c r="F173" s="5"/>
      <c r="G173" s="3"/>
      <c r="H173" s="3"/>
      <c r="I173" s="3"/>
      <c r="J173"/>
      <c r="K173"/>
    </row>
    <row r="174" spans="1:11" x14ac:dyDescent="0.2">
      <c r="B174"/>
      <c r="F174" s="5"/>
      <c r="G174" s="3"/>
      <c r="H174" s="3"/>
      <c r="I174" s="3"/>
      <c r="J174"/>
      <c r="K174"/>
    </row>
    <row r="175" spans="1:11" x14ac:dyDescent="0.2">
      <c r="B175"/>
      <c r="F175" s="5"/>
      <c r="G175" s="3"/>
      <c r="H175" s="3"/>
      <c r="I175" s="3"/>
      <c r="J175"/>
      <c r="K175"/>
    </row>
    <row r="176" spans="1:11" x14ac:dyDescent="0.2">
      <c r="B176"/>
      <c r="F176" s="5"/>
      <c r="G176" s="3"/>
      <c r="H176" s="3"/>
      <c r="I176" s="3"/>
      <c r="J176"/>
      <c r="K176"/>
    </row>
    <row r="177" spans="2:11" x14ac:dyDescent="0.2">
      <c r="B177"/>
      <c r="F177" s="5"/>
      <c r="G177" s="3"/>
      <c r="H177" s="3"/>
      <c r="I177" s="3"/>
      <c r="J177"/>
      <c r="K177"/>
    </row>
    <row r="178" spans="2:11" x14ac:dyDescent="0.2">
      <c r="B178"/>
      <c r="F178" s="5"/>
      <c r="G178" s="3"/>
      <c r="H178" s="3"/>
      <c r="I178" s="3"/>
      <c r="J178"/>
      <c r="K178"/>
    </row>
    <row r="179" spans="2:11" x14ac:dyDescent="0.2">
      <c r="B179"/>
      <c r="F179" s="5"/>
      <c r="G179" s="3"/>
      <c r="H179" s="3"/>
      <c r="I179" s="3"/>
      <c r="J179"/>
      <c r="K179"/>
    </row>
    <row r="180" spans="2:11" x14ac:dyDescent="0.2">
      <c r="B180"/>
      <c r="F180" s="5"/>
      <c r="G180" s="3"/>
      <c r="H180" s="3"/>
      <c r="I180" s="3"/>
      <c r="J180"/>
      <c r="K180"/>
    </row>
    <row r="181" spans="2:11" x14ac:dyDescent="0.2">
      <c r="B181"/>
      <c r="F181" s="5"/>
      <c r="G181" s="3"/>
      <c r="H181" s="3"/>
      <c r="I181" s="3"/>
      <c r="J181"/>
      <c r="K181"/>
    </row>
    <row r="182" spans="2:11" x14ac:dyDescent="0.2">
      <c r="B182"/>
      <c r="F182" s="5"/>
      <c r="G182" s="3"/>
      <c r="H182" s="3"/>
      <c r="I182" s="3"/>
      <c r="J182"/>
      <c r="K182"/>
    </row>
    <row r="183" spans="2:11" x14ac:dyDescent="0.2">
      <c r="B183"/>
      <c r="F183" s="5"/>
      <c r="G183" s="3"/>
      <c r="H183" s="3"/>
      <c r="I183" s="3"/>
      <c r="J183"/>
      <c r="K183"/>
    </row>
    <row r="184" spans="2:11" x14ac:dyDescent="0.2">
      <c r="B184"/>
      <c r="F184" s="5"/>
      <c r="G184" s="3"/>
      <c r="H184" s="3"/>
      <c r="I184" s="3"/>
      <c r="J184"/>
      <c r="K184"/>
    </row>
    <row r="185" spans="2:11" x14ac:dyDescent="0.2">
      <c r="B185"/>
      <c r="F185" s="5"/>
      <c r="G185" s="3"/>
      <c r="H185" s="3"/>
      <c r="I185" s="3"/>
      <c r="J185"/>
      <c r="K185"/>
    </row>
    <row r="186" spans="2:11" x14ac:dyDescent="0.2">
      <c r="B186"/>
      <c r="F186" s="5"/>
      <c r="G186" s="3"/>
      <c r="H186" s="3"/>
      <c r="I186" s="3"/>
      <c r="J186"/>
      <c r="K186"/>
    </row>
    <row r="187" spans="2:11" x14ac:dyDescent="0.2">
      <c r="B187"/>
      <c r="F187" s="5"/>
      <c r="G187" s="3"/>
      <c r="H187" s="3"/>
      <c r="I187" s="3"/>
      <c r="J187"/>
      <c r="K187"/>
    </row>
    <row r="188" spans="2:11" x14ac:dyDescent="0.2">
      <c r="B188"/>
      <c r="F188" s="5"/>
      <c r="G188" s="3"/>
      <c r="H188" s="3"/>
      <c r="I188" s="3"/>
      <c r="J188"/>
      <c r="K188"/>
    </row>
    <row r="189" spans="2:11" x14ac:dyDescent="0.2">
      <c r="B189"/>
      <c r="F189" s="5"/>
      <c r="G189" s="3"/>
      <c r="H189" s="3"/>
      <c r="I189" s="3"/>
      <c r="J189"/>
      <c r="K189"/>
    </row>
    <row r="190" spans="2:11" x14ac:dyDescent="0.2">
      <c r="B190"/>
      <c r="F190" s="5"/>
      <c r="G190" s="3"/>
      <c r="H190" s="3"/>
      <c r="I190" s="3"/>
      <c r="J190"/>
      <c r="K190"/>
    </row>
    <row r="191" spans="2:11" x14ac:dyDescent="0.2">
      <c r="B191"/>
      <c r="F191" s="5"/>
      <c r="G191" s="3"/>
      <c r="H191" s="3"/>
      <c r="I191" s="3"/>
      <c r="J191"/>
      <c r="K191"/>
    </row>
    <row r="192" spans="2:11" x14ac:dyDescent="0.2">
      <c r="B192"/>
      <c r="F192" s="5"/>
      <c r="G192" s="3"/>
      <c r="H192" s="3"/>
      <c r="I192" s="3"/>
      <c r="J192"/>
      <c r="K192"/>
    </row>
    <row r="193" spans="2:11" x14ac:dyDescent="0.2">
      <c r="B193"/>
      <c r="F193" s="5"/>
      <c r="G193" s="3"/>
      <c r="H193" s="3"/>
      <c r="I193" s="3"/>
      <c r="J193"/>
      <c r="K193"/>
    </row>
    <row r="194" spans="2:11" x14ac:dyDescent="0.2">
      <c r="B194"/>
      <c r="F194" s="5"/>
      <c r="G194" s="3"/>
      <c r="H194" s="3"/>
      <c r="I194" s="3"/>
      <c r="J194"/>
      <c r="K194"/>
    </row>
    <row r="195" spans="2:11" x14ac:dyDescent="0.2">
      <c r="B195"/>
      <c r="F195" s="5"/>
      <c r="G195" s="3"/>
      <c r="H195" s="3"/>
      <c r="I195" s="3"/>
      <c r="J195"/>
      <c r="K195"/>
    </row>
    <row r="196" spans="2:11" x14ac:dyDescent="0.2">
      <c r="B196"/>
      <c r="F196" s="5"/>
      <c r="G196" s="3"/>
      <c r="H196" s="3"/>
      <c r="I196" s="3"/>
      <c r="J196"/>
      <c r="K196"/>
    </row>
    <row r="197" spans="2:11" x14ac:dyDescent="0.2">
      <c r="B197"/>
      <c r="F197" s="5"/>
      <c r="G197" s="3"/>
      <c r="H197" s="3"/>
      <c r="I197" s="3"/>
      <c r="J197"/>
      <c r="K197"/>
    </row>
    <row r="198" spans="2:11" x14ac:dyDescent="0.2">
      <c r="B198"/>
      <c r="F198" s="5"/>
      <c r="G198" s="3"/>
      <c r="H198" s="3"/>
      <c r="I198" s="3"/>
      <c r="J198"/>
      <c r="K198"/>
    </row>
    <row r="199" spans="2:11" x14ac:dyDescent="0.2">
      <c r="B199"/>
      <c r="F199" s="5"/>
      <c r="G199" s="3"/>
      <c r="H199" s="3"/>
      <c r="I199" s="3"/>
      <c r="J199"/>
      <c r="K199"/>
    </row>
    <row r="200" spans="2:11" x14ac:dyDescent="0.2">
      <c r="B200"/>
      <c r="F200" s="5"/>
      <c r="G200" s="3"/>
      <c r="H200" s="3"/>
      <c r="I200" s="3"/>
      <c r="J200"/>
      <c r="K200"/>
    </row>
    <row r="201" spans="2:11" x14ac:dyDescent="0.2">
      <c r="B201"/>
      <c r="F201" s="5"/>
      <c r="G201" s="3"/>
      <c r="H201" s="3"/>
      <c r="I201" s="3"/>
      <c r="J201"/>
      <c r="K201"/>
    </row>
    <row r="202" spans="2:11" x14ac:dyDescent="0.2">
      <c r="B202"/>
      <c r="F202" s="5"/>
      <c r="G202" s="3"/>
      <c r="H202" s="3"/>
      <c r="I202" s="3"/>
      <c r="J202"/>
      <c r="K202"/>
    </row>
    <row r="203" spans="2:11" x14ac:dyDescent="0.2">
      <c r="B203"/>
      <c r="F203" s="5"/>
      <c r="G203" s="3"/>
      <c r="H203" s="3"/>
      <c r="I203" s="3"/>
      <c r="J203"/>
      <c r="K203"/>
    </row>
    <row r="204" spans="2:11" x14ac:dyDescent="0.2">
      <c r="B204"/>
      <c r="F204" s="5"/>
      <c r="G204" s="3"/>
      <c r="H204" s="3"/>
      <c r="I204" s="3"/>
      <c r="J204"/>
      <c r="K204"/>
    </row>
    <row r="205" spans="2:11" x14ac:dyDescent="0.2">
      <c r="B205"/>
      <c r="F205" s="5"/>
      <c r="G205" s="3"/>
      <c r="H205" s="3"/>
      <c r="I205" s="3"/>
      <c r="J205"/>
      <c r="K205"/>
    </row>
    <row r="206" spans="2:11" x14ac:dyDescent="0.2">
      <c r="B206"/>
      <c r="F206" s="5"/>
      <c r="G206" s="3"/>
      <c r="H206" s="3"/>
      <c r="I206" s="3"/>
      <c r="J206"/>
      <c r="K206"/>
    </row>
    <row r="207" spans="2:11" x14ac:dyDescent="0.2">
      <c r="B207"/>
      <c r="F207" s="5"/>
      <c r="G207" s="3"/>
      <c r="H207" s="3"/>
      <c r="I207" s="3"/>
      <c r="J207"/>
      <c r="K207"/>
    </row>
    <row r="208" spans="2:11" x14ac:dyDescent="0.2">
      <c r="B208"/>
      <c r="F208" s="5"/>
      <c r="G208" s="3"/>
      <c r="H208" s="3"/>
      <c r="I208" s="3"/>
      <c r="J208"/>
      <c r="K208"/>
    </row>
    <row r="209" spans="2:11" x14ac:dyDescent="0.2">
      <c r="B209"/>
      <c r="F209" s="5"/>
      <c r="G209" s="3"/>
      <c r="H209" s="3"/>
      <c r="I209" s="3"/>
      <c r="J209"/>
      <c r="K209"/>
    </row>
    <row r="210" spans="2:11" x14ac:dyDescent="0.2">
      <c r="B210"/>
      <c r="F210" s="5"/>
      <c r="G210" s="3"/>
      <c r="H210" s="3"/>
      <c r="I210" s="3"/>
      <c r="J210"/>
      <c r="K210"/>
    </row>
    <row r="211" spans="2:11" x14ac:dyDescent="0.2">
      <c r="B211"/>
      <c r="F211" s="5"/>
      <c r="G211" s="3"/>
      <c r="H211" s="3"/>
      <c r="I211" s="3"/>
      <c r="J211"/>
      <c r="K211"/>
    </row>
    <row r="212" spans="2:11" x14ac:dyDescent="0.2">
      <c r="B212"/>
      <c r="F212" s="5"/>
      <c r="G212" s="3"/>
      <c r="H212" s="3"/>
      <c r="I212" s="3"/>
      <c r="J212"/>
      <c r="K212"/>
    </row>
    <row r="213" spans="2:11" x14ac:dyDescent="0.2">
      <c r="B213"/>
      <c r="F213" s="5"/>
      <c r="G213" s="3"/>
      <c r="H213" s="3"/>
      <c r="I213" s="3"/>
      <c r="J213"/>
      <c r="K213"/>
    </row>
    <row r="214" spans="2:11" x14ac:dyDescent="0.2">
      <c r="B214"/>
      <c r="F214" s="5"/>
      <c r="G214" s="3"/>
      <c r="H214" s="3"/>
      <c r="I214" s="3"/>
      <c r="J214"/>
      <c r="K214"/>
    </row>
    <row r="215" spans="2:11" x14ac:dyDescent="0.2">
      <c r="B215"/>
      <c r="F215" s="5"/>
      <c r="G215" s="3"/>
      <c r="H215" s="3"/>
      <c r="I215" s="3"/>
      <c r="J215"/>
      <c r="K215"/>
    </row>
    <row r="216" spans="2:11" x14ac:dyDescent="0.2">
      <c r="B216"/>
      <c r="F216" s="5"/>
      <c r="G216" s="3"/>
      <c r="H216" s="3"/>
      <c r="I216" s="3"/>
      <c r="J216"/>
      <c r="K216"/>
    </row>
    <row r="217" spans="2:11" x14ac:dyDescent="0.2">
      <c r="B217"/>
      <c r="F217" s="5"/>
      <c r="G217" s="3"/>
      <c r="H217" s="3"/>
      <c r="I217" s="3"/>
      <c r="J217"/>
      <c r="K217"/>
    </row>
    <row r="218" spans="2:11" x14ac:dyDescent="0.2">
      <c r="B218"/>
      <c r="F218" s="5"/>
      <c r="G218" s="3"/>
      <c r="H218" s="3"/>
      <c r="I218" s="3"/>
      <c r="J218"/>
      <c r="K218"/>
    </row>
    <row r="219" spans="2:11" x14ac:dyDescent="0.2">
      <c r="B219"/>
      <c r="F219" s="5"/>
      <c r="G219" s="3"/>
      <c r="H219" s="3"/>
      <c r="I219" s="3"/>
      <c r="J219"/>
      <c r="K219"/>
    </row>
    <row r="220" spans="2:11" x14ac:dyDescent="0.2">
      <c r="B220"/>
      <c r="F220" s="5"/>
      <c r="G220" s="3"/>
      <c r="H220" s="3"/>
      <c r="I220" s="3"/>
      <c r="J220"/>
      <c r="K220"/>
    </row>
    <row r="221" spans="2:11" x14ac:dyDescent="0.2">
      <c r="B221"/>
      <c r="F221" s="5"/>
      <c r="G221" s="3"/>
      <c r="H221" s="3"/>
      <c r="I221" s="3"/>
      <c r="J221"/>
      <c r="K221"/>
    </row>
    <row r="222" spans="2:11" x14ac:dyDescent="0.2">
      <c r="B222"/>
      <c r="F222" s="5"/>
      <c r="G222" s="3"/>
      <c r="H222" s="3"/>
      <c r="I222" s="3"/>
      <c r="J222"/>
      <c r="K222"/>
    </row>
    <row r="223" spans="2:11" x14ac:dyDescent="0.2">
      <c r="B223"/>
      <c r="F223" s="5"/>
      <c r="G223" s="3"/>
      <c r="H223" s="3"/>
      <c r="I223" s="3"/>
      <c r="J223"/>
      <c r="K223"/>
    </row>
    <row r="224" spans="2:11" x14ac:dyDescent="0.2">
      <c r="B224"/>
      <c r="F224" s="5"/>
      <c r="G224" s="3"/>
      <c r="H224" s="3"/>
      <c r="I224" s="3"/>
      <c r="J224"/>
      <c r="K224"/>
    </row>
    <row r="225" spans="2:11" x14ac:dyDescent="0.2">
      <c r="B225"/>
      <c r="F225" s="5"/>
      <c r="G225" s="3"/>
      <c r="H225" s="3"/>
      <c r="I225" s="3"/>
      <c r="J225"/>
      <c r="K225"/>
    </row>
    <row r="226" spans="2:11" x14ac:dyDescent="0.2">
      <c r="B226"/>
      <c r="F226" s="5"/>
      <c r="G226" s="3"/>
      <c r="H226" s="3"/>
      <c r="I226" s="3"/>
      <c r="J226"/>
      <c r="K226"/>
    </row>
    <row r="227" spans="2:11" x14ac:dyDescent="0.2">
      <c r="B227"/>
      <c r="F227" s="5"/>
      <c r="G227" s="3"/>
      <c r="H227" s="3"/>
      <c r="I227" s="3"/>
      <c r="J227"/>
      <c r="K227"/>
    </row>
    <row r="228" spans="2:11" x14ac:dyDescent="0.2">
      <c r="B228"/>
      <c r="F228" s="5"/>
      <c r="G228" s="3"/>
      <c r="H228" s="3"/>
      <c r="I228" s="3"/>
      <c r="J228"/>
      <c r="K228"/>
    </row>
    <row r="229" spans="2:11" x14ac:dyDescent="0.2">
      <c r="B229"/>
      <c r="F229" s="5"/>
      <c r="G229" s="3"/>
      <c r="H229" s="3"/>
      <c r="I229" s="3"/>
      <c r="J229"/>
      <c r="K229"/>
    </row>
    <row r="230" spans="2:11" x14ac:dyDescent="0.2">
      <c r="B230"/>
      <c r="F230" s="5"/>
      <c r="G230" s="3"/>
      <c r="H230" s="3"/>
      <c r="I230" s="3"/>
      <c r="J230"/>
      <c r="K230"/>
    </row>
    <row r="231" spans="2:11" x14ac:dyDescent="0.2">
      <c r="B231"/>
      <c r="F231" s="5"/>
      <c r="G231" s="3"/>
      <c r="H231" s="3"/>
      <c r="I231" s="3"/>
      <c r="J231"/>
      <c r="K231"/>
    </row>
    <row r="232" spans="2:11" x14ac:dyDescent="0.2">
      <c r="B232"/>
      <c r="F232" s="5"/>
      <c r="G232" s="3"/>
      <c r="H232" s="3"/>
      <c r="I232" s="3"/>
      <c r="J232"/>
      <c r="K232"/>
    </row>
    <row r="233" spans="2:11" x14ac:dyDescent="0.2">
      <c r="B233"/>
      <c r="F233" s="5"/>
      <c r="G233" s="3"/>
      <c r="H233" s="3"/>
      <c r="I233" s="3"/>
      <c r="J233"/>
      <c r="K233"/>
    </row>
    <row r="234" spans="2:11" x14ac:dyDescent="0.2">
      <c r="B234"/>
      <c r="F234" s="5"/>
      <c r="G234" s="3"/>
      <c r="H234" s="3"/>
      <c r="I234" s="3"/>
      <c r="J234"/>
      <c r="K234"/>
    </row>
    <row r="235" spans="2:11" x14ac:dyDescent="0.2">
      <c r="B235"/>
      <c r="F235" s="5"/>
      <c r="G235" s="3"/>
      <c r="H235" s="3"/>
      <c r="I235" s="3"/>
      <c r="J235"/>
      <c r="K235"/>
    </row>
    <row r="236" spans="2:11" x14ac:dyDescent="0.2">
      <c r="B236"/>
      <c r="F236" s="5"/>
      <c r="G236" s="3"/>
      <c r="H236" s="3"/>
      <c r="I236" s="3"/>
      <c r="J236"/>
      <c r="K236"/>
    </row>
    <row r="237" spans="2:11" x14ac:dyDescent="0.2">
      <c r="B237"/>
      <c r="F237" s="5"/>
      <c r="G237" s="3"/>
      <c r="H237" s="3"/>
      <c r="I237" s="3"/>
      <c r="J237"/>
      <c r="K237"/>
    </row>
    <row r="238" spans="2:11" x14ac:dyDescent="0.2">
      <c r="B238"/>
      <c r="F238" s="5"/>
      <c r="G238" s="3"/>
      <c r="H238" s="3"/>
      <c r="I238" s="3"/>
      <c r="J238"/>
      <c r="K238"/>
    </row>
    <row r="239" spans="2:11" x14ac:dyDescent="0.2">
      <c r="B239"/>
      <c r="F239" s="5"/>
      <c r="G239" s="3"/>
      <c r="H239" s="3"/>
      <c r="I239" s="3"/>
      <c r="J239"/>
      <c r="K239"/>
    </row>
    <row r="240" spans="2:11" x14ac:dyDescent="0.2">
      <c r="B240"/>
      <c r="F240" s="5"/>
      <c r="G240" s="3"/>
      <c r="H240" s="3"/>
      <c r="I240" s="3"/>
      <c r="J240"/>
      <c r="K240"/>
    </row>
    <row r="241" spans="2:11" x14ac:dyDescent="0.2">
      <c r="B241"/>
      <c r="F241" s="5"/>
      <c r="G241" s="3"/>
      <c r="H241" s="3"/>
      <c r="I241" s="3"/>
      <c r="J241"/>
      <c r="K241"/>
    </row>
    <row r="242" spans="2:11" x14ac:dyDescent="0.2">
      <c r="B242"/>
      <c r="F242" s="5"/>
      <c r="G242" s="3"/>
      <c r="H242" s="3"/>
      <c r="I242" s="3"/>
      <c r="J242"/>
      <c r="K242"/>
    </row>
    <row r="243" spans="2:11" x14ac:dyDescent="0.2">
      <c r="B243"/>
      <c r="F243" s="5"/>
      <c r="G243" s="3"/>
      <c r="H243" s="3"/>
      <c r="I243" s="3"/>
      <c r="J243"/>
      <c r="K243"/>
    </row>
    <row r="244" spans="2:11" x14ac:dyDescent="0.2">
      <c r="B244"/>
      <c r="F244" s="5"/>
      <c r="G244" s="3"/>
      <c r="H244" s="3"/>
      <c r="I244" s="3"/>
      <c r="J244"/>
      <c r="K244"/>
    </row>
    <row r="245" spans="2:11" x14ac:dyDescent="0.2">
      <c r="B245"/>
      <c r="F245" s="5"/>
      <c r="G245" s="3"/>
      <c r="H245" s="3"/>
      <c r="I245" s="3"/>
      <c r="J245"/>
      <c r="K245"/>
    </row>
    <row r="246" spans="2:11" x14ac:dyDescent="0.2">
      <c r="B246"/>
      <c r="F246" s="5"/>
      <c r="G246" s="3"/>
      <c r="H246" s="3"/>
      <c r="I246" s="3"/>
      <c r="J246"/>
      <c r="K246"/>
    </row>
    <row r="247" spans="2:11" x14ac:dyDescent="0.2">
      <c r="B247"/>
      <c r="F247" s="5"/>
      <c r="G247" s="3"/>
      <c r="H247" s="3"/>
      <c r="I247" s="3"/>
      <c r="J247"/>
      <c r="K247"/>
    </row>
    <row r="248" spans="2:11" x14ac:dyDescent="0.2">
      <c r="B248"/>
      <c r="F248" s="5"/>
      <c r="G248" s="3"/>
      <c r="H248" s="3"/>
      <c r="I248" s="3"/>
      <c r="J248"/>
      <c r="K248"/>
    </row>
    <row r="249" spans="2:11" x14ac:dyDescent="0.2">
      <c r="B249"/>
      <c r="F249" s="5"/>
      <c r="G249" s="3"/>
      <c r="H249" s="3"/>
      <c r="I249" s="3"/>
      <c r="J249"/>
      <c r="K249"/>
    </row>
    <row r="250" spans="2:11" x14ac:dyDescent="0.2">
      <c r="B250"/>
      <c r="F250" s="5"/>
      <c r="G250" s="3"/>
      <c r="H250" s="3"/>
      <c r="I250" s="3"/>
      <c r="J250"/>
      <c r="K250"/>
    </row>
    <row r="251" spans="2:11" x14ac:dyDescent="0.2">
      <c r="B251"/>
      <c r="F251" s="5"/>
      <c r="G251" s="3"/>
      <c r="H251" s="3"/>
      <c r="I251" s="3"/>
      <c r="J251"/>
      <c r="K251"/>
    </row>
    <row r="252" spans="2:11" x14ac:dyDescent="0.2">
      <c r="B252"/>
      <c r="F252" s="5"/>
      <c r="G252" s="3"/>
      <c r="H252" s="3"/>
      <c r="I252" s="3"/>
      <c r="J252"/>
      <c r="K252"/>
    </row>
    <row r="253" spans="2:11" x14ac:dyDescent="0.2">
      <c r="B253"/>
      <c r="F253" s="5"/>
      <c r="G253" s="3"/>
      <c r="H253" s="3"/>
      <c r="I253" s="3"/>
      <c r="J253"/>
      <c r="K253"/>
    </row>
    <row r="254" spans="2:11" x14ac:dyDescent="0.2">
      <c r="B254"/>
      <c r="F254" s="5"/>
      <c r="G254" s="3"/>
      <c r="H254" s="3"/>
      <c r="I254" s="3"/>
      <c r="J254"/>
      <c r="K254"/>
    </row>
    <row r="255" spans="2:11" x14ac:dyDescent="0.2">
      <c r="B255"/>
      <c r="F255" s="5"/>
      <c r="G255" s="3"/>
      <c r="H255" s="3"/>
      <c r="I255" s="3"/>
      <c r="J255"/>
      <c r="K255"/>
    </row>
    <row r="256" spans="2:11" x14ac:dyDescent="0.2">
      <c r="B256"/>
      <c r="F256" s="5"/>
      <c r="G256" s="3"/>
      <c r="H256" s="3"/>
      <c r="I256" s="3"/>
      <c r="J256"/>
      <c r="K256"/>
    </row>
    <row r="257" spans="2:11" x14ac:dyDescent="0.2">
      <c r="B257"/>
      <c r="F257" s="5"/>
      <c r="G257" s="3"/>
      <c r="H257" s="3"/>
      <c r="I257" s="3"/>
      <c r="J257"/>
      <c r="K257"/>
    </row>
    <row r="258" spans="2:11" x14ac:dyDescent="0.2">
      <c r="B258"/>
      <c r="F258" s="5"/>
      <c r="G258" s="3"/>
      <c r="H258" s="3"/>
      <c r="I258" s="3"/>
      <c r="J258"/>
      <c r="K258"/>
    </row>
    <row r="259" spans="2:11" x14ac:dyDescent="0.2">
      <c r="B259"/>
      <c r="F259" s="5"/>
      <c r="G259" s="3"/>
      <c r="H259" s="3"/>
      <c r="I259" s="3"/>
      <c r="J259"/>
      <c r="K259"/>
    </row>
    <row r="260" spans="2:11" x14ac:dyDescent="0.2">
      <c r="B260"/>
      <c r="F260" s="5"/>
      <c r="G260" s="3"/>
      <c r="H260" s="3"/>
      <c r="I260" s="3"/>
      <c r="J260"/>
      <c r="K260"/>
    </row>
    <row r="261" spans="2:11" x14ac:dyDescent="0.2">
      <c r="B261"/>
      <c r="F261" s="5"/>
      <c r="G261" s="3"/>
      <c r="H261" s="3"/>
      <c r="I261" s="3"/>
      <c r="J261"/>
      <c r="K261"/>
    </row>
    <row r="262" spans="2:11" x14ac:dyDescent="0.2">
      <c r="B262"/>
      <c r="F262" s="5"/>
      <c r="G262" s="3"/>
      <c r="H262" s="3"/>
      <c r="I262" s="3"/>
      <c r="J262"/>
      <c r="K262"/>
    </row>
    <row r="263" spans="2:11" x14ac:dyDescent="0.2">
      <c r="B263"/>
      <c r="F263" s="5"/>
      <c r="G263" s="3"/>
      <c r="H263" s="3"/>
      <c r="I263" s="3"/>
      <c r="J263"/>
      <c r="K263"/>
    </row>
    <row r="264" spans="2:11" x14ac:dyDescent="0.2">
      <c r="B264"/>
      <c r="F264" s="5"/>
      <c r="G264" s="3"/>
      <c r="H264" s="3"/>
      <c r="I264" s="3"/>
      <c r="J264"/>
      <c r="K264"/>
    </row>
    <row r="265" spans="2:11" x14ac:dyDescent="0.2">
      <c r="B265"/>
      <c r="F265" s="5"/>
      <c r="G265" s="3"/>
      <c r="H265" s="3"/>
      <c r="I265" s="3"/>
      <c r="J265"/>
      <c r="K265"/>
    </row>
    <row r="266" spans="2:11" x14ac:dyDescent="0.2">
      <c r="B266"/>
      <c r="F266" s="5"/>
      <c r="G266" s="3"/>
      <c r="H266" s="3"/>
      <c r="I266" s="3"/>
      <c r="J266"/>
      <c r="K266"/>
    </row>
    <row r="267" spans="2:11" x14ac:dyDescent="0.2">
      <c r="B267"/>
      <c r="F267" s="5"/>
      <c r="G267" s="3"/>
      <c r="H267" s="3"/>
      <c r="I267" s="3"/>
      <c r="J267"/>
      <c r="K267"/>
    </row>
    <row r="268" spans="2:11" x14ac:dyDescent="0.2">
      <c r="B268"/>
      <c r="F268" s="5"/>
      <c r="G268" s="3"/>
      <c r="H268" s="3"/>
      <c r="I268" s="3"/>
      <c r="J268"/>
      <c r="K268"/>
    </row>
    <row r="269" spans="2:11" x14ac:dyDescent="0.2">
      <c r="B269"/>
      <c r="F269" s="5"/>
      <c r="G269" s="3"/>
      <c r="H269" s="3"/>
      <c r="I269" s="3"/>
      <c r="J269"/>
      <c r="K269"/>
    </row>
    <row r="270" spans="2:11" x14ac:dyDescent="0.2">
      <c r="B270"/>
      <c r="F270" s="5"/>
      <c r="G270" s="3"/>
      <c r="H270" s="3"/>
      <c r="I270" s="3"/>
      <c r="J270"/>
      <c r="K270"/>
    </row>
    <row r="271" spans="2:11" x14ac:dyDescent="0.2">
      <c r="B271"/>
      <c r="F271" s="5"/>
      <c r="G271" s="3"/>
      <c r="H271" s="3"/>
      <c r="I271" s="3"/>
      <c r="J271"/>
      <c r="K271"/>
    </row>
    <row r="272" spans="2:11" x14ac:dyDescent="0.2">
      <c r="B272"/>
      <c r="F272" s="5"/>
      <c r="G272" s="3"/>
      <c r="H272" s="3"/>
      <c r="I272" s="3"/>
      <c r="J272"/>
      <c r="K272"/>
    </row>
    <row r="273" spans="2:11" x14ac:dyDescent="0.2">
      <c r="B273"/>
      <c r="F273" s="5"/>
      <c r="G273" s="3"/>
      <c r="H273" s="3"/>
      <c r="I273" s="3"/>
      <c r="J273"/>
      <c r="K273"/>
    </row>
    <row r="274" spans="2:11" x14ac:dyDescent="0.2">
      <c r="B274"/>
      <c r="F274" s="5"/>
      <c r="G274" s="3"/>
      <c r="H274" s="3"/>
      <c r="I274" s="3"/>
      <c r="J274"/>
      <c r="K274"/>
    </row>
    <row r="275" spans="2:11" x14ac:dyDescent="0.2">
      <c r="B275"/>
      <c r="F275" s="5"/>
      <c r="G275" s="3"/>
      <c r="H275" s="3"/>
      <c r="I275" s="3"/>
      <c r="J275"/>
      <c r="K275"/>
    </row>
    <row r="276" spans="2:11" x14ac:dyDescent="0.2">
      <c r="B276"/>
      <c r="F276" s="5"/>
      <c r="G276" s="3"/>
      <c r="H276" s="3"/>
      <c r="I276" s="3"/>
      <c r="J276"/>
      <c r="K276"/>
    </row>
    <row r="277" spans="2:11" x14ac:dyDescent="0.2">
      <c r="B277"/>
      <c r="F277" s="5"/>
      <c r="G277" s="3"/>
      <c r="H277" s="3"/>
      <c r="I277" s="3"/>
      <c r="J277"/>
      <c r="K277"/>
    </row>
    <row r="278" spans="2:11" x14ac:dyDescent="0.2">
      <c r="B278"/>
      <c r="F278" s="5"/>
      <c r="G278" s="3"/>
      <c r="H278" s="3"/>
      <c r="I278" s="3"/>
      <c r="J278"/>
      <c r="K278"/>
    </row>
    <row r="279" spans="2:11" x14ac:dyDescent="0.2">
      <c r="B279"/>
      <c r="F279" s="5"/>
      <c r="G279" s="3"/>
      <c r="H279" s="3"/>
      <c r="I279" s="3"/>
      <c r="J279"/>
      <c r="K279"/>
    </row>
    <row r="280" spans="2:11" x14ac:dyDescent="0.2">
      <c r="B280"/>
      <c r="F280" s="5"/>
      <c r="G280" s="3"/>
      <c r="H280" s="3"/>
      <c r="I280" s="3"/>
      <c r="J280"/>
      <c r="K280"/>
    </row>
    <row r="281" spans="2:11" x14ac:dyDescent="0.2">
      <c r="B281"/>
      <c r="F281" s="5"/>
      <c r="G281" s="3"/>
      <c r="H281" s="3"/>
      <c r="I281" s="3"/>
      <c r="J281"/>
      <c r="K281"/>
    </row>
    <row r="282" spans="2:11" x14ac:dyDescent="0.2">
      <c r="B282"/>
      <c r="F282" s="5"/>
      <c r="G282" s="3"/>
      <c r="H282" s="3"/>
      <c r="I282" s="3"/>
      <c r="J282"/>
      <c r="K282"/>
    </row>
    <row r="283" spans="2:11" x14ac:dyDescent="0.2">
      <c r="B283"/>
      <c r="F283" s="5"/>
      <c r="G283" s="3"/>
      <c r="H283" s="3"/>
      <c r="I283" s="3"/>
      <c r="J283"/>
      <c r="K283"/>
    </row>
    <row r="284" spans="2:11" x14ac:dyDescent="0.2">
      <c r="B284"/>
      <c r="F284" s="5"/>
      <c r="G284" s="3"/>
      <c r="H284" s="3"/>
      <c r="I284" s="3"/>
      <c r="J284"/>
      <c r="K284"/>
    </row>
    <row r="285" spans="2:11" x14ac:dyDescent="0.2">
      <c r="B285"/>
      <c r="F285" s="5"/>
      <c r="G285" s="3"/>
      <c r="H285" s="3"/>
      <c r="I285" s="3"/>
      <c r="J285"/>
      <c r="K285"/>
    </row>
    <row r="286" spans="2:11" x14ac:dyDescent="0.2">
      <c r="B286"/>
      <c r="F286" s="5"/>
      <c r="G286" s="3"/>
      <c r="H286" s="3"/>
      <c r="I286" s="3"/>
      <c r="J286"/>
      <c r="K286"/>
    </row>
    <row r="287" spans="2:11" x14ac:dyDescent="0.2">
      <c r="B287"/>
      <c r="F287" s="5"/>
      <c r="G287" s="3"/>
      <c r="H287" s="3"/>
      <c r="I287" s="3"/>
      <c r="J287"/>
      <c r="K287"/>
    </row>
    <row r="288" spans="2:11" x14ac:dyDescent="0.2">
      <c r="B288"/>
      <c r="F288" s="5"/>
      <c r="G288" s="3"/>
      <c r="H288" s="3"/>
      <c r="I288" s="3"/>
      <c r="J288"/>
      <c r="K288"/>
    </row>
    <row r="289" spans="2:11" x14ac:dyDescent="0.2">
      <c r="B289"/>
      <c r="F289" s="5"/>
      <c r="G289" s="3"/>
      <c r="H289" s="3"/>
      <c r="I289" s="3"/>
      <c r="J289"/>
      <c r="K289"/>
    </row>
    <row r="290" spans="2:11" x14ac:dyDescent="0.2">
      <c r="B290"/>
      <c r="F290" s="5"/>
      <c r="G290" s="3"/>
      <c r="H290" s="3"/>
      <c r="I290" s="3"/>
      <c r="J290"/>
      <c r="K290"/>
    </row>
    <row r="291" spans="2:11" x14ac:dyDescent="0.2">
      <c r="B291"/>
      <c r="F291" s="5"/>
      <c r="G291" s="3"/>
      <c r="H291" s="3"/>
      <c r="I291" s="3"/>
      <c r="J291"/>
      <c r="K291"/>
    </row>
    <row r="292" spans="2:11" x14ac:dyDescent="0.2">
      <c r="B292"/>
      <c r="F292" s="5"/>
      <c r="G292" s="3"/>
      <c r="H292" s="3"/>
      <c r="I292" s="3"/>
      <c r="J292"/>
      <c r="K292"/>
    </row>
    <row r="293" spans="2:11" x14ac:dyDescent="0.2">
      <c r="B293"/>
      <c r="F293" s="5"/>
      <c r="G293" s="3"/>
      <c r="H293" s="3"/>
      <c r="I293" s="3"/>
      <c r="J293"/>
      <c r="K293"/>
    </row>
    <row r="294" spans="2:11" x14ac:dyDescent="0.2">
      <c r="B294"/>
      <c r="F294" s="5"/>
      <c r="G294" s="3"/>
      <c r="H294" s="3"/>
      <c r="I294" s="3"/>
      <c r="J294"/>
      <c r="K294"/>
    </row>
    <row r="295" spans="2:11" x14ac:dyDescent="0.2">
      <c r="B295"/>
      <c r="F295" s="5"/>
      <c r="G295" s="3"/>
      <c r="H295" s="3"/>
      <c r="I295" s="3"/>
      <c r="J295"/>
      <c r="K295"/>
    </row>
    <row r="296" spans="2:11" x14ac:dyDescent="0.2">
      <c r="B296"/>
      <c r="F296" s="5"/>
      <c r="G296" s="3"/>
      <c r="H296" s="3"/>
      <c r="I296" s="3"/>
      <c r="J296"/>
      <c r="K296"/>
    </row>
    <row r="297" spans="2:11" x14ac:dyDescent="0.2">
      <c r="B297"/>
      <c r="F297" s="5"/>
      <c r="G297" s="3"/>
      <c r="H297" s="3"/>
      <c r="I297" s="3"/>
      <c r="J297"/>
      <c r="K297"/>
    </row>
    <row r="298" spans="2:11" x14ac:dyDescent="0.2">
      <c r="B298"/>
      <c r="F298" s="5"/>
      <c r="G298" s="3"/>
      <c r="H298" s="3"/>
      <c r="I298" s="3"/>
      <c r="J298"/>
      <c r="K298"/>
    </row>
    <row r="299" spans="2:11" x14ac:dyDescent="0.2">
      <c r="B299"/>
      <c r="F299" s="5"/>
      <c r="G299" s="3"/>
      <c r="H299" s="3"/>
      <c r="I299" s="3"/>
      <c r="J299"/>
      <c r="K299"/>
    </row>
    <row r="300" spans="2:11" x14ac:dyDescent="0.2">
      <c r="B300"/>
      <c r="F300" s="5"/>
      <c r="G300" s="3"/>
      <c r="H300" s="3"/>
      <c r="I300" s="3"/>
      <c r="J300"/>
      <c r="K300"/>
    </row>
    <row r="301" spans="2:11" x14ac:dyDescent="0.2">
      <c r="B301"/>
      <c r="F301" s="5"/>
      <c r="G301" s="3"/>
      <c r="H301" s="3"/>
      <c r="I301" s="3"/>
      <c r="J301"/>
      <c r="K301"/>
    </row>
    <row r="302" spans="2:11" x14ac:dyDescent="0.2">
      <c r="B302"/>
      <c r="F302" s="5"/>
      <c r="G302" s="3"/>
      <c r="H302" s="3"/>
      <c r="I302" s="3"/>
      <c r="J302"/>
      <c r="K302"/>
    </row>
    <row r="303" spans="2:11" x14ac:dyDescent="0.2">
      <c r="B303"/>
      <c r="F303" s="5"/>
      <c r="G303" s="3"/>
      <c r="H303" s="3"/>
      <c r="I303" s="3"/>
      <c r="J303"/>
      <c r="K303"/>
    </row>
    <row r="304" spans="2:11" x14ac:dyDescent="0.2">
      <c r="B304"/>
      <c r="F304" s="5"/>
      <c r="G304" s="3"/>
      <c r="H304" s="3"/>
      <c r="I304" s="3"/>
      <c r="J304"/>
      <c r="K304"/>
    </row>
    <row r="305" spans="2:11" x14ac:dyDescent="0.2">
      <c r="B305"/>
      <c r="F305" s="5"/>
      <c r="G305" s="3"/>
      <c r="H305" s="3"/>
      <c r="I305" s="3"/>
      <c r="J305"/>
      <c r="K305"/>
    </row>
    <row r="306" spans="2:11" x14ac:dyDescent="0.2">
      <c r="B306"/>
      <c r="F306" s="5"/>
      <c r="G306" s="3"/>
      <c r="H306" s="3"/>
      <c r="I306" s="3"/>
      <c r="J306"/>
      <c r="K306"/>
    </row>
    <row r="307" spans="2:11" x14ac:dyDescent="0.2">
      <c r="B307"/>
      <c r="F307" s="5"/>
      <c r="G307" s="3"/>
      <c r="H307" s="3"/>
      <c r="I307" s="3"/>
      <c r="J307"/>
      <c r="K307"/>
    </row>
    <row r="308" spans="2:11" x14ac:dyDescent="0.2">
      <c r="B308"/>
      <c r="F308" s="5"/>
      <c r="G308" s="3"/>
      <c r="H308" s="3"/>
      <c r="I308" s="3"/>
      <c r="J308"/>
      <c r="K308"/>
    </row>
    <row r="309" spans="2:11" x14ac:dyDescent="0.2">
      <c r="B309"/>
      <c r="F309" s="5"/>
      <c r="G309" s="3"/>
      <c r="H309" s="3"/>
      <c r="I309" s="3"/>
      <c r="J309"/>
      <c r="K309"/>
    </row>
    <row r="310" spans="2:11" x14ac:dyDescent="0.2">
      <c r="B310"/>
      <c r="F310" s="5"/>
      <c r="G310" s="3"/>
      <c r="H310" s="3"/>
      <c r="I310" s="3"/>
      <c r="J310"/>
      <c r="K310"/>
    </row>
    <row r="311" spans="2:11" x14ac:dyDescent="0.2">
      <c r="B311"/>
      <c r="F311" s="5"/>
      <c r="G311" s="3"/>
      <c r="H311" s="3"/>
      <c r="I311" s="3"/>
      <c r="J311"/>
      <c r="K311"/>
    </row>
    <row r="312" spans="2:11" x14ac:dyDescent="0.2">
      <c r="B312"/>
      <c r="F312" s="5"/>
      <c r="G312" s="3"/>
      <c r="H312" s="3"/>
      <c r="I312" s="3"/>
      <c r="J312"/>
      <c r="K312"/>
    </row>
    <row r="313" spans="2:11" x14ac:dyDescent="0.2">
      <c r="B313"/>
      <c r="F313" s="5"/>
      <c r="G313" s="3"/>
      <c r="H313" s="3"/>
      <c r="I313" s="3"/>
      <c r="J313"/>
      <c r="K313"/>
    </row>
    <row r="314" spans="2:11" x14ac:dyDescent="0.2">
      <c r="B314"/>
      <c r="F314" s="5"/>
      <c r="G314" s="3"/>
      <c r="H314" s="3"/>
      <c r="I314" s="3"/>
      <c r="J314"/>
      <c r="K314"/>
    </row>
    <row r="315" spans="2:11" x14ac:dyDescent="0.2">
      <c r="B315"/>
      <c r="F315" s="5"/>
      <c r="G315" s="3"/>
      <c r="H315" s="3"/>
      <c r="I315" s="3"/>
      <c r="J315"/>
      <c r="K315"/>
    </row>
    <row r="316" spans="2:11" x14ac:dyDescent="0.2">
      <c r="B316"/>
      <c r="F316" s="5"/>
      <c r="G316" s="3"/>
      <c r="H316" s="3"/>
      <c r="I316" s="3"/>
      <c r="J316"/>
      <c r="K316"/>
    </row>
    <row r="317" spans="2:11" x14ac:dyDescent="0.2">
      <c r="B317"/>
      <c r="F317" s="5"/>
      <c r="G317" s="3"/>
      <c r="H317" s="3"/>
      <c r="I317" s="3"/>
      <c r="J317"/>
      <c r="K317"/>
    </row>
    <row r="318" spans="2:11" x14ac:dyDescent="0.2">
      <c r="B318"/>
      <c r="F318" s="5"/>
      <c r="G318" s="3"/>
      <c r="H318" s="3"/>
      <c r="I318" s="3"/>
      <c r="J318"/>
      <c r="K318"/>
    </row>
    <row r="319" spans="2:11" x14ac:dyDescent="0.2">
      <c r="B319"/>
      <c r="F319" s="5"/>
      <c r="G319" s="3"/>
      <c r="H319" s="3"/>
      <c r="I319" s="3"/>
      <c r="J319"/>
      <c r="K319"/>
    </row>
    <row r="320" spans="2:11" x14ac:dyDescent="0.2">
      <c r="B320"/>
      <c r="F320" s="5"/>
      <c r="G320" s="3"/>
      <c r="H320" s="3"/>
      <c r="I320" s="3"/>
      <c r="J320"/>
      <c r="K320"/>
    </row>
    <row r="321" spans="2:11" x14ac:dyDescent="0.2">
      <c r="B321"/>
      <c r="F321" s="5"/>
      <c r="G321" s="3"/>
      <c r="H321" s="3"/>
      <c r="I321" s="3"/>
      <c r="J321"/>
      <c r="K321"/>
    </row>
    <row r="322" spans="2:11" x14ac:dyDescent="0.2">
      <c r="B322"/>
      <c r="F322" s="5"/>
      <c r="G322" s="3"/>
      <c r="H322" s="3"/>
      <c r="I322" s="3"/>
      <c r="J322"/>
      <c r="K322"/>
    </row>
    <row r="323" spans="2:11" x14ac:dyDescent="0.2">
      <c r="B323"/>
      <c r="F323" s="5"/>
      <c r="G323" s="3"/>
      <c r="H323" s="3"/>
      <c r="I323" s="3"/>
      <c r="J323"/>
      <c r="K323"/>
    </row>
    <row r="324" spans="2:11" x14ac:dyDescent="0.2">
      <c r="B324"/>
      <c r="F324" s="5"/>
      <c r="G324" s="3"/>
      <c r="H324" s="3"/>
      <c r="I324" s="3"/>
      <c r="J324"/>
      <c r="K324"/>
    </row>
    <row r="325" spans="2:11" x14ac:dyDescent="0.2">
      <c r="B325"/>
      <c r="F325" s="5"/>
      <c r="G325" s="3"/>
      <c r="H325" s="3"/>
      <c r="I325" s="3"/>
      <c r="J325"/>
      <c r="K325"/>
    </row>
    <row r="326" spans="2:11" x14ac:dyDescent="0.2">
      <c r="B326"/>
      <c r="F326" s="5"/>
      <c r="G326" s="3"/>
      <c r="H326" s="3"/>
      <c r="I326" s="3"/>
      <c r="J326"/>
      <c r="K326"/>
    </row>
    <row r="327" spans="2:11" x14ac:dyDescent="0.2">
      <c r="B327"/>
      <c r="F327" s="5"/>
      <c r="G327" s="3"/>
      <c r="H327" s="3"/>
      <c r="I327" s="3"/>
      <c r="J327"/>
      <c r="K327"/>
    </row>
    <row r="328" spans="2:11" x14ac:dyDescent="0.2">
      <c r="B328"/>
      <c r="F328" s="5"/>
      <c r="G328" s="3"/>
      <c r="H328" s="3"/>
      <c r="I328" s="3"/>
      <c r="J328"/>
      <c r="K328"/>
    </row>
    <row r="329" spans="2:11" x14ac:dyDescent="0.2">
      <c r="B329"/>
      <c r="F329" s="5"/>
      <c r="G329" s="3"/>
      <c r="H329" s="3"/>
      <c r="I329" s="3"/>
      <c r="J329"/>
      <c r="K329"/>
    </row>
    <row r="330" spans="2:11" x14ac:dyDescent="0.2">
      <c r="B330"/>
      <c r="F330" s="5"/>
      <c r="G330" s="3"/>
      <c r="H330" s="3"/>
      <c r="I330" s="3"/>
      <c r="J330"/>
      <c r="K330"/>
    </row>
    <row r="331" spans="2:11" x14ac:dyDescent="0.2">
      <c r="B331"/>
      <c r="F331" s="5"/>
      <c r="G331" s="3"/>
      <c r="H331" s="3"/>
      <c r="I331" s="3"/>
      <c r="J331"/>
      <c r="K331"/>
    </row>
    <row r="332" spans="2:11" x14ac:dyDescent="0.2">
      <c r="B332"/>
      <c r="F332" s="5"/>
      <c r="G332" s="3"/>
      <c r="H332" s="3"/>
      <c r="I332" s="3"/>
      <c r="J332"/>
      <c r="K332"/>
    </row>
    <row r="333" spans="2:11" x14ac:dyDescent="0.2">
      <c r="B333"/>
      <c r="F333" s="5"/>
      <c r="G333" s="3"/>
      <c r="H333" s="3"/>
      <c r="I333" s="3"/>
      <c r="J333"/>
      <c r="K333"/>
    </row>
    <row r="334" spans="2:11" x14ac:dyDescent="0.2">
      <c r="B334"/>
      <c r="F334" s="5"/>
      <c r="G334" s="3"/>
      <c r="H334" s="3"/>
      <c r="I334" s="3"/>
      <c r="J334"/>
      <c r="K334"/>
    </row>
    <row r="335" spans="2:11" x14ac:dyDescent="0.2">
      <c r="B335"/>
      <c r="F335" s="5"/>
      <c r="G335" s="3"/>
      <c r="H335" s="3"/>
      <c r="I335" s="3"/>
      <c r="J335"/>
      <c r="K335"/>
    </row>
    <row r="336" spans="2:11" x14ac:dyDescent="0.2">
      <c r="B336"/>
      <c r="F336" s="5"/>
      <c r="G336" s="3"/>
      <c r="H336" s="3"/>
      <c r="I336" s="3"/>
      <c r="J336"/>
      <c r="K336"/>
    </row>
    <row r="337" spans="2:11" x14ac:dyDescent="0.2">
      <c r="B337"/>
      <c r="F337" s="5"/>
      <c r="G337" s="3"/>
      <c r="H337" s="3"/>
      <c r="I337" s="3"/>
      <c r="J337"/>
      <c r="K337"/>
    </row>
    <row r="338" spans="2:11" x14ac:dyDescent="0.2">
      <c r="B338"/>
      <c r="F338" s="5"/>
      <c r="G338" s="3"/>
      <c r="H338" s="3"/>
      <c r="I338" s="3"/>
      <c r="J338"/>
      <c r="K338"/>
    </row>
    <row r="339" spans="2:11" x14ac:dyDescent="0.2">
      <c r="B339"/>
      <c r="F339" s="5"/>
      <c r="G339" s="3"/>
      <c r="H339" s="3"/>
      <c r="I339" s="3"/>
      <c r="J339"/>
      <c r="K339"/>
    </row>
    <row r="340" spans="2:11" x14ac:dyDescent="0.2">
      <c r="B340"/>
      <c r="F340" s="5"/>
      <c r="G340" s="3"/>
      <c r="H340" s="3"/>
      <c r="I340" s="3"/>
      <c r="J340"/>
      <c r="K340"/>
    </row>
    <row r="341" spans="2:11" x14ac:dyDescent="0.2">
      <c r="B341"/>
      <c r="F341" s="5"/>
      <c r="G341" s="3"/>
      <c r="H341" s="3"/>
      <c r="I341" s="3"/>
      <c r="J341"/>
      <c r="K341"/>
    </row>
    <row r="342" spans="2:11" x14ac:dyDescent="0.2">
      <c r="B342"/>
      <c r="F342" s="5"/>
      <c r="G342" s="3"/>
      <c r="H342" s="3"/>
      <c r="I342" s="3"/>
      <c r="J342"/>
      <c r="K342"/>
    </row>
    <row r="343" spans="2:11" x14ac:dyDescent="0.2">
      <c r="B343"/>
      <c r="F343" s="5"/>
      <c r="G343" s="3"/>
      <c r="H343" s="3"/>
      <c r="I343" s="3"/>
      <c r="J343"/>
      <c r="K343"/>
    </row>
    <row r="344" spans="2:11" x14ac:dyDescent="0.2">
      <c r="B344"/>
      <c r="F344" s="5"/>
      <c r="G344" s="3"/>
      <c r="H344" s="3"/>
      <c r="I344" s="3"/>
      <c r="J344"/>
      <c r="K344"/>
    </row>
    <row r="345" spans="2:11" x14ac:dyDescent="0.2">
      <c r="B345"/>
      <c r="F345" s="5"/>
      <c r="G345" s="3"/>
      <c r="H345" s="3"/>
      <c r="I345" s="3"/>
      <c r="J345"/>
      <c r="K345"/>
    </row>
    <row r="346" spans="2:11" x14ac:dyDescent="0.2">
      <c r="B346"/>
      <c r="F346" s="5"/>
      <c r="G346" s="3"/>
      <c r="H346" s="3"/>
      <c r="I346" s="3"/>
      <c r="J346"/>
      <c r="K346"/>
    </row>
    <row r="347" spans="2:11" x14ac:dyDescent="0.2">
      <c r="B347"/>
      <c r="F347" s="5"/>
      <c r="G347" s="3"/>
      <c r="H347" s="3"/>
      <c r="I347" s="3"/>
      <c r="J347"/>
      <c r="K347"/>
    </row>
    <row r="348" spans="2:11" x14ac:dyDescent="0.2">
      <c r="B348"/>
      <c r="F348" s="5"/>
      <c r="G348" s="3"/>
      <c r="H348" s="3"/>
      <c r="I348" s="3"/>
      <c r="J348"/>
      <c r="K348"/>
    </row>
    <row r="349" spans="2:11" x14ac:dyDescent="0.2">
      <c r="B349"/>
      <c r="F349" s="5"/>
      <c r="G349" s="3"/>
      <c r="H349" s="3"/>
      <c r="I349" s="3"/>
      <c r="J349"/>
      <c r="K34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/>
  </sheetPr>
  <dimension ref="A1:J45"/>
  <sheetViews>
    <sheetView workbookViewId="0">
      <selection activeCell="H23" sqref="H23"/>
    </sheetView>
  </sheetViews>
  <sheetFormatPr baseColWidth="10" defaultColWidth="8.83203125" defaultRowHeight="15" x14ac:dyDescent="0.2"/>
  <cols>
    <col min="1" max="1" width="19.6640625" bestFit="1" customWidth="1"/>
    <col min="2" max="2" width="12.5" style="5" bestFit="1" customWidth="1"/>
    <col min="3" max="3" width="12.5" style="5" customWidth="1"/>
    <col min="4" max="4" width="12.5" bestFit="1" customWidth="1"/>
    <col min="5" max="5" width="10.33203125" bestFit="1" customWidth="1"/>
    <col min="6" max="6" width="17.6640625" bestFit="1" customWidth="1"/>
    <col min="7" max="7" width="17.6640625" customWidth="1"/>
    <col min="8" max="8" width="12.5" bestFit="1" customWidth="1"/>
    <col min="9" max="9" width="10.6640625" style="9" bestFit="1" customWidth="1"/>
    <col min="10" max="11" width="12.5" bestFit="1" customWidth="1"/>
  </cols>
  <sheetData>
    <row r="1" spans="1:10" ht="17.25" customHeight="1" x14ac:dyDescent="0.2">
      <c r="A1" t="s">
        <v>997</v>
      </c>
      <c r="B1" s="5" t="s">
        <v>998</v>
      </c>
      <c r="F1" t="s">
        <v>1</v>
      </c>
      <c r="G1" t="s">
        <v>1127</v>
      </c>
      <c r="H1" s="5" t="s">
        <v>998</v>
      </c>
      <c r="I1" s="3" t="s">
        <v>4</v>
      </c>
      <c r="J1" s="3" t="s">
        <v>999</v>
      </c>
    </row>
    <row r="2" spans="1:10" ht="17.25" hidden="1" customHeight="1" x14ac:dyDescent="0.2">
      <c r="A2" t="s">
        <v>1401</v>
      </c>
      <c r="B2" s="10">
        <v>0.83403899999999997</v>
      </c>
      <c r="C2" s="10"/>
      <c r="D2" t="str">
        <f>LEFT(A2, FIND(",", A2) - 1)</f>
        <v>Sanchez</v>
      </c>
      <c r="E2" t="str">
        <f>TRIM(MID(A2, FIND(",", A2) + 1, LEN(A2)))</f>
        <v>Cristopher</v>
      </c>
      <c r="F2" t="str">
        <f>E2 &amp; " " &amp; D2</f>
        <v>Cristopher Sanchez</v>
      </c>
      <c r="G2" t="str">
        <f>VLOOKUP(F2,ADP!$B$1:$K$646,3,FALSE)</f>
        <v>SP</v>
      </c>
      <c r="H2" s="9">
        <f>B2</f>
        <v>0.83403899999999997</v>
      </c>
      <c r="I2" s="10">
        <f>VLOOKUP(F2,ADP!$B$1:$K$1549,4,FALSE)</f>
        <v>26.4</v>
      </c>
      <c r="J2">
        <f>_xlfn.CEILING.MATH(I2/12)</f>
        <v>3</v>
      </c>
    </row>
    <row r="3" spans="1:10" ht="17.25" customHeight="1" x14ac:dyDescent="0.2">
      <c r="A3" t="s">
        <v>1013</v>
      </c>
      <c r="B3" s="10">
        <v>0.80664670000000005</v>
      </c>
      <c r="C3" s="10"/>
      <c r="D3" t="str">
        <f t="shared" ref="D3:D45" si="0">LEFT(A3, FIND(",", A3) - 1)</f>
        <v>Sale</v>
      </c>
      <c r="E3" t="str">
        <f t="shared" ref="E3:E45" si="1">TRIM(MID(A3, FIND(",", A3) + 1, LEN(A3)))</f>
        <v>Chris</v>
      </c>
      <c r="F3" t="str">
        <f t="shared" ref="F3:F45" si="2">E3 &amp; " " &amp; D3</f>
        <v>Chris Sale</v>
      </c>
      <c r="G3" t="str">
        <f>VLOOKUP(F3,ADP!$B$1:$K$646,3,FALSE)</f>
        <v>SP</v>
      </c>
      <c r="H3" s="9">
        <f>B3</f>
        <v>0.80664670000000005</v>
      </c>
      <c r="I3" s="10">
        <f>VLOOKUP(F3,ADP!$B$1:$K$1082,4,FALSE)</f>
        <v>38.700000000000003</v>
      </c>
      <c r="J3">
        <f t="shared" ref="J3:J45" si="3">_xlfn.CEILING.MATH(I3/12)</f>
        <v>4</v>
      </c>
    </row>
    <row r="4" spans="1:10" ht="17.25" hidden="1" customHeight="1" x14ac:dyDescent="0.2">
      <c r="A4" t="s">
        <v>1003</v>
      </c>
      <c r="B4" s="10">
        <v>0.73539880000000002</v>
      </c>
      <c r="C4" s="10"/>
      <c r="D4" t="str">
        <f t="shared" si="0"/>
        <v>Skubal</v>
      </c>
      <c r="E4" t="str">
        <f t="shared" si="1"/>
        <v>Tarik</v>
      </c>
      <c r="F4" t="str">
        <f t="shared" si="2"/>
        <v>Tarik Skubal</v>
      </c>
      <c r="G4" t="str">
        <f>VLOOKUP(F4,ADP!$B$1:$K$646,3,FALSE)</f>
        <v>SP</v>
      </c>
      <c r="H4" s="9">
        <f>B4</f>
        <v>0.73539880000000002</v>
      </c>
      <c r="I4" s="10">
        <f>VLOOKUP(F4,ADP!$B$1:$K$1082,4,FALSE)</f>
        <v>6.9</v>
      </c>
      <c r="J4">
        <f t="shared" si="3"/>
        <v>1</v>
      </c>
    </row>
    <row r="5" spans="1:10" ht="17.25" customHeight="1" x14ac:dyDescent="0.2">
      <c r="A5" t="s">
        <v>1379</v>
      </c>
      <c r="B5" s="10">
        <v>0.73369660000000003</v>
      </c>
      <c r="C5" s="10"/>
      <c r="D5" t="str">
        <f t="shared" si="0"/>
        <v>Lodolo</v>
      </c>
      <c r="E5" t="str">
        <f t="shared" si="1"/>
        <v>Nick</v>
      </c>
      <c r="F5" t="str">
        <f t="shared" si="2"/>
        <v>Nick Lodolo</v>
      </c>
      <c r="G5" t="str">
        <f>VLOOKUP(F5,ADP!$B$1:$K$646,3,FALSE)</f>
        <v>SP</v>
      </c>
      <c r="H5" s="9">
        <f>B5</f>
        <v>0.73369660000000003</v>
      </c>
      <c r="I5" s="10">
        <f>VLOOKUP(F5,ADP!$B$1:$K$1082,4,FALSE)</f>
        <v>128.6</v>
      </c>
      <c r="J5">
        <f t="shared" si="3"/>
        <v>11</v>
      </c>
    </row>
    <row r="6" spans="1:10" ht="17.25" hidden="1" customHeight="1" x14ac:dyDescent="0.2">
      <c r="A6" t="s">
        <v>1002</v>
      </c>
      <c r="B6" s="10">
        <v>0.65819220000000001</v>
      </c>
      <c r="C6" s="10"/>
      <c r="D6" t="str">
        <f t="shared" si="0"/>
        <v>Gilbert</v>
      </c>
      <c r="E6" t="str">
        <f t="shared" si="1"/>
        <v>Logan</v>
      </c>
      <c r="F6" t="str">
        <f t="shared" si="2"/>
        <v>Logan Gilbert</v>
      </c>
      <c r="G6" t="str">
        <f>VLOOKUP(F6,ADP!$B$1:$K$646,3,FALSE)</f>
        <v>SP</v>
      </c>
      <c r="H6" s="9">
        <f>B6</f>
        <v>0.65819220000000001</v>
      </c>
      <c r="I6" s="10">
        <f>VLOOKUP(F6,ADP!$B$1:$K$1082,4,FALSE)</f>
        <v>33.6</v>
      </c>
      <c r="J6">
        <f t="shared" si="3"/>
        <v>3</v>
      </c>
    </row>
    <row r="7" spans="1:10" ht="17.25" customHeight="1" x14ac:dyDescent="0.2">
      <c r="A7" t="s">
        <v>1818</v>
      </c>
      <c r="B7" s="10">
        <v>0.65359160000000005</v>
      </c>
      <c r="C7" s="10"/>
      <c r="D7" t="str">
        <f t="shared" si="0"/>
        <v>Suarez</v>
      </c>
      <c r="E7" t="str">
        <f t="shared" si="1"/>
        <v>Ranger</v>
      </c>
      <c r="F7" t="str">
        <f t="shared" si="2"/>
        <v>Ranger Suarez</v>
      </c>
      <c r="G7" t="str">
        <f>VLOOKUP(F7,ADP!$B$1:$K$646,3,FALSE)</f>
        <v>SP</v>
      </c>
      <c r="H7" s="9">
        <f>B7</f>
        <v>0.65359160000000005</v>
      </c>
      <c r="I7" s="10">
        <f>VLOOKUP(F7,ADP!$B$1:$K$1082,4,FALSE)</f>
        <v>175.9</v>
      </c>
      <c r="J7">
        <f t="shared" si="3"/>
        <v>15</v>
      </c>
    </row>
    <row r="8" spans="1:10" ht="17.25" customHeight="1" x14ac:dyDescent="0.2">
      <c r="A8" t="s">
        <v>1011</v>
      </c>
      <c r="B8" s="10">
        <v>0.65281579999999995</v>
      </c>
      <c r="C8" s="10"/>
      <c r="D8" t="str">
        <f t="shared" si="0"/>
        <v>Imanaga</v>
      </c>
      <c r="E8" t="str">
        <f t="shared" si="1"/>
        <v>Shota</v>
      </c>
      <c r="F8" t="str">
        <f t="shared" si="2"/>
        <v>Shota Imanaga</v>
      </c>
      <c r="G8" t="str">
        <f>VLOOKUP(F8,ADP!$B$1:$K$646,3,FALSE)</f>
        <v>SP</v>
      </c>
      <c r="H8" s="9">
        <f>B8</f>
        <v>0.65281579999999995</v>
      </c>
      <c r="I8" s="10">
        <f>VLOOKUP(F8,ADP!$B$1:$K$1082,4,FALSE)</f>
        <v>174.7</v>
      </c>
      <c r="J8">
        <f t="shared" si="3"/>
        <v>15</v>
      </c>
    </row>
    <row r="9" spans="1:10" ht="17.25" customHeight="1" x14ac:dyDescent="0.2">
      <c r="A9" t="s">
        <v>1380</v>
      </c>
      <c r="B9" s="10">
        <v>0.62830322999999999</v>
      </c>
      <c r="C9" s="10"/>
      <c r="D9" t="str">
        <f t="shared" si="0"/>
        <v>deGrom</v>
      </c>
      <c r="E9" t="str">
        <f t="shared" si="1"/>
        <v>Jacob</v>
      </c>
      <c r="F9" t="str">
        <f t="shared" si="2"/>
        <v>Jacob deGrom</v>
      </c>
      <c r="G9" t="str">
        <f>VLOOKUP(F9,ADP!$B$1:$K$646,3,FALSE)</f>
        <v>SP</v>
      </c>
      <c r="H9" s="9">
        <f>B9</f>
        <v>0.62830322999999999</v>
      </c>
      <c r="I9" s="10">
        <f>VLOOKUP(F9,ADP!$B$1:$K$1082,4,FALSE)</f>
        <v>47.1</v>
      </c>
      <c r="J9">
        <f t="shared" si="3"/>
        <v>4</v>
      </c>
    </row>
    <row r="10" spans="1:10" ht="17.25" customHeight="1" x14ac:dyDescent="0.2">
      <c r="A10" t="s">
        <v>1381</v>
      </c>
      <c r="B10" s="10">
        <v>0.60481995</v>
      </c>
      <c r="C10" s="10"/>
      <c r="D10" t="str">
        <f t="shared" si="0"/>
        <v>Bubic</v>
      </c>
      <c r="E10" t="str">
        <f t="shared" si="1"/>
        <v>Kris</v>
      </c>
      <c r="F10" t="str">
        <f t="shared" si="2"/>
        <v>Kris Bubic</v>
      </c>
      <c r="G10" t="str">
        <f>VLOOKUP(F10,ADP!$B$1:$K$646,3,FALSE)</f>
        <v>SP</v>
      </c>
      <c r="H10" s="9">
        <f>B10</f>
        <v>0.60481995</v>
      </c>
      <c r="I10" s="10">
        <f>VLOOKUP(F10,ADP!$B$1:$K$1082,4,FALSE)</f>
        <v>205.6</v>
      </c>
      <c r="J10">
        <f t="shared" si="3"/>
        <v>18</v>
      </c>
    </row>
    <row r="11" spans="1:10" ht="17.25" hidden="1" customHeight="1" x14ac:dyDescent="0.2">
      <c r="A11" t="s">
        <v>1382</v>
      </c>
      <c r="B11" s="10">
        <v>0.57228869999999998</v>
      </c>
      <c r="C11" s="10"/>
      <c r="D11" t="str">
        <f t="shared" si="0"/>
        <v>Yamamoto</v>
      </c>
      <c r="E11" t="str">
        <f t="shared" si="1"/>
        <v>Yoshinobu</v>
      </c>
      <c r="F11" t="str">
        <f t="shared" si="2"/>
        <v>Yoshinobu Yamamoto</v>
      </c>
      <c r="G11" t="str">
        <f>VLOOKUP(F11,ADP!$B$1:$K$646,3,FALSE)</f>
        <v>SP</v>
      </c>
      <c r="H11" s="9">
        <f>B11</f>
        <v>0.57228869999999998</v>
      </c>
      <c r="I11" s="10">
        <f>VLOOKUP(F11,ADP!$B$1:$K$1082,4,FALSE)</f>
        <v>27.7</v>
      </c>
      <c r="J11">
        <f t="shared" si="3"/>
        <v>3</v>
      </c>
    </row>
    <row r="12" spans="1:10" ht="17.25" customHeight="1" x14ac:dyDescent="0.2">
      <c r="A12" t="s">
        <v>1383</v>
      </c>
      <c r="B12" s="10">
        <v>0.52986069999999996</v>
      </c>
      <c r="C12" s="10"/>
      <c r="D12" t="str">
        <f t="shared" si="0"/>
        <v>Schwellenbach</v>
      </c>
      <c r="E12" t="str">
        <f t="shared" si="1"/>
        <v>Spencer</v>
      </c>
      <c r="F12" t="str">
        <f t="shared" si="2"/>
        <v>Spencer Schwellenbach</v>
      </c>
      <c r="G12" t="str">
        <f>VLOOKUP(F12,ADP!$B$1:$K$646,3,FALSE)</f>
        <v>SP</v>
      </c>
      <c r="H12" s="9">
        <f>B12</f>
        <v>0.52986069999999996</v>
      </c>
      <c r="I12" s="10">
        <f>VLOOKUP(F12,ADP!$B$1:$K$1082,4,FALSE)</f>
        <v>421.6</v>
      </c>
      <c r="J12">
        <f t="shared" si="3"/>
        <v>36</v>
      </c>
    </row>
    <row r="13" spans="1:10" ht="17.25" customHeight="1" x14ac:dyDescent="0.2">
      <c r="A13" t="s">
        <v>1020</v>
      </c>
      <c r="B13" s="10">
        <v>0.52285117000000003</v>
      </c>
      <c r="C13" s="10"/>
      <c r="D13" t="str">
        <f t="shared" si="0"/>
        <v>Woo</v>
      </c>
      <c r="E13" t="str">
        <f t="shared" si="1"/>
        <v>Bryan</v>
      </c>
      <c r="F13" t="str">
        <f t="shared" si="2"/>
        <v>Bryan Woo</v>
      </c>
      <c r="G13" t="str">
        <f>VLOOKUP(F13,ADP!$B$1:$K$646,3,FALSE)</f>
        <v>SP</v>
      </c>
      <c r="H13" s="9">
        <f>B13</f>
        <v>0.52285117000000003</v>
      </c>
      <c r="I13" s="10">
        <f>VLOOKUP(F13,ADP!$B$1:$K$1082,4,FALSE)</f>
        <v>38.200000000000003</v>
      </c>
      <c r="J13">
        <f t="shared" si="3"/>
        <v>4</v>
      </c>
    </row>
    <row r="14" spans="1:10" ht="17.25" hidden="1" customHeight="1" x14ac:dyDescent="0.2">
      <c r="A14" t="s">
        <v>1000</v>
      </c>
      <c r="B14" s="10">
        <v>0.47025584999999998</v>
      </c>
      <c r="C14" s="10"/>
      <c r="D14" t="str">
        <f t="shared" si="0"/>
        <v>Skenes</v>
      </c>
      <c r="E14" t="str">
        <f t="shared" si="1"/>
        <v>Paul</v>
      </c>
      <c r="F14" t="str">
        <f t="shared" si="2"/>
        <v>Paul Skenes</v>
      </c>
      <c r="G14" t="str">
        <f>VLOOKUP(F14,ADP!$B$1:$K$646,3,FALSE)</f>
        <v>SP</v>
      </c>
      <c r="H14" s="9">
        <f>B14</f>
        <v>0.47025584999999998</v>
      </c>
      <c r="I14" s="10">
        <f>VLOOKUP(F14,ADP!$B$1:$K$1082,4,FALSE)</f>
        <v>10.199999999999999</v>
      </c>
      <c r="J14">
        <f t="shared" si="3"/>
        <v>1</v>
      </c>
    </row>
    <row r="15" spans="1:10" ht="17.25" customHeight="1" x14ac:dyDescent="0.2">
      <c r="A15" t="s">
        <v>1004</v>
      </c>
      <c r="B15" s="10">
        <v>0.44297387999999999</v>
      </c>
      <c r="C15" s="10"/>
      <c r="D15" t="str">
        <f t="shared" si="0"/>
        <v>Greene</v>
      </c>
      <c r="E15" t="str">
        <f t="shared" si="1"/>
        <v>Hunter</v>
      </c>
      <c r="F15" t="str">
        <f t="shared" si="2"/>
        <v>Hunter Greene</v>
      </c>
      <c r="G15" t="str">
        <f>VLOOKUP(F15,ADP!$B$1:$K$646,3,FALSE)</f>
        <v>SP</v>
      </c>
      <c r="H15" s="9">
        <f>B15</f>
        <v>0.44297387999999999</v>
      </c>
      <c r="I15" s="10">
        <f>VLOOKUP(F15,ADP!$B$1:$K$1082,4,FALSE)</f>
        <v>42.2</v>
      </c>
      <c r="J15">
        <f t="shared" si="3"/>
        <v>4</v>
      </c>
    </row>
    <row r="16" spans="1:10" ht="17.25" customHeight="1" x14ac:dyDescent="0.2">
      <c r="A16" t="s">
        <v>1819</v>
      </c>
      <c r="B16" s="10">
        <v>0.42130622000000001</v>
      </c>
      <c r="C16" s="10"/>
      <c r="D16" t="str">
        <f t="shared" si="0"/>
        <v>Luzardo</v>
      </c>
      <c r="E16" t="str">
        <f t="shared" si="1"/>
        <v>Jesus</v>
      </c>
      <c r="F16" t="str">
        <f t="shared" si="2"/>
        <v>Jesus Luzardo</v>
      </c>
      <c r="G16" t="str">
        <f>VLOOKUP(F16,ADP!$B$1:$K$646,3,FALSE)</f>
        <v>SP</v>
      </c>
      <c r="H16" s="9">
        <f>B16</f>
        <v>0.42130622000000001</v>
      </c>
      <c r="I16" s="10">
        <f>VLOOKUP(F16,ADP!$B$1:$K$1082,4,FALSE)</f>
        <v>74.5</v>
      </c>
      <c r="J16">
        <f t="shared" si="3"/>
        <v>7</v>
      </c>
    </row>
    <row r="17" spans="1:10" ht="17.25" customHeight="1" x14ac:dyDescent="0.2">
      <c r="A17" t="s">
        <v>1008</v>
      </c>
      <c r="B17" s="10">
        <v>0.40907442999999999</v>
      </c>
      <c r="C17" s="10"/>
      <c r="D17" t="str">
        <f t="shared" si="0"/>
        <v>Brown</v>
      </c>
      <c r="E17" t="str">
        <f t="shared" si="1"/>
        <v>Hunter</v>
      </c>
      <c r="F17" t="str">
        <f t="shared" si="2"/>
        <v>Hunter Brown</v>
      </c>
      <c r="G17" t="str">
        <f>VLOOKUP(F17,ADP!$B$1:$K$646,3,FALSE)</f>
        <v>SP</v>
      </c>
      <c r="H17" s="9">
        <f>B17</f>
        <v>0.40907442999999999</v>
      </c>
      <c r="I17" s="10">
        <f>VLOOKUP(F17,ADP!$B$1:$K$1082,4,FALSE)</f>
        <v>37.299999999999997</v>
      </c>
      <c r="J17">
        <f t="shared" si="3"/>
        <v>4</v>
      </c>
    </row>
    <row r="18" spans="1:10" ht="17.25" customHeight="1" x14ac:dyDescent="0.2">
      <c r="A18" t="s">
        <v>1005</v>
      </c>
      <c r="B18" s="10">
        <v>0.38718066000000001</v>
      </c>
      <c r="C18" s="10"/>
      <c r="D18" t="str">
        <f t="shared" si="0"/>
        <v>Cease</v>
      </c>
      <c r="E18" t="str">
        <f t="shared" si="1"/>
        <v>Dylan</v>
      </c>
      <c r="F18" t="str">
        <f t="shared" si="2"/>
        <v>Dylan Cease</v>
      </c>
      <c r="G18" t="str">
        <f>VLOOKUP(F18,ADP!$B$1:$K$646,3,FALSE)</f>
        <v>SP</v>
      </c>
      <c r="H18" s="9">
        <f>B18</f>
        <v>0.38718066000000001</v>
      </c>
      <c r="I18" s="10">
        <f>VLOOKUP(F18,ADP!$B$1:$K$1082,4,FALSE)</f>
        <v>79.8</v>
      </c>
      <c r="J18">
        <f t="shared" si="3"/>
        <v>7</v>
      </c>
    </row>
    <row r="19" spans="1:10" ht="17.25" customHeight="1" x14ac:dyDescent="0.2">
      <c r="A19" t="s">
        <v>1384</v>
      </c>
      <c r="B19" s="10">
        <v>0.37231350000000002</v>
      </c>
      <c r="C19" s="10"/>
      <c r="D19" t="str">
        <f t="shared" si="0"/>
        <v>Baz</v>
      </c>
      <c r="E19" t="str">
        <f t="shared" si="1"/>
        <v>Shane</v>
      </c>
      <c r="F19" t="str">
        <f t="shared" si="2"/>
        <v>Shane Baz</v>
      </c>
      <c r="G19" t="str">
        <f>VLOOKUP(F19,ADP!$B$1:$K$646,3,FALSE)</f>
        <v>SP</v>
      </c>
      <c r="H19" s="9">
        <f>B19</f>
        <v>0.37231350000000002</v>
      </c>
      <c r="I19" s="10">
        <f>VLOOKUP(F19,ADP!$B$1:$K$1082,4,FALSE)</f>
        <v>199.5</v>
      </c>
      <c r="J19">
        <f t="shared" si="3"/>
        <v>17</v>
      </c>
    </row>
    <row r="20" spans="1:10" ht="17.25" customHeight="1" x14ac:dyDescent="0.2">
      <c r="A20" t="s">
        <v>1010</v>
      </c>
      <c r="B20" s="10">
        <v>0.34113149999999998</v>
      </c>
      <c r="C20" s="10"/>
      <c r="D20" t="str">
        <f t="shared" si="0"/>
        <v>Wheeler</v>
      </c>
      <c r="E20" t="str">
        <f t="shared" si="1"/>
        <v>Zack</v>
      </c>
      <c r="F20" t="str">
        <f t="shared" si="2"/>
        <v>Zack Wheeler</v>
      </c>
      <c r="G20" t="str">
        <f>VLOOKUP(F20,ADP!$B$1:$K$646,3,FALSE)</f>
        <v>SP</v>
      </c>
      <c r="H20" s="9">
        <f>B20</f>
        <v>0.34113149999999998</v>
      </c>
      <c r="I20" s="10">
        <f>VLOOKUP(F20,ADP!$B$1:$K$1082,4,FALSE)</f>
        <v>119.1</v>
      </c>
      <c r="J20">
        <f t="shared" si="3"/>
        <v>10</v>
      </c>
    </row>
    <row r="21" spans="1:10" ht="17.25" customHeight="1" x14ac:dyDescent="0.2">
      <c r="A21" t="s">
        <v>1014</v>
      </c>
      <c r="B21" s="10">
        <v>0.33580303</v>
      </c>
      <c r="C21" s="10"/>
      <c r="D21" t="str">
        <f t="shared" si="0"/>
        <v>Gore</v>
      </c>
      <c r="E21" t="str">
        <f t="shared" si="1"/>
        <v>MacKenzie</v>
      </c>
      <c r="F21" t="str">
        <f t="shared" si="2"/>
        <v>MacKenzie Gore</v>
      </c>
      <c r="G21" t="str">
        <f>VLOOKUP(F21,ADP!$B$1:$K$646,3,FALSE)</f>
        <v>SP</v>
      </c>
      <c r="H21" s="9">
        <f>B21</f>
        <v>0.33580303</v>
      </c>
      <c r="I21" s="10">
        <f>VLOOKUP(F21,ADP!$B$1:$K$1082,4,FALSE)</f>
        <v>169.6</v>
      </c>
      <c r="J21">
        <f t="shared" si="3"/>
        <v>15</v>
      </c>
    </row>
    <row r="22" spans="1:10" ht="17.25" customHeight="1" x14ac:dyDescent="0.2">
      <c r="A22" t="s">
        <v>1009</v>
      </c>
      <c r="B22" s="10">
        <v>0.30962187000000002</v>
      </c>
      <c r="C22" s="10"/>
      <c r="D22" t="str">
        <f t="shared" si="0"/>
        <v>Valdez</v>
      </c>
      <c r="E22" t="str">
        <f t="shared" si="1"/>
        <v>Framber</v>
      </c>
      <c r="F22" t="str">
        <f t="shared" si="2"/>
        <v>Framber Valdez</v>
      </c>
      <c r="G22" t="str">
        <f>VLOOKUP(F22,ADP!$B$1:$K$646,3,FALSE)</f>
        <v>SP</v>
      </c>
      <c r="H22" s="9">
        <f>B22</f>
        <v>0.30962187000000002</v>
      </c>
      <c r="I22" s="10">
        <f>VLOOKUP(F22,ADP!$B$1:$K$1082,4,FALSE)</f>
        <v>90</v>
      </c>
      <c r="J22">
        <f t="shared" si="3"/>
        <v>8</v>
      </c>
    </row>
    <row r="23" spans="1:10" ht="17.25" customHeight="1" x14ac:dyDescent="0.2">
      <c r="A23" t="s">
        <v>1385</v>
      </c>
      <c r="B23" s="10">
        <v>0.30158094000000002</v>
      </c>
      <c r="C23" s="10"/>
      <c r="D23" t="str">
        <f t="shared" si="0"/>
        <v>Rogers</v>
      </c>
      <c r="E23" t="str">
        <f t="shared" si="1"/>
        <v>Trevor</v>
      </c>
      <c r="F23" t="str">
        <f t="shared" si="2"/>
        <v>Trevor Rogers</v>
      </c>
      <c r="G23" t="str">
        <f>VLOOKUP(F23,ADP!$B$1:$K$646,3,FALSE)</f>
        <v>SP</v>
      </c>
      <c r="H23" s="9">
        <f>B23</f>
        <v>0.30158094000000002</v>
      </c>
      <c r="I23" s="10">
        <f>VLOOKUP(F23,ADP!$B$1:$K$1082,4,FALSE)</f>
        <v>162.6</v>
      </c>
      <c r="J23">
        <f t="shared" si="3"/>
        <v>14</v>
      </c>
    </row>
    <row r="24" spans="1:10" ht="17.25" customHeight="1" x14ac:dyDescent="0.2">
      <c r="A24" t="s">
        <v>1820</v>
      </c>
      <c r="B24" s="10">
        <v>0.28649574999999999</v>
      </c>
      <c r="C24" s="10"/>
      <c r="D24" t="str">
        <f t="shared" si="0"/>
        <v>Rodon</v>
      </c>
      <c r="E24" t="str">
        <f t="shared" si="1"/>
        <v>Carlos</v>
      </c>
      <c r="F24" t="str">
        <f t="shared" si="2"/>
        <v>Carlos Rodon</v>
      </c>
      <c r="G24" t="str">
        <f>VLOOKUP(F24,ADP!$B$1:$K$646,3,FALSE)</f>
        <v>SP</v>
      </c>
      <c r="H24" s="9">
        <f>B24</f>
        <v>0.28649574999999999</v>
      </c>
      <c r="I24" s="10">
        <f>VLOOKUP(F24,ADP!$B$1:$K$1082,4,FALSE)</f>
        <v>192.4</v>
      </c>
      <c r="J24">
        <f t="shared" si="3"/>
        <v>17</v>
      </c>
    </row>
    <row r="25" spans="1:10" ht="17.25" customHeight="1" x14ac:dyDescent="0.2">
      <c r="A25" t="s">
        <v>1386</v>
      </c>
      <c r="B25" s="10">
        <v>0.28205168000000003</v>
      </c>
      <c r="C25" s="10"/>
      <c r="D25" t="str">
        <f t="shared" si="0"/>
        <v>Cabrera</v>
      </c>
      <c r="E25" t="str">
        <f t="shared" si="1"/>
        <v>Edward</v>
      </c>
      <c r="F25" t="str">
        <f t="shared" si="2"/>
        <v>Edward Cabrera</v>
      </c>
      <c r="G25" t="str">
        <f>VLOOKUP(F25,ADP!$B$1:$K$646,3,FALSE)</f>
        <v>SP</v>
      </c>
      <c r="H25" s="9">
        <f>B25</f>
        <v>0.28205168000000003</v>
      </c>
      <c r="I25" s="10">
        <f>VLOOKUP(F25,ADP!$B$1:$K$1082,4,FALSE)</f>
        <v>181.9</v>
      </c>
      <c r="J25">
        <f t="shared" si="3"/>
        <v>16</v>
      </c>
    </row>
    <row r="26" spans="1:10" ht="17.25" hidden="1" customHeight="1" x14ac:dyDescent="0.2">
      <c r="A26" t="s">
        <v>1001</v>
      </c>
      <c r="B26" s="10">
        <v>0.27405341999999999</v>
      </c>
      <c r="C26" s="10"/>
      <c r="D26" t="str">
        <f t="shared" si="0"/>
        <v>Crochet</v>
      </c>
      <c r="E26" t="str">
        <f t="shared" si="1"/>
        <v>Garrett</v>
      </c>
      <c r="F26" t="str">
        <f t="shared" si="2"/>
        <v>Garrett Crochet</v>
      </c>
      <c r="G26" t="str">
        <f>VLOOKUP(F26,ADP!$B$1:$K$646,3,FALSE)</f>
        <v>SP</v>
      </c>
      <c r="H26" s="9">
        <f>B26</f>
        <v>0.27405341999999999</v>
      </c>
      <c r="I26" s="10">
        <f>VLOOKUP(F26,ADP!$B$1:$K$1082,4,FALSE)</f>
        <v>11.4</v>
      </c>
      <c r="J26">
        <f t="shared" si="3"/>
        <v>1</v>
      </c>
    </row>
    <row r="27" spans="1:10" ht="17.25" customHeight="1" x14ac:dyDescent="0.2">
      <c r="A27" t="s">
        <v>1007</v>
      </c>
      <c r="B27" s="10">
        <v>0.2700745</v>
      </c>
      <c r="C27" s="10"/>
      <c r="D27" t="str">
        <f t="shared" si="0"/>
        <v>Eovaldi</v>
      </c>
      <c r="E27" t="str">
        <f t="shared" si="1"/>
        <v>Nathan</v>
      </c>
      <c r="F27" t="str">
        <f t="shared" si="2"/>
        <v>Nathan Eovaldi</v>
      </c>
      <c r="G27" t="str">
        <f>VLOOKUP(F27,ADP!$B$1:$K$646,3,FALSE)</f>
        <v>SP</v>
      </c>
      <c r="H27" s="9">
        <f>B27</f>
        <v>0.2700745</v>
      </c>
      <c r="I27" s="10">
        <f>VLOOKUP(F27,ADP!$B$1:$K$1082,4,FALSE)</f>
        <v>148.1</v>
      </c>
      <c r="J27">
        <f t="shared" si="3"/>
        <v>13</v>
      </c>
    </row>
    <row r="28" spans="1:10" ht="17.25" customHeight="1" x14ac:dyDescent="0.2">
      <c r="A28" t="s">
        <v>1387</v>
      </c>
      <c r="B28" s="10">
        <v>0.25958872</v>
      </c>
      <c r="C28" s="10"/>
      <c r="D28" t="str">
        <f t="shared" si="0"/>
        <v>Horton</v>
      </c>
      <c r="E28" t="str">
        <f t="shared" si="1"/>
        <v>Cade</v>
      </c>
      <c r="F28" t="str">
        <f t="shared" si="2"/>
        <v>Cade Horton</v>
      </c>
      <c r="G28" t="str">
        <f>VLOOKUP(F28,ADP!$B$1:$K$646,3,FALSE)</f>
        <v>SP</v>
      </c>
      <c r="H28" s="9">
        <f>B28</f>
        <v>0.25958872</v>
      </c>
      <c r="I28" s="10">
        <f>VLOOKUP(F28,ADP!$B$1:$K$1082,4,FALSE)</f>
        <v>193</v>
      </c>
      <c r="J28">
        <f t="shared" si="3"/>
        <v>17</v>
      </c>
    </row>
    <row r="29" spans="1:10" ht="17.25" hidden="1" customHeight="1" x14ac:dyDescent="0.2">
      <c r="A29" t="s">
        <v>1388</v>
      </c>
      <c r="B29" s="10">
        <v>0.25265900000000002</v>
      </c>
      <c r="C29" s="10"/>
      <c r="D29" t="str">
        <f t="shared" si="0"/>
        <v>Brown</v>
      </c>
      <c r="E29" t="str">
        <f t="shared" si="1"/>
        <v>Ben</v>
      </c>
      <c r="F29" t="str">
        <f t="shared" si="2"/>
        <v>Ben Brown</v>
      </c>
      <c r="G29" t="s">
        <v>28</v>
      </c>
      <c r="H29" s="9">
        <f>B29</f>
        <v>0.25265900000000002</v>
      </c>
      <c r="I29" s="10">
        <f>VLOOKUP(F29,ADP!$B$1:$K$1082,4,FALSE)</f>
        <v>0</v>
      </c>
      <c r="J29">
        <f t="shared" si="3"/>
        <v>0</v>
      </c>
    </row>
    <row r="30" spans="1:10" ht="17.25" customHeight="1" x14ac:dyDescent="0.2">
      <c r="A30" t="s">
        <v>1015</v>
      </c>
      <c r="B30" s="10">
        <v>0.22768252</v>
      </c>
      <c r="C30" s="10"/>
      <c r="D30" t="str">
        <f t="shared" si="0"/>
        <v>Peralta</v>
      </c>
      <c r="E30" t="str">
        <f t="shared" si="1"/>
        <v>Freddy</v>
      </c>
      <c r="F30" t="str">
        <f t="shared" si="2"/>
        <v>Freddy Peralta</v>
      </c>
      <c r="G30" t="str">
        <f>VLOOKUP(F30,ADP!$B$1:$K$646,3,FALSE)</f>
        <v>SP</v>
      </c>
      <c r="H30" s="9">
        <f>B30</f>
        <v>0.22768252</v>
      </c>
      <c r="I30" s="10">
        <f>VLOOKUP(F30,ADP!$B$1:$K$1082,4,FALSE)</f>
        <v>58.4</v>
      </c>
      <c r="J30">
        <f t="shared" si="3"/>
        <v>5</v>
      </c>
    </row>
    <row r="31" spans="1:10" ht="17.25" customHeight="1" x14ac:dyDescent="0.2">
      <c r="A31" t="s">
        <v>1389</v>
      </c>
      <c r="B31" s="10">
        <v>0.22314149</v>
      </c>
      <c r="C31" s="10"/>
      <c r="D31" t="str">
        <f t="shared" si="0"/>
        <v>Boyd</v>
      </c>
      <c r="E31" t="str">
        <f t="shared" si="1"/>
        <v>Matthew</v>
      </c>
      <c r="F31" t="str">
        <f t="shared" si="2"/>
        <v>Matthew Boyd</v>
      </c>
      <c r="G31" t="str">
        <f>VLOOKUP(F31,ADP!$B$1:$K$646,3,FALSE)</f>
        <v>SP</v>
      </c>
      <c r="H31" s="9">
        <f>B31</f>
        <v>0.22314149</v>
      </c>
      <c r="I31" s="10">
        <f>VLOOKUP(F31,ADP!$B$1:$K$1082,4,FALSE)</f>
        <v>233.3</v>
      </c>
      <c r="J31">
        <f t="shared" si="3"/>
        <v>20</v>
      </c>
    </row>
    <row r="32" spans="1:10" ht="17.25" customHeight="1" x14ac:dyDescent="0.2">
      <c r="A32" t="s">
        <v>1390</v>
      </c>
      <c r="B32" s="10">
        <v>0.21010176999999999</v>
      </c>
      <c r="C32" s="10"/>
      <c r="D32" t="str">
        <f t="shared" si="0"/>
        <v>Gallen</v>
      </c>
      <c r="E32" t="str">
        <f t="shared" si="1"/>
        <v>Zac</v>
      </c>
      <c r="F32" t="str">
        <f t="shared" si="2"/>
        <v>Zac Gallen</v>
      </c>
      <c r="G32" t="str">
        <f>VLOOKUP(F32,ADP!$B$1:$K$646,3,FALSE)</f>
        <v>SP</v>
      </c>
      <c r="H32" s="9">
        <f>B32</f>
        <v>0.21010176999999999</v>
      </c>
      <c r="I32" s="10">
        <f>VLOOKUP(F32,ADP!$B$1:$K$1082,4,FALSE)</f>
        <v>226</v>
      </c>
      <c r="J32">
        <f t="shared" si="3"/>
        <v>19</v>
      </c>
    </row>
    <row r="33" spans="1:10" ht="17.25" customHeight="1" x14ac:dyDescent="0.2">
      <c r="A33" t="s">
        <v>1391</v>
      </c>
      <c r="B33" s="10">
        <v>0.20669362999999999</v>
      </c>
      <c r="C33" s="10"/>
      <c r="D33" t="str">
        <f t="shared" si="0"/>
        <v>Kelly</v>
      </c>
      <c r="E33" t="str">
        <f t="shared" si="1"/>
        <v>Merrill</v>
      </c>
      <c r="F33" t="str">
        <f t="shared" si="2"/>
        <v>Merrill Kelly</v>
      </c>
      <c r="G33" t="str">
        <f>VLOOKUP(F33,ADP!$B$1:$K$646,3,FALSE)</f>
        <v>SP</v>
      </c>
      <c r="H33" s="9">
        <f>B33</f>
        <v>0.20669362999999999</v>
      </c>
      <c r="I33" s="10">
        <f>VLOOKUP(F33,ADP!$B$1:$K$1082,4,FALSE)</f>
        <v>242.2</v>
      </c>
      <c r="J33">
        <f t="shared" si="3"/>
        <v>21</v>
      </c>
    </row>
    <row r="34" spans="1:10" ht="17.25" customHeight="1" x14ac:dyDescent="0.2">
      <c r="A34" t="s">
        <v>1392</v>
      </c>
      <c r="B34" s="10">
        <v>0.19448388</v>
      </c>
      <c r="C34" s="10"/>
      <c r="D34" t="str">
        <f t="shared" si="0"/>
        <v>Senga</v>
      </c>
      <c r="E34" t="str">
        <f t="shared" si="1"/>
        <v>Kodai</v>
      </c>
      <c r="F34" t="str">
        <f t="shared" si="2"/>
        <v>Kodai Senga</v>
      </c>
      <c r="G34" t="str">
        <f>VLOOKUP(F34,ADP!$B$1:$K$646,3,FALSE)</f>
        <v>SP</v>
      </c>
      <c r="H34" s="9">
        <f>B34</f>
        <v>0.19448388</v>
      </c>
      <c r="I34" s="10">
        <f>VLOOKUP(F34,ADP!$B$1:$K$1082,4,FALSE)</f>
        <v>255.5</v>
      </c>
      <c r="J34">
        <f t="shared" si="3"/>
        <v>22</v>
      </c>
    </row>
    <row r="35" spans="1:10" ht="17.25" customHeight="1" x14ac:dyDescent="0.2">
      <c r="A35" t="s">
        <v>1821</v>
      </c>
      <c r="B35" s="10">
        <v>0.19081157000000001</v>
      </c>
      <c r="C35" s="10"/>
      <c r="D35" t="str">
        <f t="shared" si="0"/>
        <v>Soriano</v>
      </c>
      <c r="E35" t="str">
        <f t="shared" si="1"/>
        <v>Jose</v>
      </c>
      <c r="F35" t="str">
        <f t="shared" si="2"/>
        <v>Jose Soriano</v>
      </c>
      <c r="G35" t="str">
        <f>VLOOKUP(F35,ADP!$B$1:$K$646,3,FALSE)</f>
        <v>SP</v>
      </c>
      <c r="H35" s="9">
        <f>B35</f>
        <v>0.19081157000000001</v>
      </c>
      <c r="I35" s="10">
        <f>VLOOKUP(F35,ADP!$B$1:$K$1082,4,FALSE)</f>
        <v>371.4</v>
      </c>
      <c r="J35">
        <f t="shared" si="3"/>
        <v>31</v>
      </c>
    </row>
    <row r="36" spans="1:10" ht="17.25" customHeight="1" x14ac:dyDescent="0.2">
      <c r="A36" t="s">
        <v>1012</v>
      </c>
      <c r="B36" s="10">
        <v>0.17540014000000001</v>
      </c>
      <c r="C36" s="10"/>
      <c r="D36" t="str">
        <f t="shared" si="0"/>
        <v>Pepiot</v>
      </c>
      <c r="E36" t="str">
        <f t="shared" si="1"/>
        <v>Ryan</v>
      </c>
      <c r="F36" t="str">
        <f t="shared" si="2"/>
        <v>Ryan Pepiot</v>
      </c>
      <c r="G36" t="str">
        <f>VLOOKUP(F36,ADP!$B$1:$K$646,3,FALSE)</f>
        <v>SP</v>
      </c>
      <c r="H36" s="9">
        <f>B36</f>
        <v>0.17540014000000001</v>
      </c>
      <c r="I36" s="10">
        <f>VLOOKUP(F36,ADP!$B$1:$K$1082,4,FALSE)</f>
        <v>132</v>
      </c>
      <c r="J36">
        <f t="shared" si="3"/>
        <v>11</v>
      </c>
    </row>
    <row r="37" spans="1:10" ht="17.25" hidden="1" customHeight="1" x14ac:dyDescent="0.2">
      <c r="A37" t="s">
        <v>1393</v>
      </c>
      <c r="B37" s="10">
        <v>0.16272049</v>
      </c>
      <c r="C37" s="10"/>
      <c r="D37" t="str">
        <f t="shared" si="0"/>
        <v>Kremer</v>
      </c>
      <c r="E37" t="str">
        <f t="shared" si="1"/>
        <v>Dean</v>
      </c>
      <c r="F37" t="str">
        <f t="shared" si="2"/>
        <v>Dean Kremer</v>
      </c>
      <c r="G37" t="str">
        <f>VLOOKUP(F37,ADP!$B$1:$K$646,3,FALSE)</f>
        <v>SP</v>
      </c>
      <c r="H37" s="9">
        <f>B37</f>
        <v>0.16272049</v>
      </c>
      <c r="I37" s="10">
        <f>VLOOKUP(F37,ADP!$B$1:$K$1082,4,FALSE)</f>
        <v>0</v>
      </c>
      <c r="J37">
        <f t="shared" si="3"/>
        <v>0</v>
      </c>
    </row>
    <row r="38" spans="1:10" ht="17.25" customHeight="1" x14ac:dyDescent="0.2">
      <c r="A38" t="s">
        <v>1394</v>
      </c>
      <c r="B38" s="10">
        <v>0.15414311</v>
      </c>
      <c r="C38" s="10"/>
      <c r="D38" t="str">
        <f t="shared" si="0"/>
        <v>Mize</v>
      </c>
      <c r="E38" t="str">
        <f t="shared" si="1"/>
        <v>Casey</v>
      </c>
      <c r="F38" t="str">
        <f t="shared" si="2"/>
        <v>Casey Mize</v>
      </c>
      <c r="G38" t="str">
        <f>VLOOKUP(F38,ADP!$B$1:$K$646,3,FALSE)</f>
        <v>SP</v>
      </c>
      <c r="H38" s="9">
        <f>B38</f>
        <v>0.15414311</v>
      </c>
      <c r="I38" s="10">
        <f>VLOOKUP(F38,ADP!$B$1:$K$1082,4,FALSE)</f>
        <v>279.2</v>
      </c>
      <c r="J38">
        <f t="shared" si="3"/>
        <v>24</v>
      </c>
    </row>
    <row r="39" spans="1:10" ht="17.25" customHeight="1" x14ac:dyDescent="0.2">
      <c r="A39" t="s">
        <v>1017</v>
      </c>
      <c r="B39" s="10">
        <v>0.15399467999999999</v>
      </c>
      <c r="C39" s="10"/>
      <c r="D39" t="str">
        <f t="shared" si="0"/>
        <v>Holmes</v>
      </c>
      <c r="E39" t="str">
        <f t="shared" si="1"/>
        <v>Grant</v>
      </c>
      <c r="F39" t="str">
        <f t="shared" si="2"/>
        <v>Grant Holmes</v>
      </c>
      <c r="G39" t="str">
        <f>VLOOKUP(F39,ADP!$B$1:$K$646,3,FALSE)</f>
        <v>SP</v>
      </c>
      <c r="H39" s="9">
        <f>B39</f>
        <v>0.15399467999999999</v>
      </c>
      <c r="I39" s="10">
        <f>VLOOKUP(F39,ADP!$B$1:$K$1082,4,FALSE)</f>
        <v>546.79999999999995</v>
      </c>
      <c r="J39">
        <f t="shared" si="3"/>
        <v>46</v>
      </c>
    </row>
    <row r="40" spans="1:10" ht="17.25" customHeight="1" x14ac:dyDescent="0.2">
      <c r="A40" t="s">
        <v>1395</v>
      </c>
      <c r="B40" s="10">
        <v>0.14698154999999999</v>
      </c>
      <c r="C40" s="10"/>
      <c r="D40" t="str">
        <f t="shared" si="0"/>
        <v>Smith</v>
      </c>
      <c r="E40" t="str">
        <f t="shared" si="1"/>
        <v>Shane</v>
      </c>
      <c r="F40" t="str">
        <f t="shared" si="2"/>
        <v>Shane Smith</v>
      </c>
      <c r="G40" t="str">
        <f>VLOOKUP(F40,ADP!$B$1:$K$646,3,FALSE)</f>
        <v>SP</v>
      </c>
      <c r="H40" s="9">
        <f>B40</f>
        <v>0.14698154999999999</v>
      </c>
      <c r="I40" s="10">
        <f>VLOOKUP(F40,ADP!$B$1:$K$1082,4,FALSE)</f>
        <v>253.4</v>
      </c>
      <c r="J40">
        <f t="shared" si="3"/>
        <v>22</v>
      </c>
    </row>
    <row r="41" spans="1:10" ht="17.25" customHeight="1" x14ac:dyDescent="0.2">
      <c r="A41" t="s">
        <v>1396</v>
      </c>
      <c r="B41" s="10">
        <v>0.14428885</v>
      </c>
      <c r="C41" s="10"/>
      <c r="D41" t="str">
        <f t="shared" si="0"/>
        <v>Verlander</v>
      </c>
      <c r="E41" t="str">
        <f t="shared" si="1"/>
        <v>Justin</v>
      </c>
      <c r="F41" t="str">
        <f t="shared" si="2"/>
        <v>Justin Verlander</v>
      </c>
      <c r="G41" t="str">
        <f>VLOOKUP(F41,ADP!$B$1:$K$646,3,FALSE)</f>
        <v>SP</v>
      </c>
      <c r="H41" s="9">
        <f>B41</f>
        <v>0.14428885</v>
      </c>
      <c r="I41" s="10">
        <f>VLOOKUP(F41,ADP!$B$1:$K$1082,4,FALSE)</f>
        <v>708.9</v>
      </c>
      <c r="J41">
        <f t="shared" si="3"/>
        <v>60</v>
      </c>
    </row>
    <row r="42" spans="1:10" ht="17.25" customHeight="1" x14ac:dyDescent="0.2">
      <c r="A42" t="s">
        <v>1397</v>
      </c>
      <c r="B42" s="10">
        <v>0.13740563</v>
      </c>
      <c r="C42" s="10"/>
      <c r="D42" t="str">
        <f t="shared" si="0"/>
        <v>Strider</v>
      </c>
      <c r="E42" t="str">
        <f t="shared" si="1"/>
        <v>Spencer</v>
      </c>
      <c r="F42" t="str">
        <f t="shared" si="2"/>
        <v>Spencer Strider</v>
      </c>
      <c r="G42" t="str">
        <f>VLOOKUP(F42,ADP!$B$1:$K$646,3,FALSE)</f>
        <v>SP</v>
      </c>
      <c r="H42" s="9">
        <f>B42</f>
        <v>0.13740563</v>
      </c>
      <c r="I42" s="10">
        <f>VLOOKUP(F42,ADP!$B$1:$K$1082,4,FALSE)</f>
        <v>99</v>
      </c>
      <c r="J42">
        <f t="shared" si="3"/>
        <v>9</v>
      </c>
    </row>
    <row r="43" spans="1:10" ht="17.25" customHeight="1" x14ac:dyDescent="0.2">
      <c r="A43" t="s">
        <v>1398</v>
      </c>
      <c r="B43" s="10">
        <v>0.12240210999999999</v>
      </c>
      <c r="C43" s="10"/>
      <c r="D43" t="str">
        <f t="shared" si="0"/>
        <v>Peterson</v>
      </c>
      <c r="E43" t="str">
        <f t="shared" si="1"/>
        <v>David</v>
      </c>
      <c r="F43" t="str">
        <f t="shared" si="2"/>
        <v>David Peterson</v>
      </c>
      <c r="G43" t="str">
        <f>VLOOKUP(F43,ADP!$B$1:$K$646,3,FALSE)</f>
        <v>SP</v>
      </c>
      <c r="H43" s="9">
        <f>B43</f>
        <v>0.12240210999999999</v>
      </c>
      <c r="I43" s="10">
        <f>VLOOKUP(F43,ADP!$B$1:$K$1082,4,FALSE)</f>
        <v>482.6</v>
      </c>
      <c r="J43">
        <f t="shared" si="3"/>
        <v>41</v>
      </c>
    </row>
    <row r="44" spans="1:10" ht="17.25" hidden="1" customHeight="1" x14ac:dyDescent="0.2">
      <c r="A44" t="s">
        <v>1399</v>
      </c>
      <c r="B44" s="10">
        <v>0.10947340999999999</v>
      </c>
      <c r="C44" s="10"/>
      <c r="D44" t="str">
        <f t="shared" si="0"/>
        <v>Lauer</v>
      </c>
      <c r="E44" t="str">
        <f t="shared" si="1"/>
        <v>Eric</v>
      </c>
      <c r="F44" t="str">
        <f t="shared" si="2"/>
        <v>Eric Lauer</v>
      </c>
      <c r="G44" t="str">
        <f>VLOOKUP(F44,ADP!$B$1:$K$646,3,FALSE)</f>
        <v>SP</v>
      </c>
      <c r="H44" s="9">
        <f>B44</f>
        <v>0.10947340999999999</v>
      </c>
      <c r="I44" s="10">
        <f>VLOOKUP(F44,ADP!$B$1:$K$1082,4,FALSE)</f>
        <v>0</v>
      </c>
      <c r="J44">
        <f t="shared" si="3"/>
        <v>0</v>
      </c>
    </row>
    <row r="45" spans="1:10" ht="17.25" customHeight="1" x14ac:dyDescent="0.2">
      <c r="A45" t="s">
        <v>1400</v>
      </c>
      <c r="B45" s="10">
        <v>0.10356321</v>
      </c>
      <c r="C45" s="10"/>
      <c r="D45" t="str">
        <f t="shared" si="0"/>
        <v>Cameron</v>
      </c>
      <c r="E45" t="str">
        <f t="shared" si="1"/>
        <v>Noah</v>
      </c>
      <c r="F45" t="str">
        <f t="shared" si="2"/>
        <v>Noah Cameron</v>
      </c>
      <c r="G45" t="str">
        <f>VLOOKUP(F45,ADP!$B$1:$K$646,3,FALSE)</f>
        <v>SP</v>
      </c>
      <c r="H45" s="9">
        <f>B45</f>
        <v>0.10356321</v>
      </c>
      <c r="I45" s="10">
        <f>VLOOKUP(F45,ADP!$B$1:$K$1082,4,FALSE)</f>
        <v>266.7</v>
      </c>
      <c r="J45">
        <f t="shared" si="3"/>
        <v>23</v>
      </c>
    </row>
  </sheetData>
  <autoFilter ref="F1:J45" xr:uid="{00000000-0001-0000-0200-000000000000}">
    <filterColumn colId="4">
      <filters>
        <filter val="10"/>
        <filter val="11"/>
        <filter val="13"/>
        <filter val="14"/>
        <filter val="15"/>
        <filter val="16"/>
        <filter val="17"/>
        <filter val="18"/>
        <filter val="19"/>
        <filter val="20"/>
        <filter val="21"/>
        <filter val="22"/>
        <filter val="23"/>
        <filter val="24"/>
        <filter val="31"/>
        <filter val="36"/>
        <filter val="4"/>
        <filter val="41"/>
        <filter val="46"/>
        <filter val="5"/>
        <filter val="60"/>
        <filter val="7"/>
        <filter val="8"/>
        <filter val="9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L1540"/>
  <sheetViews>
    <sheetView workbookViewId="0">
      <selection activeCell="B140" sqref="B140"/>
    </sheetView>
  </sheetViews>
  <sheetFormatPr baseColWidth="10" defaultColWidth="8.83203125" defaultRowHeight="15" x14ac:dyDescent="0.2"/>
  <cols>
    <col min="1" max="1" width="12.5" style="3" bestFit="1" customWidth="1"/>
    <col min="2" max="2" width="26.1640625" style="4" bestFit="1" customWidth="1"/>
    <col min="3" max="4" width="12.5" style="4" bestFit="1" customWidth="1"/>
    <col min="5" max="5" width="12.5" style="5" bestFit="1" customWidth="1"/>
    <col min="6" max="7" width="12.5" style="6" bestFit="1" customWidth="1"/>
    <col min="8" max="8" width="12.5" style="3" bestFit="1" customWidth="1"/>
    <col min="9" max="9" width="12.5" style="5" bestFit="1" customWidth="1"/>
    <col min="10" max="10" width="12.5" style="7" bestFit="1" customWidth="1"/>
    <col min="11" max="11" width="12.5" style="8" bestFit="1" customWidth="1"/>
    <col min="12" max="12" width="12.5" bestFit="1" customWidth="1"/>
  </cols>
  <sheetData>
    <row r="1" spans="1:12" s="1" customFormat="1" ht="17.25" customHeight="1" x14ac:dyDescent="0.2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0" t="s">
        <v>10</v>
      </c>
      <c r="L1" s="20" t="s">
        <v>10</v>
      </c>
    </row>
    <row r="2" spans="1:12" ht="17.25" customHeight="1" x14ac:dyDescent="0.2">
      <c r="A2" s="21">
        <v>1</v>
      </c>
      <c r="B2" s="22" t="s">
        <v>11</v>
      </c>
      <c r="C2" s="22" t="s">
        <v>12</v>
      </c>
      <c r="D2" s="21" t="s">
        <v>13</v>
      </c>
      <c r="E2" s="21">
        <v>1.3</v>
      </c>
      <c r="F2" s="23">
        <v>1</v>
      </c>
      <c r="G2" s="23">
        <v>1</v>
      </c>
      <c r="H2" s="21">
        <v>727</v>
      </c>
      <c r="I2" s="21"/>
      <c r="J2" s="24">
        <v>42.5</v>
      </c>
      <c r="K2" s="21"/>
      <c r="L2" s="21"/>
    </row>
    <row r="3" spans="1:12" ht="17.25" customHeight="1" x14ac:dyDescent="0.2">
      <c r="A3" s="21">
        <v>2</v>
      </c>
      <c r="B3" s="22" t="s">
        <v>11</v>
      </c>
      <c r="C3" s="22" t="s">
        <v>12</v>
      </c>
      <c r="D3" s="21" t="s">
        <v>28</v>
      </c>
      <c r="E3" s="21">
        <v>1.3</v>
      </c>
      <c r="F3" s="23">
        <v>1</v>
      </c>
      <c r="G3" s="23">
        <v>1</v>
      </c>
      <c r="H3" s="21"/>
      <c r="I3" s="21">
        <v>47</v>
      </c>
      <c r="J3" s="24">
        <v>1</v>
      </c>
      <c r="K3" s="21"/>
      <c r="L3" s="21"/>
    </row>
    <row r="4" spans="1:12" ht="17.25" customHeight="1" x14ac:dyDescent="0.2">
      <c r="A4" s="21">
        <v>3</v>
      </c>
      <c r="B4" s="22" t="s">
        <v>14</v>
      </c>
      <c r="C4" s="22" t="s">
        <v>15</v>
      </c>
      <c r="D4" s="21" t="s">
        <v>16</v>
      </c>
      <c r="E4" s="21">
        <v>1.9</v>
      </c>
      <c r="F4" s="23">
        <v>1</v>
      </c>
      <c r="G4" s="23">
        <v>1</v>
      </c>
      <c r="H4" s="21">
        <v>679</v>
      </c>
      <c r="I4" s="21"/>
      <c r="J4" s="24">
        <v>47.6</v>
      </c>
      <c r="K4" s="21"/>
      <c r="L4" s="21"/>
    </row>
    <row r="5" spans="1:12" ht="17.25" customHeight="1" x14ac:dyDescent="0.2">
      <c r="A5" s="21">
        <v>4</v>
      </c>
      <c r="B5" s="22" t="s">
        <v>17</v>
      </c>
      <c r="C5" s="22" t="s">
        <v>18</v>
      </c>
      <c r="D5" s="21" t="s">
        <v>19</v>
      </c>
      <c r="E5" s="21">
        <v>2.9</v>
      </c>
      <c r="F5" s="23">
        <v>1</v>
      </c>
      <c r="G5" s="23">
        <v>1</v>
      </c>
      <c r="H5" s="21">
        <v>687</v>
      </c>
      <c r="I5" s="21"/>
      <c r="J5" s="24">
        <v>30.6</v>
      </c>
      <c r="K5" s="21"/>
      <c r="L5" s="21"/>
    </row>
    <row r="6" spans="1:12" ht="17.25" customHeight="1" x14ac:dyDescent="0.2">
      <c r="A6" s="21">
        <v>5</v>
      </c>
      <c r="B6" s="22" t="s">
        <v>23</v>
      </c>
      <c r="C6" s="22" t="s">
        <v>24</v>
      </c>
      <c r="D6" s="21" t="s">
        <v>25</v>
      </c>
      <c r="E6" s="21">
        <v>4.5</v>
      </c>
      <c r="F6" s="23">
        <v>1</v>
      </c>
      <c r="G6" s="23">
        <v>1</v>
      </c>
      <c r="H6" s="21">
        <v>715</v>
      </c>
      <c r="I6" s="21"/>
      <c r="J6" s="24">
        <v>37.6</v>
      </c>
      <c r="K6" s="21"/>
      <c r="L6" s="21"/>
    </row>
    <row r="7" spans="1:12" ht="17.25" customHeight="1" x14ac:dyDescent="0.2">
      <c r="A7" s="21">
        <v>6</v>
      </c>
      <c r="B7" s="22" t="s">
        <v>1055</v>
      </c>
      <c r="C7" s="22" t="s">
        <v>21</v>
      </c>
      <c r="D7" s="21" t="s">
        <v>22</v>
      </c>
      <c r="E7" s="21">
        <v>5.8</v>
      </c>
      <c r="F7" s="23">
        <v>1</v>
      </c>
      <c r="G7" s="23">
        <v>1</v>
      </c>
      <c r="H7" s="21">
        <v>673</v>
      </c>
      <c r="I7" s="21"/>
      <c r="J7" s="24">
        <v>32.299999999999997</v>
      </c>
      <c r="K7" s="21"/>
      <c r="L7" s="21"/>
    </row>
    <row r="8" spans="1:12" ht="17.25" customHeight="1" x14ac:dyDescent="0.2">
      <c r="A8" s="21">
        <v>7</v>
      </c>
      <c r="B8" s="22" t="s">
        <v>1370</v>
      </c>
      <c r="C8" s="22" t="s">
        <v>36</v>
      </c>
      <c r="D8" s="21" t="s">
        <v>25</v>
      </c>
      <c r="E8" s="21">
        <v>6.3</v>
      </c>
      <c r="F8" s="23">
        <v>1</v>
      </c>
      <c r="G8" s="23">
        <v>1</v>
      </c>
      <c r="H8" s="21">
        <v>412</v>
      </c>
      <c r="I8" s="21"/>
      <c r="J8" s="24">
        <v>7.6</v>
      </c>
      <c r="K8" s="21"/>
      <c r="L8" s="21"/>
    </row>
    <row r="9" spans="1:12" ht="17.25" customHeight="1" x14ac:dyDescent="0.2">
      <c r="A9" s="21">
        <v>8</v>
      </c>
      <c r="B9" s="22" t="s">
        <v>26</v>
      </c>
      <c r="C9" s="22" t="s">
        <v>27</v>
      </c>
      <c r="D9" s="21" t="s">
        <v>28</v>
      </c>
      <c r="E9" s="21">
        <v>6.9</v>
      </c>
      <c r="F9" s="23">
        <v>1</v>
      </c>
      <c r="G9" s="23">
        <v>1</v>
      </c>
      <c r="H9" s="21"/>
      <c r="I9" s="21">
        <v>195</v>
      </c>
      <c r="J9" s="24">
        <v>35.5</v>
      </c>
      <c r="K9" s="21"/>
      <c r="L9" s="21"/>
    </row>
    <row r="10" spans="1:12" ht="17.25" customHeight="1" x14ac:dyDescent="0.2">
      <c r="A10" s="21">
        <v>9</v>
      </c>
      <c r="B10" s="22" t="s">
        <v>33</v>
      </c>
      <c r="C10" s="22" t="s">
        <v>34</v>
      </c>
      <c r="D10" s="21" t="s">
        <v>19</v>
      </c>
      <c r="E10" s="21">
        <v>8.5</v>
      </c>
      <c r="F10" s="23">
        <v>1</v>
      </c>
      <c r="G10" s="23">
        <v>1</v>
      </c>
      <c r="H10" s="21">
        <v>699</v>
      </c>
      <c r="I10" s="21"/>
      <c r="J10" s="24">
        <v>24.8</v>
      </c>
      <c r="K10" s="21"/>
      <c r="L10" s="21"/>
    </row>
    <row r="11" spans="1:12" ht="17.25" customHeight="1" x14ac:dyDescent="0.2">
      <c r="A11" s="21">
        <v>10</v>
      </c>
      <c r="B11" s="22" t="s">
        <v>56</v>
      </c>
      <c r="C11" s="22" t="s">
        <v>57</v>
      </c>
      <c r="D11" s="21" t="s">
        <v>28</v>
      </c>
      <c r="E11" s="21">
        <v>10.199999999999999</v>
      </c>
      <c r="F11" s="23">
        <v>1</v>
      </c>
      <c r="G11" s="23">
        <v>1</v>
      </c>
      <c r="H11" s="21"/>
      <c r="I11" s="21">
        <v>187.1</v>
      </c>
      <c r="J11" s="24">
        <v>30.6</v>
      </c>
      <c r="K11" s="21"/>
      <c r="L11" s="21"/>
    </row>
    <row r="12" spans="1:12" ht="17.25" customHeight="1" x14ac:dyDescent="0.2">
      <c r="A12" s="21">
        <v>11</v>
      </c>
      <c r="B12" s="22" t="s">
        <v>1056</v>
      </c>
      <c r="C12" s="22" t="s">
        <v>60</v>
      </c>
      <c r="D12" s="21" t="s">
        <v>25</v>
      </c>
      <c r="E12" s="21">
        <v>10.6</v>
      </c>
      <c r="F12" s="23">
        <v>1</v>
      </c>
      <c r="G12" s="23">
        <v>1</v>
      </c>
      <c r="H12" s="21">
        <v>710</v>
      </c>
      <c r="I12" s="21"/>
      <c r="J12" s="24">
        <v>28.8</v>
      </c>
      <c r="K12" s="21"/>
      <c r="L12" s="21"/>
    </row>
    <row r="13" spans="1:12" ht="17.25" customHeight="1" x14ac:dyDescent="0.2">
      <c r="A13" s="21">
        <v>12</v>
      </c>
      <c r="B13" s="22" t="s">
        <v>157</v>
      </c>
      <c r="C13" s="22" t="s">
        <v>48</v>
      </c>
      <c r="D13" s="21" t="s">
        <v>28</v>
      </c>
      <c r="E13" s="21">
        <v>11.4</v>
      </c>
      <c r="F13" s="23">
        <v>1</v>
      </c>
      <c r="G13" s="23">
        <v>1</v>
      </c>
      <c r="H13" s="21"/>
      <c r="I13" s="21">
        <v>205</v>
      </c>
      <c r="J13" s="24">
        <v>32.799999999999997</v>
      </c>
      <c r="K13" s="21"/>
      <c r="L13" s="21"/>
    </row>
    <row r="14" spans="1:12" ht="17.25" customHeight="1" x14ac:dyDescent="0.2">
      <c r="A14" s="21">
        <v>13</v>
      </c>
      <c r="B14" s="22" t="s">
        <v>67</v>
      </c>
      <c r="C14" s="22" t="s">
        <v>52</v>
      </c>
      <c r="D14" s="21" t="s">
        <v>25</v>
      </c>
      <c r="E14" s="21">
        <v>12.2</v>
      </c>
      <c r="F14" s="23">
        <v>1</v>
      </c>
      <c r="G14" s="23">
        <v>0.86</v>
      </c>
      <c r="H14" s="21">
        <v>642</v>
      </c>
      <c r="I14" s="21"/>
      <c r="J14" s="24">
        <v>26.1</v>
      </c>
      <c r="K14" s="21"/>
      <c r="L14" s="21"/>
    </row>
    <row r="15" spans="1:12" ht="17.25" customHeight="1" x14ac:dyDescent="0.2">
      <c r="A15" s="21">
        <v>14</v>
      </c>
      <c r="B15" s="22" t="s">
        <v>29</v>
      </c>
      <c r="C15" s="22" t="s">
        <v>30</v>
      </c>
      <c r="D15" s="21" t="s">
        <v>19</v>
      </c>
      <c r="E15" s="21">
        <v>12.8</v>
      </c>
      <c r="F15" s="23">
        <v>1</v>
      </c>
      <c r="G15" s="23">
        <v>1</v>
      </c>
      <c r="H15" s="21">
        <v>651</v>
      </c>
      <c r="I15" s="21"/>
      <c r="J15" s="24">
        <v>17.2</v>
      </c>
      <c r="K15" s="21"/>
      <c r="L15" s="21"/>
    </row>
    <row r="16" spans="1:12" ht="17.25" customHeight="1" x14ac:dyDescent="0.2">
      <c r="A16" s="21">
        <v>15</v>
      </c>
      <c r="B16" s="22" t="s">
        <v>208</v>
      </c>
      <c r="C16" s="22" t="s">
        <v>12</v>
      </c>
      <c r="D16" s="21" t="s">
        <v>25</v>
      </c>
      <c r="E16" s="21">
        <v>14.4</v>
      </c>
      <c r="F16" s="23">
        <v>1</v>
      </c>
      <c r="G16" s="23">
        <v>1</v>
      </c>
      <c r="H16" s="21">
        <v>597</v>
      </c>
      <c r="I16" s="21"/>
      <c r="J16" s="24">
        <v>18.100000000000001</v>
      </c>
      <c r="K16" s="21"/>
      <c r="L16" s="21"/>
    </row>
    <row r="17" spans="1:12" ht="17.25" customHeight="1" x14ac:dyDescent="0.2">
      <c r="A17" s="21">
        <v>16</v>
      </c>
      <c r="B17" s="22" t="s">
        <v>203</v>
      </c>
      <c r="C17" s="22" t="s">
        <v>66</v>
      </c>
      <c r="D17" s="21" t="s">
        <v>25</v>
      </c>
      <c r="E17" s="21">
        <v>14.8</v>
      </c>
      <c r="F17" s="23">
        <v>1</v>
      </c>
      <c r="G17" s="23">
        <v>1</v>
      </c>
      <c r="H17" s="21">
        <v>691</v>
      </c>
      <c r="I17" s="21"/>
      <c r="J17" s="24">
        <v>24.2</v>
      </c>
      <c r="K17" s="21"/>
      <c r="L17" s="21"/>
    </row>
    <row r="18" spans="1:12" ht="17.25" customHeight="1" x14ac:dyDescent="0.2">
      <c r="A18" s="21">
        <v>17</v>
      </c>
      <c r="B18" s="22" t="s">
        <v>774</v>
      </c>
      <c r="C18" s="22" t="s">
        <v>232</v>
      </c>
      <c r="D18" s="21" t="s">
        <v>87</v>
      </c>
      <c r="E18" s="21">
        <v>16.3</v>
      </c>
      <c r="F18" s="23">
        <v>1</v>
      </c>
      <c r="G18" s="23">
        <v>1</v>
      </c>
      <c r="H18" s="21">
        <v>653</v>
      </c>
      <c r="I18" s="21"/>
      <c r="J18" s="24">
        <v>26</v>
      </c>
      <c r="K18" s="21"/>
      <c r="L18" s="21"/>
    </row>
    <row r="19" spans="1:12" ht="17.25" customHeight="1" x14ac:dyDescent="0.2">
      <c r="A19" s="21">
        <v>18</v>
      </c>
      <c r="B19" s="22" t="s">
        <v>1233</v>
      </c>
      <c r="C19" s="22" t="s">
        <v>46</v>
      </c>
      <c r="D19" s="21" t="s">
        <v>82</v>
      </c>
      <c r="E19" s="21">
        <v>17.100000000000001</v>
      </c>
      <c r="F19" s="23">
        <v>1</v>
      </c>
      <c r="G19" s="23">
        <v>1</v>
      </c>
      <c r="H19" s="21">
        <v>489</v>
      </c>
      <c r="I19" s="21"/>
      <c r="J19" s="24">
        <v>20.100000000000001</v>
      </c>
      <c r="K19" s="21"/>
      <c r="L19" s="21"/>
    </row>
    <row r="20" spans="1:12" ht="17.25" customHeight="1" x14ac:dyDescent="0.2">
      <c r="A20" s="21">
        <v>19</v>
      </c>
      <c r="B20" s="22" t="s">
        <v>41</v>
      </c>
      <c r="C20" s="22" t="s">
        <v>42</v>
      </c>
      <c r="D20" s="21" t="s">
        <v>43</v>
      </c>
      <c r="E20" s="21">
        <v>18</v>
      </c>
      <c r="F20" s="23">
        <v>1</v>
      </c>
      <c r="G20" s="23">
        <v>0.98</v>
      </c>
      <c r="H20" s="21">
        <v>680</v>
      </c>
      <c r="I20" s="21"/>
      <c r="J20" s="24">
        <v>19.399999999999999</v>
      </c>
      <c r="K20" s="21"/>
      <c r="L20" s="21"/>
    </row>
    <row r="21" spans="1:12" ht="17.25" customHeight="1" x14ac:dyDescent="0.2">
      <c r="A21" s="21">
        <v>20</v>
      </c>
      <c r="B21" s="22" t="s">
        <v>73</v>
      </c>
      <c r="C21" s="22" t="s">
        <v>60</v>
      </c>
      <c r="D21" s="21" t="s">
        <v>40</v>
      </c>
      <c r="E21" s="21">
        <v>18.5</v>
      </c>
      <c r="F21" s="23">
        <v>1</v>
      </c>
      <c r="G21" s="23">
        <v>1</v>
      </c>
      <c r="H21" s="21">
        <v>705</v>
      </c>
      <c r="I21" s="21"/>
      <c r="J21" s="24">
        <v>44.5</v>
      </c>
      <c r="K21" s="21"/>
      <c r="L21" s="21"/>
    </row>
    <row r="22" spans="1:12" ht="17.25" customHeight="1" x14ac:dyDescent="0.2">
      <c r="A22" s="21">
        <v>21</v>
      </c>
      <c r="B22" s="22" t="s">
        <v>90</v>
      </c>
      <c r="C22" s="22" t="s">
        <v>39</v>
      </c>
      <c r="D22" s="21" t="s">
        <v>25</v>
      </c>
      <c r="E22" s="21">
        <v>19.600000000000001</v>
      </c>
      <c r="F22" s="23">
        <v>1</v>
      </c>
      <c r="G22" s="23">
        <v>1</v>
      </c>
      <c r="H22" s="21">
        <v>589</v>
      </c>
      <c r="I22" s="21"/>
      <c r="J22" s="24">
        <v>17.600000000000001</v>
      </c>
      <c r="K22" s="21"/>
      <c r="L22" s="21"/>
    </row>
    <row r="23" spans="1:12" ht="17.25" customHeight="1" x14ac:dyDescent="0.2">
      <c r="A23" s="21">
        <v>22</v>
      </c>
      <c r="B23" s="22" t="s">
        <v>83</v>
      </c>
      <c r="C23" s="22" t="s">
        <v>15</v>
      </c>
      <c r="D23" s="21" t="s">
        <v>206</v>
      </c>
      <c r="E23" s="21">
        <v>20.9</v>
      </c>
      <c r="F23" s="23">
        <v>1</v>
      </c>
      <c r="G23" s="23">
        <v>1</v>
      </c>
      <c r="H23" s="21">
        <v>531</v>
      </c>
      <c r="I23" s="21"/>
      <c r="J23" s="24">
        <v>18.100000000000001</v>
      </c>
      <c r="K23" s="21"/>
      <c r="L23" s="21"/>
    </row>
    <row r="24" spans="1:12" ht="17.25" customHeight="1" x14ac:dyDescent="0.2">
      <c r="A24" s="21">
        <v>23</v>
      </c>
      <c r="B24" s="22" t="s">
        <v>37</v>
      </c>
      <c r="C24" s="22" t="s">
        <v>24</v>
      </c>
      <c r="D24" s="21" t="s">
        <v>19</v>
      </c>
      <c r="E24" s="21">
        <v>23.4</v>
      </c>
      <c r="F24" s="23">
        <v>1</v>
      </c>
      <c r="G24" s="23">
        <v>0.82</v>
      </c>
      <c r="H24" s="21">
        <v>732</v>
      </c>
      <c r="I24" s="21"/>
      <c r="J24" s="24">
        <v>28.9</v>
      </c>
      <c r="K24" s="21"/>
      <c r="L24" s="21"/>
    </row>
    <row r="25" spans="1:12" ht="17.25" customHeight="1" x14ac:dyDescent="0.2">
      <c r="A25" s="21">
        <v>24</v>
      </c>
      <c r="B25" s="22" t="s">
        <v>58</v>
      </c>
      <c r="C25" s="22" t="s">
        <v>32</v>
      </c>
      <c r="D25" s="21" t="s">
        <v>13</v>
      </c>
      <c r="E25" s="21">
        <v>24.5</v>
      </c>
      <c r="F25" s="23">
        <v>1</v>
      </c>
      <c r="G25" s="23">
        <v>1</v>
      </c>
      <c r="H25" s="21">
        <v>724</v>
      </c>
      <c r="I25" s="21"/>
      <c r="J25" s="24">
        <v>32.4</v>
      </c>
      <c r="K25" s="21"/>
      <c r="L25" s="21"/>
    </row>
    <row r="26" spans="1:12" ht="17.25" customHeight="1" x14ac:dyDescent="0.2">
      <c r="A26" s="21">
        <v>25</v>
      </c>
      <c r="B26" s="22" t="s">
        <v>110</v>
      </c>
      <c r="C26" s="22" t="s">
        <v>30</v>
      </c>
      <c r="D26" s="21" t="s">
        <v>82</v>
      </c>
      <c r="E26" s="21">
        <v>25</v>
      </c>
      <c r="F26" s="23">
        <v>1</v>
      </c>
      <c r="G26" s="23">
        <v>1</v>
      </c>
      <c r="H26" s="21">
        <v>709</v>
      </c>
      <c r="I26" s="21"/>
      <c r="J26" s="24">
        <v>24.9</v>
      </c>
      <c r="K26" s="21"/>
      <c r="L26" s="21"/>
    </row>
    <row r="27" spans="1:12" ht="17.25" customHeight="1" x14ac:dyDescent="0.2">
      <c r="A27" s="21">
        <v>26</v>
      </c>
      <c r="B27" s="22" t="s">
        <v>1817</v>
      </c>
      <c r="C27" s="22" t="s">
        <v>32</v>
      </c>
      <c r="D27" s="21" t="s">
        <v>28</v>
      </c>
      <c r="E27" s="21">
        <v>26.4</v>
      </c>
      <c r="F27" s="23">
        <v>1</v>
      </c>
      <c r="G27" s="23">
        <v>1</v>
      </c>
      <c r="H27" s="21"/>
      <c r="I27" s="21">
        <v>202</v>
      </c>
      <c r="J27" s="24">
        <v>25.4</v>
      </c>
      <c r="K27" s="21"/>
      <c r="L27" s="21"/>
    </row>
    <row r="28" spans="1:12" ht="17.25" customHeight="1" x14ac:dyDescent="0.2">
      <c r="A28" s="21">
        <v>27</v>
      </c>
      <c r="B28" s="22" t="s">
        <v>116</v>
      </c>
      <c r="C28" s="22" t="s">
        <v>117</v>
      </c>
      <c r="D28" s="21" t="s">
        <v>19</v>
      </c>
      <c r="E28" s="21">
        <v>26.4</v>
      </c>
      <c r="F28" s="23">
        <v>1</v>
      </c>
      <c r="G28" s="23">
        <v>1</v>
      </c>
      <c r="H28" s="21">
        <v>554</v>
      </c>
      <c r="I28" s="21"/>
      <c r="J28" s="24">
        <v>14.9</v>
      </c>
      <c r="K28" s="21"/>
      <c r="L28" s="21"/>
    </row>
    <row r="29" spans="1:12" ht="17.25" customHeight="1" x14ac:dyDescent="0.2">
      <c r="A29" s="21">
        <v>28</v>
      </c>
      <c r="B29" s="22" t="s">
        <v>219</v>
      </c>
      <c r="C29" s="22" t="s">
        <v>12</v>
      </c>
      <c r="D29" s="21" t="s">
        <v>28</v>
      </c>
      <c r="E29" s="21">
        <v>27.7</v>
      </c>
      <c r="F29" s="23">
        <v>1</v>
      </c>
      <c r="G29" s="23">
        <v>1</v>
      </c>
      <c r="H29" s="21"/>
      <c r="I29" s="21">
        <v>173.1</v>
      </c>
      <c r="J29" s="24">
        <v>25.4</v>
      </c>
      <c r="K29" s="21"/>
      <c r="L29" s="21"/>
    </row>
    <row r="30" spans="1:12" ht="17.25" customHeight="1" x14ac:dyDescent="0.2">
      <c r="A30" s="21">
        <v>29</v>
      </c>
      <c r="B30" s="22" t="s">
        <v>93</v>
      </c>
      <c r="C30" s="22" t="s">
        <v>32</v>
      </c>
      <c r="D30" s="21" t="s">
        <v>19</v>
      </c>
      <c r="E30" s="21">
        <v>27.8</v>
      </c>
      <c r="F30" s="23">
        <v>1</v>
      </c>
      <c r="G30" s="23">
        <v>1</v>
      </c>
      <c r="H30" s="21">
        <v>639</v>
      </c>
      <c r="I30" s="21"/>
      <c r="J30" s="24">
        <v>24.7</v>
      </c>
      <c r="K30" s="21"/>
      <c r="L30" s="21"/>
    </row>
    <row r="31" spans="1:12" ht="17.25" customHeight="1" x14ac:dyDescent="0.2">
      <c r="A31" s="21">
        <v>30</v>
      </c>
      <c r="B31" s="22" t="s">
        <v>207</v>
      </c>
      <c r="C31" s="22" t="s">
        <v>66</v>
      </c>
      <c r="D31" s="21" t="s">
        <v>69</v>
      </c>
      <c r="E31" s="21">
        <v>29</v>
      </c>
      <c r="F31" s="23">
        <v>1</v>
      </c>
      <c r="G31" s="23">
        <v>0.96</v>
      </c>
      <c r="H31" s="21"/>
      <c r="I31" s="21">
        <v>61.1</v>
      </c>
      <c r="J31" s="24">
        <v>4.5</v>
      </c>
      <c r="K31" s="21"/>
      <c r="L31" s="21"/>
    </row>
    <row r="32" spans="1:12" ht="17.25" customHeight="1" x14ac:dyDescent="0.2">
      <c r="A32" s="21">
        <v>31</v>
      </c>
      <c r="B32" s="22" t="s">
        <v>323</v>
      </c>
      <c r="C32" s="22" t="s">
        <v>64</v>
      </c>
      <c r="D32" s="21" t="s">
        <v>25</v>
      </c>
      <c r="E32" s="21">
        <v>31</v>
      </c>
      <c r="F32" s="23">
        <v>1</v>
      </c>
      <c r="G32" s="23">
        <v>1</v>
      </c>
      <c r="H32" s="21">
        <v>647</v>
      </c>
      <c r="I32" s="21"/>
      <c r="J32" s="24">
        <v>24.2</v>
      </c>
      <c r="K32" s="21"/>
      <c r="L32" s="21"/>
    </row>
    <row r="33" spans="1:12" ht="17.25" customHeight="1" x14ac:dyDescent="0.2">
      <c r="A33" s="21">
        <v>32</v>
      </c>
      <c r="B33" s="22" t="s">
        <v>51</v>
      </c>
      <c r="C33" s="22" t="s">
        <v>52</v>
      </c>
      <c r="D33" s="21" t="s">
        <v>53</v>
      </c>
      <c r="E33" s="21">
        <v>32.6</v>
      </c>
      <c r="F33" s="23">
        <v>1</v>
      </c>
      <c r="G33" s="23">
        <v>1</v>
      </c>
      <c r="H33" s="21">
        <v>556</v>
      </c>
      <c r="I33" s="21"/>
      <c r="J33" s="24">
        <v>15.6</v>
      </c>
      <c r="K33" s="21"/>
      <c r="L33" s="21"/>
    </row>
    <row r="34" spans="1:12" ht="17.25" customHeight="1" x14ac:dyDescent="0.2">
      <c r="A34" s="21">
        <v>33</v>
      </c>
      <c r="B34" s="22" t="s">
        <v>389</v>
      </c>
      <c r="C34" s="22" t="s">
        <v>132</v>
      </c>
      <c r="D34" s="21" t="s">
        <v>16</v>
      </c>
      <c r="E34" s="21">
        <v>33</v>
      </c>
      <c r="F34" s="23">
        <v>1</v>
      </c>
      <c r="G34" s="23">
        <v>1</v>
      </c>
      <c r="H34" s="21">
        <v>689</v>
      </c>
      <c r="I34" s="21"/>
      <c r="J34" s="24">
        <v>19.3</v>
      </c>
      <c r="K34" s="21"/>
      <c r="L34" s="21"/>
    </row>
    <row r="35" spans="1:12" ht="17.25" customHeight="1" x14ac:dyDescent="0.2">
      <c r="A35" s="21">
        <v>34</v>
      </c>
      <c r="B35" s="22" t="s">
        <v>290</v>
      </c>
      <c r="C35" s="22" t="s">
        <v>12</v>
      </c>
      <c r="D35" s="21" t="s">
        <v>69</v>
      </c>
      <c r="E35" s="21">
        <v>33.1</v>
      </c>
      <c r="F35" s="23">
        <v>1</v>
      </c>
      <c r="G35" s="23">
        <v>0.98</v>
      </c>
      <c r="H35" s="21"/>
      <c r="I35" s="21">
        <v>66</v>
      </c>
      <c r="J35" s="24">
        <v>13.1</v>
      </c>
      <c r="K35" s="21"/>
      <c r="L35" s="21"/>
    </row>
    <row r="36" spans="1:12" ht="17.25" customHeight="1" x14ac:dyDescent="0.2">
      <c r="A36" s="21">
        <v>35</v>
      </c>
      <c r="B36" s="22" t="s">
        <v>59</v>
      </c>
      <c r="C36" s="22" t="s">
        <v>60</v>
      </c>
      <c r="D36" s="21" t="s">
        <v>28</v>
      </c>
      <c r="E36" s="21">
        <v>33.6</v>
      </c>
      <c r="F36" s="23">
        <v>1</v>
      </c>
      <c r="G36" s="23">
        <v>1</v>
      </c>
      <c r="H36" s="21"/>
      <c r="I36" s="21">
        <v>131</v>
      </c>
      <c r="J36" s="24">
        <v>11.3</v>
      </c>
      <c r="K36" s="21"/>
      <c r="L36" s="21"/>
    </row>
    <row r="37" spans="1:12" ht="17.25" customHeight="1" x14ac:dyDescent="0.2">
      <c r="A37" s="21">
        <v>36</v>
      </c>
      <c r="B37" s="22" t="s">
        <v>49</v>
      </c>
      <c r="C37" s="22" t="s">
        <v>50</v>
      </c>
      <c r="D37" s="21" t="s">
        <v>13</v>
      </c>
      <c r="E37" s="21">
        <v>35.1</v>
      </c>
      <c r="F37" s="23">
        <v>1</v>
      </c>
      <c r="G37" s="23">
        <v>1</v>
      </c>
      <c r="H37" s="21">
        <v>199</v>
      </c>
      <c r="I37" s="21"/>
      <c r="J37" s="24">
        <v>-13.4</v>
      </c>
      <c r="K37" s="21"/>
      <c r="L37" s="21"/>
    </row>
    <row r="38" spans="1:12" ht="17.25" customHeight="1" x14ac:dyDescent="0.2">
      <c r="A38" s="21">
        <v>37</v>
      </c>
      <c r="B38" s="22" t="s">
        <v>218</v>
      </c>
      <c r="C38" s="22" t="s">
        <v>50</v>
      </c>
      <c r="D38" s="21" t="s">
        <v>28</v>
      </c>
      <c r="E38" s="21">
        <v>37.299999999999997</v>
      </c>
      <c r="F38" s="23">
        <v>1</v>
      </c>
      <c r="G38" s="23">
        <v>1</v>
      </c>
      <c r="H38" s="21"/>
      <c r="I38" s="21">
        <v>185</v>
      </c>
      <c r="J38" s="24">
        <v>25.5</v>
      </c>
      <c r="K38" s="21"/>
      <c r="L38" s="21"/>
    </row>
    <row r="39" spans="1:12" ht="17.25" customHeight="1" x14ac:dyDescent="0.2">
      <c r="A39" s="21">
        <v>38</v>
      </c>
      <c r="B39" s="22" t="s">
        <v>123</v>
      </c>
      <c r="C39" s="22" t="s">
        <v>60</v>
      </c>
      <c r="D39" s="21" t="s">
        <v>28</v>
      </c>
      <c r="E39" s="21">
        <v>38.200000000000003</v>
      </c>
      <c r="F39" s="23">
        <v>1</v>
      </c>
      <c r="G39" s="23">
        <v>1</v>
      </c>
      <c r="H39" s="21"/>
      <c r="I39" s="21">
        <v>186.1</v>
      </c>
      <c r="J39" s="24">
        <v>27.3</v>
      </c>
      <c r="K39" s="21"/>
      <c r="L39" s="21"/>
    </row>
    <row r="40" spans="1:12" ht="17.25" customHeight="1" x14ac:dyDescent="0.2">
      <c r="A40" s="21">
        <v>39</v>
      </c>
      <c r="B40" s="22" t="s">
        <v>35</v>
      </c>
      <c r="C40" s="22" t="s">
        <v>36</v>
      </c>
      <c r="D40" s="21" t="s">
        <v>28</v>
      </c>
      <c r="E40" s="21">
        <v>38.700000000000003</v>
      </c>
      <c r="F40" s="23">
        <v>1</v>
      </c>
      <c r="G40" s="23">
        <v>1</v>
      </c>
      <c r="H40" s="21"/>
      <c r="I40" s="21">
        <v>125.1</v>
      </c>
      <c r="J40" s="24">
        <v>14.6</v>
      </c>
      <c r="K40" s="21"/>
      <c r="L40" s="21"/>
    </row>
    <row r="41" spans="1:12" ht="17.25" customHeight="1" x14ac:dyDescent="0.2">
      <c r="A41" s="21">
        <v>40</v>
      </c>
      <c r="B41" s="22" t="s">
        <v>65</v>
      </c>
      <c r="C41" s="22" t="s">
        <v>66</v>
      </c>
      <c r="D41" s="21" t="s">
        <v>87</v>
      </c>
      <c r="E41" s="21">
        <v>39.200000000000003</v>
      </c>
      <c r="F41" s="23">
        <v>1</v>
      </c>
      <c r="G41" s="23">
        <v>1</v>
      </c>
      <c r="H41" s="21">
        <v>678</v>
      </c>
      <c r="I41" s="21"/>
      <c r="J41" s="24">
        <v>21.4</v>
      </c>
      <c r="K41" s="21"/>
      <c r="L41" s="21"/>
    </row>
    <row r="42" spans="1:12" ht="17.25" customHeight="1" x14ac:dyDescent="0.2">
      <c r="A42" s="21">
        <v>41</v>
      </c>
      <c r="B42" s="22" t="s">
        <v>260</v>
      </c>
      <c r="C42" s="22" t="s">
        <v>60</v>
      </c>
      <c r="D42" s="21" t="s">
        <v>69</v>
      </c>
      <c r="E42" s="21">
        <v>40.6</v>
      </c>
      <c r="F42" s="23">
        <v>1</v>
      </c>
      <c r="G42" s="23">
        <v>1</v>
      </c>
      <c r="H42" s="21"/>
      <c r="I42" s="21">
        <v>62</v>
      </c>
      <c r="J42" s="24">
        <v>10.1</v>
      </c>
      <c r="K42" s="21"/>
      <c r="L42" s="21"/>
    </row>
    <row r="43" spans="1:12" ht="17.25" customHeight="1" x14ac:dyDescent="0.2">
      <c r="A43" s="21">
        <v>42</v>
      </c>
      <c r="B43" s="22" t="s">
        <v>330</v>
      </c>
      <c r="C43" s="22" t="s">
        <v>32</v>
      </c>
      <c r="D43" s="21" t="s">
        <v>69</v>
      </c>
      <c r="E43" s="21">
        <v>40.6</v>
      </c>
      <c r="F43" s="23">
        <v>1</v>
      </c>
      <c r="G43" s="23">
        <v>0.98</v>
      </c>
      <c r="H43" s="21"/>
      <c r="I43" s="21">
        <v>70</v>
      </c>
      <c r="J43" s="24">
        <v>10.199999999999999</v>
      </c>
      <c r="K43" s="21"/>
      <c r="L43" s="21"/>
    </row>
    <row r="44" spans="1:12" ht="17.25" customHeight="1" x14ac:dyDescent="0.2">
      <c r="A44" s="21">
        <v>43</v>
      </c>
      <c r="B44" s="22" t="s">
        <v>248</v>
      </c>
      <c r="C44" s="22" t="s">
        <v>21</v>
      </c>
      <c r="D44" s="21" t="s">
        <v>69</v>
      </c>
      <c r="E44" s="21">
        <v>40.799999999999997</v>
      </c>
      <c r="F44" s="23">
        <v>1</v>
      </c>
      <c r="G44" s="23">
        <v>1</v>
      </c>
      <c r="H44" s="21"/>
      <c r="I44" s="21">
        <v>73.099999999999994</v>
      </c>
      <c r="J44" s="24">
        <v>6.9</v>
      </c>
      <c r="K44" s="21"/>
      <c r="L44" s="21"/>
    </row>
    <row r="45" spans="1:12" ht="17.25" customHeight="1" x14ac:dyDescent="0.2">
      <c r="A45" s="21">
        <v>44</v>
      </c>
      <c r="B45" s="22" t="s">
        <v>153</v>
      </c>
      <c r="C45" s="22" t="s">
        <v>140</v>
      </c>
      <c r="D45" s="21" t="s">
        <v>25</v>
      </c>
      <c r="E45" s="21">
        <v>41.2</v>
      </c>
      <c r="F45" s="23">
        <v>1</v>
      </c>
      <c r="G45" s="23">
        <v>1</v>
      </c>
      <c r="H45" s="21">
        <v>573</v>
      </c>
      <c r="I45" s="21"/>
      <c r="J45" s="24">
        <v>9.3000000000000007</v>
      </c>
      <c r="K45" s="21"/>
      <c r="L45" s="21"/>
    </row>
    <row r="46" spans="1:12" ht="17.25" customHeight="1" x14ac:dyDescent="0.2">
      <c r="A46" s="21">
        <v>45</v>
      </c>
      <c r="B46" s="22" t="s">
        <v>98</v>
      </c>
      <c r="C46" s="22" t="s">
        <v>34</v>
      </c>
      <c r="D46" s="21" t="s">
        <v>28</v>
      </c>
      <c r="E46" s="21">
        <v>42.2</v>
      </c>
      <c r="F46" s="23">
        <v>1</v>
      </c>
      <c r="G46" s="23">
        <v>1</v>
      </c>
      <c r="H46" s="21"/>
      <c r="I46" s="21">
        <v>107.1</v>
      </c>
      <c r="J46" s="24">
        <v>14</v>
      </c>
      <c r="K46" s="21"/>
      <c r="L46" s="21"/>
    </row>
    <row r="47" spans="1:12" ht="17.25" customHeight="1" x14ac:dyDescent="0.2">
      <c r="A47" s="21">
        <v>46</v>
      </c>
      <c r="B47" s="22" t="s">
        <v>103</v>
      </c>
      <c r="C47" s="22" t="s">
        <v>18</v>
      </c>
      <c r="D47" s="21" t="s">
        <v>28</v>
      </c>
      <c r="E47" s="21">
        <v>45.4</v>
      </c>
      <c r="F47" s="23">
        <v>1</v>
      </c>
      <c r="G47" s="23">
        <v>1</v>
      </c>
      <c r="H47" s="21"/>
      <c r="I47" s="21">
        <v>61.1</v>
      </c>
      <c r="J47" s="24">
        <v>-0.8</v>
      </c>
      <c r="K47" s="21"/>
      <c r="L47" s="21"/>
    </row>
    <row r="48" spans="1:12" ht="17.25" customHeight="1" x14ac:dyDescent="0.2">
      <c r="A48" s="21">
        <v>47</v>
      </c>
      <c r="B48" s="22" t="s">
        <v>1402</v>
      </c>
      <c r="C48" s="22" t="s">
        <v>140</v>
      </c>
      <c r="D48" s="21" t="s">
        <v>28</v>
      </c>
      <c r="E48" s="21">
        <v>47.1</v>
      </c>
      <c r="F48" s="23">
        <v>1</v>
      </c>
      <c r="G48" s="23">
        <v>1</v>
      </c>
      <c r="H48" s="21"/>
      <c r="I48" s="21">
        <v>172.1</v>
      </c>
      <c r="J48" s="24">
        <v>23.5</v>
      </c>
      <c r="K48" s="21"/>
      <c r="L48" s="21"/>
    </row>
    <row r="49" spans="1:12" ht="17.25" customHeight="1" x14ac:dyDescent="0.2">
      <c r="A49" s="21">
        <v>48</v>
      </c>
      <c r="B49" s="22" t="s">
        <v>849</v>
      </c>
      <c r="C49" s="22" t="s">
        <v>15</v>
      </c>
      <c r="D49" s="21" t="s">
        <v>62</v>
      </c>
      <c r="E49" s="21">
        <v>50.5</v>
      </c>
      <c r="F49" s="23">
        <v>1</v>
      </c>
      <c r="G49" s="23">
        <v>1</v>
      </c>
      <c r="H49" s="21">
        <v>530</v>
      </c>
      <c r="I49" s="21"/>
      <c r="J49" s="24">
        <v>17.2</v>
      </c>
      <c r="K49" s="21"/>
      <c r="L49" s="21"/>
    </row>
    <row r="50" spans="1:12" ht="17.25" customHeight="1" x14ac:dyDescent="0.2">
      <c r="A50" s="21">
        <v>49</v>
      </c>
      <c r="B50" s="22" t="s">
        <v>81</v>
      </c>
      <c r="C50" s="22" t="s">
        <v>32</v>
      </c>
      <c r="D50" s="21" t="s">
        <v>82</v>
      </c>
      <c r="E50" s="21">
        <v>50.7</v>
      </c>
      <c r="F50" s="23">
        <v>1</v>
      </c>
      <c r="G50" s="23">
        <v>1</v>
      </c>
      <c r="H50" s="21">
        <v>580</v>
      </c>
      <c r="I50" s="21"/>
      <c r="J50" s="24">
        <v>12.1</v>
      </c>
      <c r="K50" s="21"/>
      <c r="L50" s="21"/>
    </row>
    <row r="51" spans="1:12" ht="17.25" customHeight="1" x14ac:dyDescent="0.2">
      <c r="A51" s="21">
        <v>50</v>
      </c>
      <c r="B51" s="22" t="s">
        <v>136</v>
      </c>
      <c r="C51" s="22" t="s">
        <v>36</v>
      </c>
      <c r="D51" s="21" t="s">
        <v>82</v>
      </c>
      <c r="E51" s="21">
        <v>50.9</v>
      </c>
      <c r="F51" s="23">
        <v>1</v>
      </c>
      <c r="G51" s="23">
        <v>0.98</v>
      </c>
      <c r="H51" s="21">
        <v>724</v>
      </c>
      <c r="I51" s="21"/>
      <c r="J51" s="24">
        <v>18.899999999999999</v>
      </c>
      <c r="K51" s="21"/>
      <c r="L51" s="21"/>
    </row>
    <row r="52" spans="1:12" ht="17.25" customHeight="1" x14ac:dyDescent="0.2">
      <c r="A52" s="21">
        <v>51</v>
      </c>
      <c r="B52" s="22" t="s">
        <v>45</v>
      </c>
      <c r="C52" s="22" t="s">
        <v>46</v>
      </c>
      <c r="D52" s="21" t="s">
        <v>16</v>
      </c>
      <c r="E52" s="21">
        <v>51.7</v>
      </c>
      <c r="F52" s="23">
        <v>1</v>
      </c>
      <c r="G52" s="23">
        <v>1</v>
      </c>
      <c r="H52" s="21">
        <v>699</v>
      </c>
      <c r="I52" s="21"/>
      <c r="J52" s="24">
        <v>17.5</v>
      </c>
      <c r="K52" s="21"/>
      <c r="L52" s="21"/>
    </row>
    <row r="53" spans="1:12" ht="17.25" customHeight="1" x14ac:dyDescent="0.2">
      <c r="A53" s="21">
        <v>52</v>
      </c>
      <c r="B53" s="22" t="s">
        <v>145</v>
      </c>
      <c r="C53" s="22" t="s">
        <v>39</v>
      </c>
      <c r="D53" s="21" t="s">
        <v>78</v>
      </c>
      <c r="E53" s="21">
        <v>52.9</v>
      </c>
      <c r="F53" s="23">
        <v>1</v>
      </c>
      <c r="G53" s="23">
        <v>1</v>
      </c>
      <c r="H53" s="21">
        <v>659</v>
      </c>
      <c r="I53" s="21"/>
      <c r="J53" s="24">
        <v>22.4</v>
      </c>
      <c r="K53" s="21"/>
      <c r="L53" s="21"/>
    </row>
    <row r="54" spans="1:12" ht="17.25" customHeight="1" x14ac:dyDescent="0.2">
      <c r="A54" s="21">
        <v>53</v>
      </c>
      <c r="B54" s="22" t="s">
        <v>38</v>
      </c>
      <c r="C54" s="22" t="s">
        <v>39</v>
      </c>
      <c r="D54" s="21" t="s">
        <v>40</v>
      </c>
      <c r="E54" s="21">
        <v>53.3</v>
      </c>
      <c r="F54" s="23">
        <v>1</v>
      </c>
      <c r="G54" s="23">
        <v>1</v>
      </c>
      <c r="H54" s="21">
        <v>659</v>
      </c>
      <c r="I54" s="21"/>
      <c r="J54" s="24">
        <v>20</v>
      </c>
      <c r="K54" s="21"/>
      <c r="L54" s="21"/>
    </row>
    <row r="55" spans="1:12" ht="17.25" customHeight="1" x14ac:dyDescent="0.2">
      <c r="A55" s="21">
        <v>54</v>
      </c>
      <c r="B55" s="22" t="s">
        <v>155</v>
      </c>
      <c r="C55" s="22" t="s">
        <v>15</v>
      </c>
      <c r="D55" s="21" t="s">
        <v>28</v>
      </c>
      <c r="E55" s="21">
        <v>53.4</v>
      </c>
      <c r="F55" s="23">
        <v>1</v>
      </c>
      <c r="G55" s="23">
        <v>1</v>
      </c>
      <c r="H55" s="21"/>
      <c r="I55" s="21">
        <v>195</v>
      </c>
      <c r="J55" s="24">
        <v>24.4</v>
      </c>
      <c r="K55" s="21"/>
      <c r="L55" s="21"/>
    </row>
    <row r="56" spans="1:12" ht="17.25" customHeight="1" x14ac:dyDescent="0.2">
      <c r="A56" s="21">
        <v>55</v>
      </c>
      <c r="B56" s="22" t="s">
        <v>120</v>
      </c>
      <c r="C56" s="22" t="s">
        <v>46</v>
      </c>
      <c r="D56" s="21" t="s">
        <v>74</v>
      </c>
      <c r="E56" s="21">
        <v>54</v>
      </c>
      <c r="F56" s="23">
        <v>1</v>
      </c>
      <c r="G56" s="23">
        <v>1</v>
      </c>
      <c r="H56" s="21">
        <v>523</v>
      </c>
      <c r="I56" s="21"/>
      <c r="J56" s="24">
        <v>23.6</v>
      </c>
      <c r="K56" s="21"/>
      <c r="L56" s="21"/>
    </row>
    <row r="57" spans="1:12" ht="17.25" customHeight="1" x14ac:dyDescent="0.2">
      <c r="A57" s="21">
        <v>56</v>
      </c>
      <c r="B57" s="22" t="s">
        <v>1234</v>
      </c>
      <c r="C57" s="22" t="s">
        <v>48</v>
      </c>
      <c r="D57" s="21" t="s">
        <v>25</v>
      </c>
      <c r="E57" s="21">
        <v>54.2</v>
      </c>
      <c r="F57" s="23">
        <v>1</v>
      </c>
      <c r="G57" s="23">
        <v>1</v>
      </c>
      <c r="H57" s="21">
        <v>303</v>
      </c>
      <c r="I57" s="21"/>
      <c r="J57" s="24">
        <v>-4</v>
      </c>
      <c r="K57" s="21"/>
      <c r="L57" s="21"/>
    </row>
    <row r="58" spans="1:12" ht="17.25" customHeight="1" x14ac:dyDescent="0.2">
      <c r="A58" s="21">
        <v>57</v>
      </c>
      <c r="B58" s="22" t="s">
        <v>96</v>
      </c>
      <c r="C58" s="22" t="s">
        <v>55</v>
      </c>
      <c r="D58" s="21" t="s">
        <v>43</v>
      </c>
      <c r="E58" s="21">
        <v>55.5</v>
      </c>
      <c r="F58" s="23">
        <v>1</v>
      </c>
      <c r="G58" s="23">
        <v>1</v>
      </c>
      <c r="H58" s="21">
        <v>729</v>
      </c>
      <c r="I58" s="21"/>
      <c r="J58" s="24">
        <v>19.8</v>
      </c>
      <c r="K58" s="21"/>
      <c r="L58" s="21"/>
    </row>
    <row r="59" spans="1:12" ht="17.25" customHeight="1" x14ac:dyDescent="0.2">
      <c r="A59" s="21">
        <v>58</v>
      </c>
      <c r="B59" s="22" t="s">
        <v>111</v>
      </c>
      <c r="C59" s="22" t="s">
        <v>12</v>
      </c>
      <c r="D59" s="21" t="s">
        <v>19</v>
      </c>
      <c r="E59" s="21">
        <v>56</v>
      </c>
      <c r="F59" s="23">
        <v>1</v>
      </c>
      <c r="G59" s="23">
        <v>1</v>
      </c>
      <c r="H59" s="21">
        <v>663</v>
      </c>
      <c r="I59" s="21"/>
      <c r="J59" s="24">
        <v>13.4</v>
      </c>
      <c r="K59" s="21"/>
      <c r="L59" s="21"/>
    </row>
    <row r="60" spans="1:12" ht="17.25" customHeight="1" x14ac:dyDescent="0.2">
      <c r="A60" s="21">
        <v>59</v>
      </c>
      <c r="B60" s="22" t="s">
        <v>195</v>
      </c>
      <c r="C60" s="22" t="s">
        <v>24</v>
      </c>
      <c r="D60" s="21" t="s">
        <v>28</v>
      </c>
      <c r="E60" s="21">
        <v>58.4</v>
      </c>
      <c r="F60" s="23">
        <v>1</v>
      </c>
      <c r="G60" s="23">
        <v>1</v>
      </c>
      <c r="H60" s="21"/>
      <c r="I60" s="21">
        <v>176.1</v>
      </c>
      <c r="J60" s="24">
        <v>25.3</v>
      </c>
      <c r="K60" s="21"/>
      <c r="L60" s="21"/>
    </row>
    <row r="61" spans="1:12" ht="17.25" customHeight="1" x14ac:dyDescent="0.2">
      <c r="A61" s="21">
        <v>60</v>
      </c>
      <c r="B61" s="22" t="s">
        <v>629</v>
      </c>
      <c r="C61" s="22" t="s">
        <v>15</v>
      </c>
      <c r="D61" s="21" t="s">
        <v>69</v>
      </c>
      <c r="E61" s="21">
        <v>59.8</v>
      </c>
      <c r="F61" s="23">
        <v>1</v>
      </c>
      <c r="G61" s="23">
        <v>1</v>
      </c>
      <c r="H61" s="21"/>
      <c r="I61" s="21">
        <v>62.1</v>
      </c>
      <c r="J61" s="24">
        <v>8.1</v>
      </c>
      <c r="K61" s="21"/>
      <c r="L61" s="21"/>
    </row>
    <row r="62" spans="1:12" ht="17.25" customHeight="1" x14ac:dyDescent="0.2">
      <c r="A62" s="21">
        <v>61</v>
      </c>
      <c r="B62" s="22" t="s">
        <v>131</v>
      </c>
      <c r="C62" s="22" t="s">
        <v>132</v>
      </c>
      <c r="D62" s="21" t="s">
        <v>19</v>
      </c>
      <c r="E62" s="21">
        <v>61.1</v>
      </c>
      <c r="F62" s="23">
        <v>1</v>
      </c>
      <c r="G62" s="23">
        <v>1</v>
      </c>
      <c r="H62" s="21">
        <v>635</v>
      </c>
      <c r="I62" s="21"/>
      <c r="J62" s="24">
        <v>15.3</v>
      </c>
      <c r="K62" s="21"/>
      <c r="L62" s="21"/>
    </row>
    <row r="63" spans="1:12" ht="17.25" customHeight="1" x14ac:dyDescent="0.2">
      <c r="A63" s="21">
        <v>62</v>
      </c>
      <c r="B63" s="22" t="s">
        <v>432</v>
      </c>
      <c r="C63" s="22" t="s">
        <v>48</v>
      </c>
      <c r="D63" s="21" t="s">
        <v>69</v>
      </c>
      <c r="E63" s="21">
        <v>62.2</v>
      </c>
      <c r="F63" s="23">
        <v>1</v>
      </c>
      <c r="G63" s="23">
        <v>1</v>
      </c>
      <c r="H63" s="21"/>
      <c r="I63" s="21">
        <v>61</v>
      </c>
      <c r="J63" s="24">
        <v>15.2</v>
      </c>
      <c r="K63" s="21"/>
      <c r="L63" s="21"/>
    </row>
    <row r="64" spans="1:12" ht="17.25" customHeight="1" x14ac:dyDescent="0.2">
      <c r="A64" s="21">
        <v>63</v>
      </c>
      <c r="B64" s="22" t="s">
        <v>198</v>
      </c>
      <c r="C64" s="22" t="s">
        <v>55</v>
      </c>
      <c r="D64" s="21" t="s">
        <v>28</v>
      </c>
      <c r="E64" s="21">
        <v>62.7</v>
      </c>
      <c r="F64" s="23">
        <v>1</v>
      </c>
      <c r="G64" s="23">
        <v>1</v>
      </c>
      <c r="H64" s="21"/>
      <c r="I64" s="21">
        <v>207</v>
      </c>
      <c r="J64" s="24">
        <v>15.4</v>
      </c>
      <c r="K64" s="21"/>
      <c r="L64" s="21"/>
    </row>
    <row r="65" spans="1:12" ht="17.25" customHeight="1" x14ac:dyDescent="0.2">
      <c r="A65" s="21">
        <v>64</v>
      </c>
      <c r="B65" s="22" t="s">
        <v>1403</v>
      </c>
      <c r="C65" s="22" t="s">
        <v>24</v>
      </c>
      <c r="D65" s="21" t="s">
        <v>69</v>
      </c>
      <c r="E65" s="21">
        <v>63.3</v>
      </c>
      <c r="F65" s="23">
        <v>1</v>
      </c>
      <c r="G65" s="23">
        <v>1</v>
      </c>
      <c r="H65" s="21"/>
      <c r="I65" s="21">
        <v>62</v>
      </c>
      <c r="J65" s="24">
        <v>-2.6</v>
      </c>
      <c r="K65" s="21"/>
      <c r="L65" s="21"/>
    </row>
    <row r="66" spans="1:12" ht="17.25" customHeight="1" x14ac:dyDescent="0.2">
      <c r="A66" s="21">
        <v>65</v>
      </c>
      <c r="B66" s="22" t="s">
        <v>450</v>
      </c>
      <c r="C66" s="22" t="s">
        <v>89</v>
      </c>
      <c r="D66" s="21" t="s">
        <v>40</v>
      </c>
      <c r="E66" s="21">
        <v>65</v>
      </c>
      <c r="F66" s="23">
        <v>1</v>
      </c>
      <c r="G66" s="23">
        <v>1</v>
      </c>
      <c r="H66" s="21">
        <v>579</v>
      </c>
      <c r="I66" s="21"/>
      <c r="J66" s="24">
        <v>25.4</v>
      </c>
      <c r="K66" s="21"/>
      <c r="L66" s="21"/>
    </row>
    <row r="67" spans="1:12" ht="17.25" customHeight="1" x14ac:dyDescent="0.2">
      <c r="A67" s="21">
        <v>66</v>
      </c>
      <c r="B67" s="22" t="s">
        <v>95</v>
      </c>
      <c r="C67" s="22" t="s">
        <v>60</v>
      </c>
      <c r="D67" s="21" t="s">
        <v>43</v>
      </c>
      <c r="E67" s="21">
        <v>65.2</v>
      </c>
      <c r="F67" s="23">
        <v>1</v>
      </c>
      <c r="G67" s="23">
        <v>1</v>
      </c>
      <c r="H67" s="21">
        <v>604</v>
      </c>
      <c r="I67" s="21"/>
      <c r="J67" s="24">
        <v>24</v>
      </c>
      <c r="K67" s="21"/>
      <c r="L67" s="21"/>
    </row>
    <row r="68" spans="1:12" ht="17.25" customHeight="1" x14ac:dyDescent="0.2">
      <c r="A68" s="21">
        <v>67</v>
      </c>
      <c r="B68" s="22" t="s">
        <v>285</v>
      </c>
      <c r="C68" s="22" t="s">
        <v>36</v>
      </c>
      <c r="D68" s="21" t="s">
        <v>87</v>
      </c>
      <c r="E68" s="21">
        <v>68.400000000000006</v>
      </c>
      <c r="F68" s="23">
        <v>1</v>
      </c>
      <c r="G68" s="23">
        <v>0.98</v>
      </c>
      <c r="H68" s="21">
        <v>447</v>
      </c>
      <c r="I68" s="21"/>
      <c r="J68" s="24">
        <v>-0.2</v>
      </c>
      <c r="K68" s="21"/>
      <c r="L68" s="21"/>
    </row>
    <row r="69" spans="1:12" ht="17.25" customHeight="1" x14ac:dyDescent="0.2">
      <c r="A69" s="21">
        <v>68</v>
      </c>
      <c r="B69" s="22" t="s">
        <v>107</v>
      </c>
      <c r="C69" s="22" t="s">
        <v>60</v>
      </c>
      <c r="D69" s="21" t="s">
        <v>28</v>
      </c>
      <c r="E69" s="21">
        <v>69.400000000000006</v>
      </c>
      <c r="F69" s="23">
        <v>1</v>
      </c>
      <c r="G69" s="23">
        <v>1</v>
      </c>
      <c r="H69" s="21"/>
      <c r="I69" s="21">
        <v>126</v>
      </c>
      <c r="J69" s="24">
        <v>4.7</v>
      </c>
      <c r="K69" s="21"/>
      <c r="L69" s="21"/>
    </row>
    <row r="70" spans="1:12" ht="17.25" customHeight="1" x14ac:dyDescent="0.2">
      <c r="A70" s="21">
        <v>69</v>
      </c>
      <c r="B70" s="22" t="s">
        <v>205</v>
      </c>
      <c r="C70" s="22" t="s">
        <v>18</v>
      </c>
      <c r="D70" s="21" t="s">
        <v>87</v>
      </c>
      <c r="E70" s="21">
        <v>69.7</v>
      </c>
      <c r="F70" s="23">
        <v>1</v>
      </c>
      <c r="G70" s="23">
        <v>0.98</v>
      </c>
      <c r="H70" s="21">
        <v>666</v>
      </c>
      <c r="I70" s="21"/>
      <c r="J70" s="24">
        <v>17.3</v>
      </c>
      <c r="K70" s="21"/>
      <c r="L70" s="21"/>
    </row>
    <row r="71" spans="1:12" ht="17.25" customHeight="1" x14ac:dyDescent="0.2">
      <c r="A71" s="21">
        <v>70</v>
      </c>
      <c r="B71" s="22" t="s">
        <v>99</v>
      </c>
      <c r="C71" s="22" t="s">
        <v>12</v>
      </c>
      <c r="D71" s="21" t="s">
        <v>82</v>
      </c>
      <c r="E71" s="21">
        <v>70.2</v>
      </c>
      <c r="F71" s="23">
        <v>1</v>
      </c>
      <c r="G71" s="23">
        <v>0.98</v>
      </c>
      <c r="H71" s="21">
        <v>627</v>
      </c>
      <c r="I71" s="21"/>
      <c r="J71" s="24">
        <v>18.399999999999999</v>
      </c>
      <c r="K71" s="21"/>
      <c r="L71" s="21"/>
    </row>
    <row r="72" spans="1:12" ht="17.25" customHeight="1" x14ac:dyDescent="0.2">
      <c r="A72" s="21">
        <v>71</v>
      </c>
      <c r="B72" s="22" t="s">
        <v>223</v>
      </c>
      <c r="C72" s="22" t="s">
        <v>125</v>
      </c>
      <c r="D72" s="21" t="s">
        <v>25</v>
      </c>
      <c r="E72" s="21">
        <v>70.599999999999994</v>
      </c>
      <c r="F72" s="23">
        <v>1</v>
      </c>
      <c r="G72" s="23">
        <v>1</v>
      </c>
      <c r="H72" s="21">
        <v>542</v>
      </c>
      <c r="I72" s="21"/>
      <c r="J72" s="24">
        <v>24.1</v>
      </c>
      <c r="K72" s="21"/>
      <c r="L72" s="21"/>
    </row>
    <row r="73" spans="1:12" ht="17.25" customHeight="1" x14ac:dyDescent="0.2">
      <c r="A73" s="21">
        <v>72</v>
      </c>
      <c r="B73" s="22" t="s">
        <v>355</v>
      </c>
      <c r="C73" s="22" t="s">
        <v>30</v>
      </c>
      <c r="D73" s="21" t="s">
        <v>28</v>
      </c>
      <c r="E73" s="21">
        <v>70.599999999999994</v>
      </c>
      <c r="F73" s="23">
        <v>1</v>
      </c>
      <c r="G73" s="23">
        <v>1</v>
      </c>
      <c r="H73" s="21"/>
      <c r="I73" s="21">
        <v>32</v>
      </c>
      <c r="J73" s="24">
        <v>0.2</v>
      </c>
      <c r="K73" s="21"/>
      <c r="L73" s="21"/>
    </row>
    <row r="74" spans="1:12" ht="17.25" customHeight="1" x14ac:dyDescent="0.2">
      <c r="A74" s="21">
        <v>73</v>
      </c>
      <c r="B74" s="22" t="s">
        <v>71</v>
      </c>
      <c r="C74" s="22" t="s">
        <v>66</v>
      </c>
      <c r="D74" s="21" t="s">
        <v>25</v>
      </c>
      <c r="E74" s="21">
        <v>70.8</v>
      </c>
      <c r="F74" s="23">
        <v>1</v>
      </c>
      <c r="G74" s="23">
        <v>1</v>
      </c>
      <c r="H74" s="21">
        <v>483</v>
      </c>
      <c r="I74" s="21"/>
      <c r="J74" s="24">
        <v>3.1</v>
      </c>
      <c r="K74" s="21"/>
      <c r="L74" s="21"/>
    </row>
    <row r="75" spans="1:12" ht="17.25" customHeight="1" x14ac:dyDescent="0.2">
      <c r="A75" s="21">
        <v>74</v>
      </c>
      <c r="B75" s="22" t="s">
        <v>47</v>
      </c>
      <c r="C75" s="22" t="s">
        <v>48</v>
      </c>
      <c r="D75" s="21" t="s">
        <v>25</v>
      </c>
      <c r="E75" s="21">
        <v>72.599999999999994</v>
      </c>
      <c r="F75" s="23">
        <v>1</v>
      </c>
      <c r="G75" s="23">
        <v>1</v>
      </c>
      <c r="H75" s="21">
        <v>696</v>
      </c>
      <c r="I75" s="21"/>
      <c r="J75" s="24">
        <v>15.4</v>
      </c>
      <c r="K75" s="21"/>
      <c r="L75" s="21"/>
    </row>
    <row r="76" spans="1:12" ht="17.25" customHeight="1" x14ac:dyDescent="0.2">
      <c r="A76" s="21">
        <v>75</v>
      </c>
      <c r="B76" s="22" t="s">
        <v>173</v>
      </c>
      <c r="C76" s="22" t="s">
        <v>125</v>
      </c>
      <c r="D76" s="21" t="s">
        <v>28</v>
      </c>
      <c r="E76" s="21">
        <v>74.3</v>
      </c>
      <c r="F76" s="23">
        <v>1</v>
      </c>
      <c r="G76" s="23">
        <v>0.96</v>
      </c>
      <c r="H76" s="21"/>
      <c r="I76" s="21">
        <v>171</v>
      </c>
      <c r="J76" s="24">
        <v>18.3</v>
      </c>
      <c r="K76" s="21"/>
      <c r="L76" s="21"/>
    </row>
    <row r="77" spans="1:12" ht="17.25" customHeight="1" x14ac:dyDescent="0.2">
      <c r="A77" s="21">
        <v>76</v>
      </c>
      <c r="B77" s="22" t="s">
        <v>1824</v>
      </c>
      <c r="C77" s="22" t="s">
        <v>32</v>
      </c>
      <c r="D77" s="21" t="s">
        <v>28</v>
      </c>
      <c r="E77" s="21">
        <v>74.5</v>
      </c>
      <c r="F77" s="23">
        <v>1</v>
      </c>
      <c r="G77" s="23">
        <v>1</v>
      </c>
      <c r="H77" s="21"/>
      <c r="I77" s="21">
        <v>183.1</v>
      </c>
      <c r="J77" s="24">
        <v>11.2</v>
      </c>
      <c r="K77" s="21"/>
      <c r="L77" s="21"/>
    </row>
    <row r="78" spans="1:12" ht="17.25" customHeight="1" x14ac:dyDescent="0.2">
      <c r="A78" s="21">
        <v>77</v>
      </c>
      <c r="B78" s="22" t="s">
        <v>420</v>
      </c>
      <c r="C78" s="22" t="s">
        <v>52</v>
      </c>
      <c r="D78" s="21" t="s">
        <v>19</v>
      </c>
      <c r="E78" s="21">
        <v>78.099999999999994</v>
      </c>
      <c r="F78" s="23">
        <v>1</v>
      </c>
      <c r="G78" s="23">
        <v>1</v>
      </c>
      <c r="H78" s="21">
        <v>720</v>
      </c>
      <c r="I78" s="21"/>
      <c r="J78" s="24">
        <v>27.2</v>
      </c>
      <c r="K78" s="21"/>
      <c r="L78" s="21"/>
    </row>
    <row r="79" spans="1:12" ht="17.25" customHeight="1" x14ac:dyDescent="0.2">
      <c r="A79" s="21">
        <v>78</v>
      </c>
      <c r="B79" s="22" t="s">
        <v>151</v>
      </c>
      <c r="C79" s="22" t="s">
        <v>15</v>
      </c>
      <c r="D79" s="21" t="s">
        <v>25</v>
      </c>
      <c r="E79" s="21">
        <v>78.099999999999994</v>
      </c>
      <c r="F79" s="23">
        <v>1</v>
      </c>
      <c r="G79" s="23">
        <v>1</v>
      </c>
      <c r="H79" s="21">
        <v>656</v>
      </c>
      <c r="I79" s="21"/>
      <c r="J79" s="24">
        <v>21.7</v>
      </c>
      <c r="K79" s="21"/>
      <c r="L79" s="21"/>
    </row>
    <row r="80" spans="1:12" ht="17.25" customHeight="1" x14ac:dyDescent="0.2">
      <c r="A80" s="21">
        <v>79</v>
      </c>
      <c r="B80" s="22" t="s">
        <v>138</v>
      </c>
      <c r="C80" s="22" t="s">
        <v>27</v>
      </c>
      <c r="D80" s="21" t="s">
        <v>16</v>
      </c>
      <c r="E80" s="21">
        <v>78.599999999999994</v>
      </c>
      <c r="F80" s="23">
        <v>1</v>
      </c>
      <c r="G80" s="23">
        <v>1</v>
      </c>
      <c r="H80" s="21">
        <v>655</v>
      </c>
      <c r="I80" s="21"/>
      <c r="J80" s="24">
        <v>19.8</v>
      </c>
      <c r="K80" s="21"/>
      <c r="L80" s="21"/>
    </row>
    <row r="81" spans="1:12" ht="17.25" customHeight="1" x14ac:dyDescent="0.2">
      <c r="A81" s="21">
        <v>80</v>
      </c>
      <c r="B81" s="22" t="s">
        <v>180</v>
      </c>
      <c r="C81" s="22" t="s">
        <v>18</v>
      </c>
      <c r="D81" s="21" t="s">
        <v>43</v>
      </c>
      <c r="E81" s="21">
        <v>79.3</v>
      </c>
      <c r="F81" s="23">
        <v>1</v>
      </c>
      <c r="G81" s="23">
        <v>0.98</v>
      </c>
      <c r="H81" s="21">
        <v>682</v>
      </c>
      <c r="I81" s="21"/>
      <c r="J81" s="24">
        <v>17.100000000000001</v>
      </c>
      <c r="K81" s="21"/>
      <c r="L81" s="21"/>
    </row>
    <row r="82" spans="1:12" ht="17.25" customHeight="1" x14ac:dyDescent="0.2">
      <c r="A82" s="21">
        <v>81</v>
      </c>
      <c r="B82" s="22" t="s">
        <v>86</v>
      </c>
      <c r="C82" s="22" t="s">
        <v>42</v>
      </c>
      <c r="D82" s="21" t="s">
        <v>28</v>
      </c>
      <c r="E82" s="21">
        <v>79.8</v>
      </c>
      <c r="F82" s="23">
        <v>1</v>
      </c>
      <c r="G82" s="23">
        <v>1</v>
      </c>
      <c r="H82" s="21"/>
      <c r="I82" s="21">
        <v>168</v>
      </c>
      <c r="J82" s="24">
        <v>-1</v>
      </c>
      <c r="K82" s="21"/>
      <c r="L82" s="21"/>
    </row>
    <row r="83" spans="1:12" ht="17.25" customHeight="1" x14ac:dyDescent="0.2">
      <c r="A83" s="21">
        <v>82</v>
      </c>
      <c r="B83" s="22" t="s">
        <v>114</v>
      </c>
      <c r="C83" s="22" t="s">
        <v>30</v>
      </c>
      <c r="D83" s="21" t="s">
        <v>69</v>
      </c>
      <c r="E83" s="21">
        <v>82.5</v>
      </c>
      <c r="F83" s="23">
        <v>1</v>
      </c>
      <c r="G83" s="23">
        <v>1</v>
      </c>
      <c r="H83" s="21"/>
      <c r="I83" s="21">
        <v>56</v>
      </c>
      <c r="J83" s="24">
        <v>-7.6</v>
      </c>
      <c r="K83" s="21"/>
      <c r="L83" s="21"/>
    </row>
    <row r="84" spans="1:12" ht="17.25" customHeight="1" x14ac:dyDescent="0.2">
      <c r="A84" s="21">
        <v>83</v>
      </c>
      <c r="B84" s="22" t="s">
        <v>1372</v>
      </c>
      <c r="C84" s="22" t="s">
        <v>211</v>
      </c>
      <c r="D84" s="21" t="s">
        <v>40</v>
      </c>
      <c r="E84" s="21">
        <v>82.7</v>
      </c>
      <c r="F84" s="23">
        <v>1</v>
      </c>
      <c r="G84" s="23">
        <v>0.98</v>
      </c>
      <c r="H84" s="21">
        <v>585</v>
      </c>
      <c r="I84" s="21"/>
      <c r="J84" s="24">
        <v>15.6</v>
      </c>
      <c r="K84" s="21"/>
      <c r="L84" s="21"/>
    </row>
    <row r="85" spans="1:12" ht="17.25" customHeight="1" x14ac:dyDescent="0.2">
      <c r="A85" s="21">
        <v>84</v>
      </c>
      <c r="B85" s="22" t="s">
        <v>1404</v>
      </c>
      <c r="C85" s="22" t="s">
        <v>211</v>
      </c>
      <c r="D85" s="21" t="s">
        <v>28</v>
      </c>
      <c r="E85" s="21">
        <v>84.7</v>
      </c>
      <c r="F85" s="23">
        <v>1</v>
      </c>
      <c r="G85" s="23">
        <v>1</v>
      </c>
      <c r="H85" s="21"/>
      <c r="I85" s="21">
        <v>95</v>
      </c>
      <c r="J85" s="24">
        <v>4.5</v>
      </c>
      <c r="K85" s="21"/>
      <c r="L85" s="21"/>
    </row>
    <row r="86" spans="1:12" ht="17.25" customHeight="1" x14ac:dyDescent="0.2">
      <c r="A86" s="21">
        <v>85</v>
      </c>
      <c r="B86" s="22" t="s">
        <v>763</v>
      </c>
      <c r="C86" s="22" t="s">
        <v>46</v>
      </c>
      <c r="D86" s="21" t="s">
        <v>135</v>
      </c>
      <c r="E86" s="21">
        <v>86.6</v>
      </c>
      <c r="F86" s="23">
        <v>1</v>
      </c>
      <c r="G86" s="23">
        <v>0.98</v>
      </c>
      <c r="H86" s="21">
        <v>624</v>
      </c>
      <c r="I86" s="21"/>
      <c r="J86" s="24">
        <v>16.5</v>
      </c>
      <c r="K86" s="21"/>
      <c r="L86" s="21"/>
    </row>
    <row r="87" spans="1:12" ht="17.25" customHeight="1" x14ac:dyDescent="0.2">
      <c r="A87" s="21">
        <v>86</v>
      </c>
      <c r="B87" s="22" t="s">
        <v>1235</v>
      </c>
      <c r="C87" s="22" t="s">
        <v>36</v>
      </c>
      <c r="D87" s="21" t="s">
        <v>74</v>
      </c>
      <c r="E87" s="21">
        <v>88.3</v>
      </c>
      <c r="F87" s="23">
        <v>1</v>
      </c>
      <c r="G87" s="23">
        <v>1</v>
      </c>
      <c r="H87" s="21">
        <v>446</v>
      </c>
      <c r="I87" s="21"/>
      <c r="J87" s="24">
        <v>15.9</v>
      </c>
      <c r="K87" s="21"/>
      <c r="L87" s="21"/>
    </row>
    <row r="88" spans="1:12" ht="17.25" customHeight="1" x14ac:dyDescent="0.2">
      <c r="A88" s="21">
        <v>87</v>
      </c>
      <c r="B88" s="22" t="s">
        <v>227</v>
      </c>
      <c r="C88" s="22" t="s">
        <v>60</v>
      </c>
      <c r="D88" s="21" t="s">
        <v>25</v>
      </c>
      <c r="E88" s="21">
        <v>88.9</v>
      </c>
      <c r="F88" s="23">
        <v>1</v>
      </c>
      <c r="G88" s="23">
        <v>1</v>
      </c>
      <c r="H88" s="21">
        <v>709</v>
      </c>
      <c r="I88" s="21"/>
      <c r="J88" s="24">
        <v>17.899999999999999</v>
      </c>
      <c r="K88" s="21"/>
      <c r="L88" s="21"/>
    </row>
    <row r="89" spans="1:12" ht="17.25" customHeight="1" x14ac:dyDescent="0.2">
      <c r="A89" s="21">
        <v>88</v>
      </c>
      <c r="B89" s="22" t="s">
        <v>85</v>
      </c>
      <c r="C89" s="22" t="s">
        <v>27</v>
      </c>
      <c r="D89" s="21" t="s">
        <v>28</v>
      </c>
      <c r="E89" s="21">
        <v>90</v>
      </c>
      <c r="F89" s="23">
        <v>1</v>
      </c>
      <c r="G89" s="23">
        <v>1</v>
      </c>
      <c r="H89" s="21"/>
      <c r="I89" s="21">
        <v>192</v>
      </c>
      <c r="J89" s="24">
        <v>8.5</v>
      </c>
      <c r="K89" s="21"/>
      <c r="L89" s="21"/>
    </row>
    <row r="90" spans="1:12" ht="17.25" customHeight="1" x14ac:dyDescent="0.2">
      <c r="A90" s="21">
        <v>89</v>
      </c>
      <c r="B90" s="22" t="s">
        <v>161</v>
      </c>
      <c r="C90" s="22" t="s">
        <v>50</v>
      </c>
      <c r="D90" s="21" t="s">
        <v>69</v>
      </c>
      <c r="E90" s="21">
        <v>91.3</v>
      </c>
      <c r="F90" s="23">
        <v>1</v>
      </c>
      <c r="G90" s="23">
        <v>0.8</v>
      </c>
      <c r="H90" s="21"/>
      <c r="I90" s="21">
        <v>52.1</v>
      </c>
      <c r="J90" s="24">
        <v>9.6</v>
      </c>
      <c r="K90" s="21"/>
      <c r="L90" s="21"/>
    </row>
    <row r="91" spans="1:12" ht="17.25" customHeight="1" x14ac:dyDescent="0.2">
      <c r="A91" s="21">
        <v>90</v>
      </c>
      <c r="B91" s="22" t="s">
        <v>1405</v>
      </c>
      <c r="C91" s="22" t="s">
        <v>24</v>
      </c>
      <c r="D91" s="21" t="s">
        <v>28</v>
      </c>
      <c r="E91" s="21">
        <v>92.4</v>
      </c>
      <c r="F91" s="23">
        <v>1</v>
      </c>
      <c r="G91" s="23">
        <v>1</v>
      </c>
      <c r="H91" s="21"/>
      <c r="I91" s="21">
        <v>48</v>
      </c>
      <c r="J91" s="24">
        <v>5.3</v>
      </c>
      <c r="K91" s="21"/>
      <c r="L91" s="21"/>
    </row>
    <row r="92" spans="1:12" ht="17.25" customHeight="1" x14ac:dyDescent="0.2">
      <c r="A92" s="21">
        <v>91</v>
      </c>
      <c r="B92" s="22" t="s">
        <v>1373</v>
      </c>
      <c r="C92" s="22" t="s">
        <v>50</v>
      </c>
      <c r="D92" s="21" t="s">
        <v>19</v>
      </c>
      <c r="E92" s="21">
        <v>92.4</v>
      </c>
      <c r="F92" s="23">
        <v>1</v>
      </c>
      <c r="G92" s="23">
        <v>0.96</v>
      </c>
      <c r="H92" s="21">
        <v>543</v>
      </c>
      <c r="I92" s="21"/>
      <c r="J92" s="24">
        <v>14.6</v>
      </c>
      <c r="K92" s="21"/>
      <c r="L92" s="21"/>
    </row>
    <row r="93" spans="1:12" ht="17.25" customHeight="1" x14ac:dyDescent="0.2">
      <c r="A93" s="21">
        <v>92</v>
      </c>
      <c r="B93" s="22" t="s">
        <v>128</v>
      </c>
      <c r="C93" s="22" t="s">
        <v>57</v>
      </c>
      <c r="D93" s="21" t="s">
        <v>25</v>
      </c>
      <c r="E93" s="21">
        <v>94.1</v>
      </c>
      <c r="F93" s="23">
        <v>1</v>
      </c>
      <c r="G93" s="23">
        <v>1</v>
      </c>
      <c r="H93" s="21">
        <v>544</v>
      </c>
      <c r="I93" s="21"/>
      <c r="J93" s="24">
        <v>5.9</v>
      </c>
      <c r="K93" s="21"/>
      <c r="L93" s="21"/>
    </row>
    <row r="94" spans="1:12" ht="17.25" customHeight="1" x14ac:dyDescent="0.2">
      <c r="A94" s="21">
        <v>93</v>
      </c>
      <c r="B94" s="22" t="s">
        <v>61</v>
      </c>
      <c r="C94" s="22" t="s">
        <v>18</v>
      </c>
      <c r="D94" s="21" t="s">
        <v>62</v>
      </c>
      <c r="E94" s="21">
        <v>94.3</v>
      </c>
      <c r="F94" s="23">
        <v>1</v>
      </c>
      <c r="G94" s="23">
        <v>1</v>
      </c>
      <c r="H94" s="21">
        <v>641</v>
      </c>
      <c r="I94" s="21"/>
      <c r="J94" s="24">
        <v>16.7</v>
      </c>
      <c r="K94" s="21"/>
      <c r="L94" s="21"/>
    </row>
    <row r="95" spans="1:12" ht="17.25" customHeight="1" x14ac:dyDescent="0.2">
      <c r="A95" s="21">
        <v>94</v>
      </c>
      <c r="B95" s="22" t="s">
        <v>264</v>
      </c>
      <c r="C95" s="22" t="s">
        <v>42</v>
      </c>
      <c r="D95" s="21" t="s">
        <v>16</v>
      </c>
      <c r="E95" s="21">
        <v>94.7</v>
      </c>
      <c r="F95" s="23">
        <v>1</v>
      </c>
      <c r="G95" s="23">
        <v>0.95</v>
      </c>
      <c r="H95" s="21">
        <v>586</v>
      </c>
      <c r="I95" s="21"/>
      <c r="J95" s="24">
        <v>29.3</v>
      </c>
      <c r="K95" s="21"/>
      <c r="L95" s="21"/>
    </row>
    <row r="96" spans="1:12" ht="17.25" customHeight="1" x14ac:dyDescent="0.2">
      <c r="A96" s="21">
        <v>95</v>
      </c>
      <c r="B96" s="22" t="s">
        <v>262</v>
      </c>
      <c r="C96" s="22" t="s">
        <v>18</v>
      </c>
      <c r="D96" s="21" t="s">
        <v>69</v>
      </c>
      <c r="E96" s="21">
        <v>95</v>
      </c>
      <c r="F96" s="23">
        <v>1</v>
      </c>
      <c r="G96" s="23">
        <v>1</v>
      </c>
      <c r="H96" s="21"/>
      <c r="I96" s="21">
        <v>66</v>
      </c>
      <c r="J96" s="24">
        <v>8.3000000000000007</v>
      </c>
      <c r="K96" s="21"/>
      <c r="L96" s="21"/>
    </row>
    <row r="97" spans="1:12" ht="17.25" customHeight="1" x14ac:dyDescent="0.2">
      <c r="A97" s="21">
        <v>96</v>
      </c>
      <c r="B97" s="22" t="s">
        <v>275</v>
      </c>
      <c r="C97" s="22" t="s">
        <v>66</v>
      </c>
      <c r="D97" s="21" t="s">
        <v>28</v>
      </c>
      <c r="E97" s="21">
        <v>95.4</v>
      </c>
      <c r="F97" s="23">
        <v>1</v>
      </c>
      <c r="G97" s="23">
        <v>1</v>
      </c>
      <c r="H97" s="21"/>
      <c r="I97" s="21">
        <v>181.1</v>
      </c>
      <c r="J97" s="24">
        <v>23.4</v>
      </c>
      <c r="K97" s="21"/>
      <c r="L97" s="21"/>
    </row>
    <row r="98" spans="1:12" ht="17.25" customHeight="1" x14ac:dyDescent="0.2">
      <c r="A98" s="21">
        <v>97</v>
      </c>
      <c r="B98" s="22" t="s">
        <v>105</v>
      </c>
      <c r="C98" s="22" t="s">
        <v>64</v>
      </c>
      <c r="D98" s="21" t="s">
        <v>16</v>
      </c>
      <c r="E98" s="21">
        <v>95.5</v>
      </c>
      <c r="F98" s="23">
        <v>1</v>
      </c>
      <c r="G98" s="23">
        <v>1</v>
      </c>
      <c r="H98" s="21">
        <v>651</v>
      </c>
      <c r="I98" s="21"/>
      <c r="J98" s="24">
        <v>14.7</v>
      </c>
      <c r="K98" s="21"/>
      <c r="L98" s="21"/>
    </row>
    <row r="99" spans="1:12" ht="17.25" customHeight="1" x14ac:dyDescent="0.2">
      <c r="A99" s="21">
        <v>98</v>
      </c>
      <c r="B99" s="22" t="s">
        <v>121</v>
      </c>
      <c r="C99" s="22" t="s">
        <v>36</v>
      </c>
      <c r="D99" s="21" t="s">
        <v>69</v>
      </c>
      <c r="E99" s="21">
        <v>95.9</v>
      </c>
      <c r="F99" s="23">
        <v>1</v>
      </c>
      <c r="G99" s="23">
        <v>0.96</v>
      </c>
      <c r="H99" s="21"/>
      <c r="I99" s="21">
        <v>67</v>
      </c>
      <c r="J99" s="24">
        <v>4.8</v>
      </c>
      <c r="K99" s="21"/>
      <c r="L99" s="21"/>
    </row>
    <row r="100" spans="1:12" ht="17.25" customHeight="1" x14ac:dyDescent="0.2">
      <c r="A100" s="21">
        <v>99</v>
      </c>
      <c r="B100" s="22" t="s">
        <v>1119</v>
      </c>
      <c r="C100" s="22" t="s">
        <v>36</v>
      </c>
      <c r="D100" s="21" t="s">
        <v>28</v>
      </c>
      <c r="E100" s="21">
        <v>99</v>
      </c>
      <c r="F100" s="23">
        <v>1</v>
      </c>
      <c r="G100" s="23">
        <v>1</v>
      </c>
      <c r="H100" s="21"/>
      <c r="I100" s="21">
        <v>125</v>
      </c>
      <c r="J100" s="24">
        <v>-4.2</v>
      </c>
      <c r="K100" s="21"/>
      <c r="L100" s="21"/>
    </row>
    <row r="101" spans="1:12" ht="17.25" customHeight="1" x14ac:dyDescent="0.2">
      <c r="A101" s="21">
        <v>100</v>
      </c>
      <c r="B101" s="22" t="s">
        <v>139</v>
      </c>
      <c r="C101" s="22" t="s">
        <v>140</v>
      </c>
      <c r="D101" s="21" t="s">
        <v>19</v>
      </c>
      <c r="E101" s="21">
        <v>99.5</v>
      </c>
      <c r="F101" s="23">
        <v>1</v>
      </c>
      <c r="G101" s="23">
        <v>0.98</v>
      </c>
      <c r="H101" s="21">
        <v>445</v>
      </c>
      <c r="I101" s="21"/>
      <c r="J101" s="24">
        <v>3.3</v>
      </c>
      <c r="K101" s="21"/>
      <c r="L101" s="21"/>
    </row>
    <row r="102" spans="1:12" ht="17.25" customHeight="1" x14ac:dyDescent="0.2">
      <c r="A102" s="21">
        <v>101</v>
      </c>
      <c r="B102" s="22" t="s">
        <v>730</v>
      </c>
      <c r="C102" s="22" t="s">
        <v>24</v>
      </c>
      <c r="D102" s="21" t="s">
        <v>19</v>
      </c>
      <c r="E102" s="21">
        <v>99.7</v>
      </c>
      <c r="F102" s="23">
        <v>1</v>
      </c>
      <c r="G102" s="23">
        <v>1</v>
      </c>
      <c r="H102" s="21">
        <v>628</v>
      </c>
      <c r="I102" s="21"/>
      <c r="J102" s="24">
        <v>19.3</v>
      </c>
      <c r="K102" s="21"/>
      <c r="L102" s="21"/>
    </row>
    <row r="103" spans="1:12" ht="17.25" customHeight="1" x14ac:dyDescent="0.2">
      <c r="A103" s="21">
        <v>102</v>
      </c>
      <c r="B103" s="22" t="s">
        <v>272</v>
      </c>
      <c r="C103" s="22" t="s">
        <v>36</v>
      </c>
      <c r="D103" s="21" t="s">
        <v>25</v>
      </c>
      <c r="E103" s="21">
        <v>100.5</v>
      </c>
      <c r="F103" s="23">
        <v>1</v>
      </c>
      <c r="G103" s="23">
        <v>1</v>
      </c>
      <c r="H103" s="21">
        <v>641</v>
      </c>
      <c r="I103" s="21"/>
      <c r="J103" s="24">
        <v>9.6</v>
      </c>
      <c r="K103" s="21"/>
      <c r="L103" s="21"/>
    </row>
    <row r="104" spans="1:12" ht="17.25" customHeight="1" x14ac:dyDescent="0.2">
      <c r="A104" s="21">
        <v>103</v>
      </c>
      <c r="B104" s="22" t="s">
        <v>1406</v>
      </c>
      <c r="C104" s="22" t="s">
        <v>34</v>
      </c>
      <c r="D104" s="21" t="s">
        <v>238</v>
      </c>
      <c r="E104" s="21">
        <v>102.2</v>
      </c>
      <c r="F104" s="23">
        <v>1</v>
      </c>
      <c r="G104" s="23">
        <v>1</v>
      </c>
      <c r="H104" s="21"/>
      <c r="I104" s="21">
        <v>43</v>
      </c>
      <c r="J104" s="24">
        <v>-4.7</v>
      </c>
      <c r="K104" s="21"/>
      <c r="L104" s="21"/>
    </row>
    <row r="105" spans="1:12" ht="17.25" customHeight="1" x14ac:dyDescent="0.2">
      <c r="A105" s="21">
        <v>104</v>
      </c>
      <c r="B105" s="22" t="s">
        <v>109</v>
      </c>
      <c r="C105" s="22" t="s">
        <v>12</v>
      </c>
      <c r="D105" s="21" t="s">
        <v>74</v>
      </c>
      <c r="E105" s="21">
        <v>104.4</v>
      </c>
      <c r="F105" s="23">
        <v>1</v>
      </c>
      <c r="G105" s="23">
        <v>1</v>
      </c>
      <c r="H105" s="21">
        <v>436</v>
      </c>
      <c r="I105" s="21"/>
      <c r="J105" s="24">
        <v>16.100000000000001</v>
      </c>
      <c r="K105" s="21"/>
      <c r="L105" s="21"/>
    </row>
    <row r="106" spans="1:12" ht="17.25" customHeight="1" x14ac:dyDescent="0.2">
      <c r="A106" s="21">
        <v>105</v>
      </c>
      <c r="B106" s="22" t="s">
        <v>391</v>
      </c>
      <c r="C106" s="22" t="s">
        <v>24</v>
      </c>
      <c r="D106" s="21" t="s">
        <v>25</v>
      </c>
      <c r="E106" s="21">
        <v>104.7</v>
      </c>
      <c r="F106" s="23">
        <v>1</v>
      </c>
      <c r="G106" s="23">
        <v>1</v>
      </c>
      <c r="H106" s="21">
        <v>431</v>
      </c>
      <c r="I106" s="21"/>
      <c r="J106" s="24">
        <v>3.7</v>
      </c>
      <c r="K106" s="21"/>
      <c r="L106" s="21"/>
    </row>
    <row r="107" spans="1:12" ht="17.25" customHeight="1" x14ac:dyDescent="0.2">
      <c r="A107" s="21">
        <v>106</v>
      </c>
      <c r="B107" s="22" t="s">
        <v>1374</v>
      </c>
      <c r="C107" s="22" t="s">
        <v>34</v>
      </c>
      <c r="D107" s="21" t="s">
        <v>87</v>
      </c>
      <c r="E107" s="21">
        <v>104.9</v>
      </c>
      <c r="F107" s="23">
        <v>1</v>
      </c>
      <c r="G107" s="23">
        <v>1</v>
      </c>
      <c r="H107" s="21">
        <v>657</v>
      </c>
      <c r="I107" s="21"/>
      <c r="J107" s="24">
        <v>21.5</v>
      </c>
      <c r="K107" s="21"/>
      <c r="L107" s="21"/>
    </row>
    <row r="108" spans="1:12" ht="17.25" customHeight="1" x14ac:dyDescent="0.2">
      <c r="A108" s="21">
        <v>107</v>
      </c>
      <c r="B108" s="22" t="s">
        <v>855</v>
      </c>
      <c r="C108" s="22" t="s">
        <v>48</v>
      </c>
      <c r="D108" s="21" t="s">
        <v>19</v>
      </c>
      <c r="E108" s="21">
        <v>106</v>
      </c>
      <c r="F108" s="23">
        <v>1</v>
      </c>
      <c r="G108" s="23">
        <v>1</v>
      </c>
      <c r="H108" s="21">
        <v>654</v>
      </c>
      <c r="I108" s="21"/>
      <c r="J108" s="24">
        <v>23.7</v>
      </c>
      <c r="K108" s="21"/>
      <c r="L108" s="21"/>
    </row>
    <row r="109" spans="1:12" ht="17.25" customHeight="1" x14ac:dyDescent="0.2">
      <c r="A109" s="21">
        <v>108</v>
      </c>
      <c r="B109" s="22" t="s">
        <v>156</v>
      </c>
      <c r="C109" s="22" t="s">
        <v>64</v>
      </c>
      <c r="D109" s="21" t="s">
        <v>78</v>
      </c>
      <c r="E109" s="21">
        <v>107</v>
      </c>
      <c r="F109" s="23">
        <v>1</v>
      </c>
      <c r="G109" s="23">
        <v>0.98</v>
      </c>
      <c r="H109" s="21">
        <v>649</v>
      </c>
      <c r="I109" s="21"/>
      <c r="J109" s="24">
        <v>17.600000000000001</v>
      </c>
      <c r="K109" s="21"/>
      <c r="L109" s="21"/>
    </row>
    <row r="110" spans="1:12" ht="17.25" customHeight="1" x14ac:dyDescent="0.2">
      <c r="A110" s="21">
        <v>109</v>
      </c>
      <c r="B110" s="22" t="s">
        <v>249</v>
      </c>
      <c r="C110" s="22" t="s">
        <v>64</v>
      </c>
      <c r="D110" s="21" t="s">
        <v>82</v>
      </c>
      <c r="E110" s="21">
        <v>108.9</v>
      </c>
      <c r="F110" s="23">
        <v>1</v>
      </c>
      <c r="G110" s="23">
        <v>1</v>
      </c>
      <c r="H110" s="21">
        <v>592</v>
      </c>
      <c r="I110" s="21"/>
      <c r="J110" s="24">
        <v>15.4</v>
      </c>
      <c r="K110" s="21"/>
      <c r="L110" s="21"/>
    </row>
    <row r="111" spans="1:12" ht="17.25" customHeight="1" x14ac:dyDescent="0.2">
      <c r="A111" s="21">
        <v>110</v>
      </c>
      <c r="B111" s="22" t="s">
        <v>1407</v>
      </c>
      <c r="C111" s="22" t="s">
        <v>39</v>
      </c>
      <c r="D111" s="21" t="s">
        <v>28</v>
      </c>
      <c r="E111" s="21">
        <v>109.2</v>
      </c>
      <c r="F111" s="23">
        <v>1</v>
      </c>
      <c r="G111" s="23">
        <v>0.91</v>
      </c>
      <c r="H111" s="21"/>
      <c r="I111" s="21">
        <v>64.099999999999994</v>
      </c>
      <c r="J111" s="24">
        <v>8.1</v>
      </c>
      <c r="K111" s="21"/>
      <c r="L111" s="21"/>
    </row>
    <row r="112" spans="1:12" ht="17.25" customHeight="1" x14ac:dyDescent="0.2">
      <c r="A112" s="21">
        <v>111</v>
      </c>
      <c r="B112" s="22" t="s">
        <v>652</v>
      </c>
      <c r="C112" s="22" t="s">
        <v>34</v>
      </c>
      <c r="D112" s="21" t="s">
        <v>69</v>
      </c>
      <c r="E112" s="21">
        <v>110</v>
      </c>
      <c r="F112" s="23">
        <v>1</v>
      </c>
      <c r="G112" s="23">
        <v>1</v>
      </c>
      <c r="H112" s="21"/>
      <c r="I112" s="21">
        <v>68.099999999999994</v>
      </c>
      <c r="J112" s="24">
        <v>6.4</v>
      </c>
      <c r="K112" s="21"/>
      <c r="L112" s="21"/>
    </row>
    <row r="113" spans="1:12" ht="17.25" customHeight="1" x14ac:dyDescent="0.2">
      <c r="A113" s="21">
        <v>112</v>
      </c>
      <c r="B113" s="22" t="s">
        <v>305</v>
      </c>
      <c r="C113" s="22" t="s">
        <v>42</v>
      </c>
      <c r="D113" s="21" t="s">
        <v>69</v>
      </c>
      <c r="E113" s="21">
        <v>111.4</v>
      </c>
      <c r="F113" s="23">
        <v>1</v>
      </c>
      <c r="G113" s="23">
        <v>1</v>
      </c>
      <c r="H113" s="21"/>
      <c r="I113" s="21">
        <v>68</v>
      </c>
      <c r="J113" s="24">
        <v>5.0999999999999996</v>
      </c>
      <c r="K113" s="21"/>
      <c r="L113" s="21"/>
    </row>
    <row r="114" spans="1:12" ht="17.25" customHeight="1" x14ac:dyDescent="0.2">
      <c r="A114" s="21">
        <v>113</v>
      </c>
      <c r="B114" s="22" t="s">
        <v>70</v>
      </c>
      <c r="C114" s="22" t="s">
        <v>50</v>
      </c>
      <c r="D114" s="21" t="s">
        <v>40</v>
      </c>
      <c r="E114" s="21">
        <v>112.3</v>
      </c>
      <c r="F114" s="23">
        <v>1</v>
      </c>
      <c r="G114" s="23">
        <v>1</v>
      </c>
      <c r="H114" s="21">
        <v>567</v>
      </c>
      <c r="I114" s="21"/>
      <c r="J114" s="24">
        <v>12.8</v>
      </c>
      <c r="K114" s="21"/>
      <c r="L114" s="21"/>
    </row>
    <row r="115" spans="1:12" ht="17.25" customHeight="1" x14ac:dyDescent="0.2">
      <c r="A115" s="21">
        <v>114</v>
      </c>
      <c r="B115" s="22" t="s">
        <v>418</v>
      </c>
      <c r="C115" s="22" t="s">
        <v>211</v>
      </c>
      <c r="D115" s="21" t="s">
        <v>69</v>
      </c>
      <c r="E115" s="21">
        <v>113.9</v>
      </c>
      <c r="F115" s="23">
        <v>1</v>
      </c>
      <c r="G115" s="23">
        <v>0.98</v>
      </c>
      <c r="H115" s="21"/>
      <c r="I115" s="21">
        <v>60</v>
      </c>
      <c r="J115" s="24">
        <v>3.5</v>
      </c>
      <c r="K115" s="21"/>
      <c r="L115" s="21"/>
    </row>
    <row r="116" spans="1:12" ht="17.25" customHeight="1" x14ac:dyDescent="0.2">
      <c r="A116" s="21">
        <v>115</v>
      </c>
      <c r="B116" s="22" t="s">
        <v>191</v>
      </c>
      <c r="C116" s="22" t="s">
        <v>12</v>
      </c>
      <c r="D116" s="21" t="s">
        <v>28</v>
      </c>
      <c r="E116" s="21">
        <v>117.3</v>
      </c>
      <c r="F116" s="23">
        <v>1</v>
      </c>
      <c r="G116" s="23">
        <v>0.62</v>
      </c>
      <c r="H116" s="21"/>
      <c r="I116" s="21">
        <v>61</v>
      </c>
      <c r="J116" s="24">
        <v>3.7</v>
      </c>
      <c r="K116" s="21"/>
      <c r="L116" s="21"/>
    </row>
    <row r="117" spans="1:12" ht="17.25" customHeight="1" x14ac:dyDescent="0.2">
      <c r="A117" s="21">
        <v>116</v>
      </c>
      <c r="B117" s="22" t="s">
        <v>77</v>
      </c>
      <c r="C117" s="22" t="s">
        <v>50</v>
      </c>
      <c r="D117" s="21" t="s">
        <v>541</v>
      </c>
      <c r="E117" s="21">
        <v>118.6</v>
      </c>
      <c r="F117" s="23">
        <v>1</v>
      </c>
      <c r="G117" s="23">
        <v>1</v>
      </c>
      <c r="H117" s="21">
        <v>654</v>
      </c>
      <c r="I117" s="21"/>
      <c r="J117" s="24">
        <v>14.1</v>
      </c>
      <c r="K117" s="21"/>
      <c r="L117" s="21"/>
    </row>
    <row r="118" spans="1:12" ht="17.25" customHeight="1" x14ac:dyDescent="0.2">
      <c r="A118" s="21">
        <v>117</v>
      </c>
      <c r="B118" s="22" t="s">
        <v>31</v>
      </c>
      <c r="C118" s="22" t="s">
        <v>32</v>
      </c>
      <c r="D118" s="21" t="s">
        <v>28</v>
      </c>
      <c r="E118" s="21">
        <v>119.1</v>
      </c>
      <c r="F118" s="23">
        <v>1</v>
      </c>
      <c r="G118" s="23">
        <v>0.6</v>
      </c>
      <c r="H118" s="21"/>
      <c r="I118" s="21">
        <v>149.1</v>
      </c>
      <c r="J118" s="24">
        <v>22.6</v>
      </c>
      <c r="K118" s="21"/>
      <c r="L118" s="21"/>
    </row>
    <row r="119" spans="1:12" ht="17.25" customHeight="1" x14ac:dyDescent="0.2">
      <c r="A119" s="21">
        <v>118</v>
      </c>
      <c r="B119" s="22" t="s">
        <v>119</v>
      </c>
      <c r="C119" s="22" t="s">
        <v>12</v>
      </c>
      <c r="D119" s="21" t="s">
        <v>28</v>
      </c>
      <c r="E119" s="21">
        <v>120.1</v>
      </c>
      <c r="F119" s="23">
        <v>1</v>
      </c>
      <c r="G119" s="23">
        <v>1</v>
      </c>
      <c r="H119" s="21"/>
      <c r="I119" s="21">
        <v>90</v>
      </c>
      <c r="J119" s="24">
        <v>5</v>
      </c>
      <c r="K119" s="21"/>
      <c r="L119" s="21"/>
    </row>
    <row r="120" spans="1:12" ht="17.25" customHeight="1" x14ac:dyDescent="0.2">
      <c r="A120" s="21">
        <v>119</v>
      </c>
      <c r="B120" s="22" t="s">
        <v>209</v>
      </c>
      <c r="C120" s="22" t="s">
        <v>42</v>
      </c>
      <c r="D120" s="21" t="s">
        <v>28</v>
      </c>
      <c r="E120" s="21">
        <v>121</v>
      </c>
      <c r="F120" s="23">
        <v>1</v>
      </c>
      <c r="G120" s="23">
        <v>1</v>
      </c>
      <c r="H120" s="21"/>
      <c r="I120" s="21">
        <v>193</v>
      </c>
      <c r="J120" s="24">
        <v>13.5</v>
      </c>
      <c r="K120" s="21"/>
      <c r="L120" s="21"/>
    </row>
    <row r="121" spans="1:12" ht="17.25" customHeight="1" x14ac:dyDescent="0.2">
      <c r="A121" s="21">
        <v>120</v>
      </c>
      <c r="B121" s="22" t="s">
        <v>143</v>
      </c>
      <c r="C121" s="22" t="s">
        <v>64</v>
      </c>
      <c r="D121" s="21" t="s">
        <v>87</v>
      </c>
      <c r="E121" s="21">
        <v>121.1</v>
      </c>
      <c r="F121" s="23">
        <v>1</v>
      </c>
      <c r="G121" s="23">
        <v>1</v>
      </c>
      <c r="H121" s="21">
        <v>495</v>
      </c>
      <c r="I121" s="21"/>
      <c r="J121" s="24">
        <v>4.5</v>
      </c>
      <c r="K121" s="21"/>
      <c r="L121" s="21"/>
    </row>
    <row r="122" spans="1:12" ht="17.25" customHeight="1" x14ac:dyDescent="0.2">
      <c r="A122" s="21">
        <v>121</v>
      </c>
      <c r="B122" s="22" t="s">
        <v>1408</v>
      </c>
      <c r="C122" s="22" t="s">
        <v>12</v>
      </c>
      <c r="D122" s="21" t="s">
        <v>28</v>
      </c>
      <c r="E122" s="21">
        <v>122</v>
      </c>
      <c r="F122" s="23">
        <v>1</v>
      </c>
      <c r="G122" s="23">
        <v>0.98</v>
      </c>
      <c r="H122" s="21"/>
      <c r="I122" s="21">
        <v>73</v>
      </c>
      <c r="J122" s="24">
        <v>8.4</v>
      </c>
      <c r="K122" s="21"/>
      <c r="L122" s="21"/>
    </row>
    <row r="123" spans="1:12" ht="17.25" customHeight="1" x14ac:dyDescent="0.2">
      <c r="A123" s="21">
        <v>122</v>
      </c>
      <c r="B123" s="22" t="s">
        <v>300</v>
      </c>
      <c r="C123" s="22" t="s">
        <v>117</v>
      </c>
      <c r="D123" s="21" t="s">
        <v>25</v>
      </c>
      <c r="E123" s="21">
        <v>122.2</v>
      </c>
      <c r="F123" s="23">
        <v>1</v>
      </c>
      <c r="G123" s="23">
        <v>1</v>
      </c>
      <c r="H123" s="21">
        <v>573</v>
      </c>
      <c r="I123" s="21"/>
      <c r="J123" s="24">
        <v>12.3</v>
      </c>
      <c r="K123" s="21"/>
      <c r="L123" s="21"/>
    </row>
    <row r="124" spans="1:12" ht="17.25" customHeight="1" x14ac:dyDescent="0.2">
      <c r="A124" s="21">
        <v>123</v>
      </c>
      <c r="B124" s="22" t="s">
        <v>1409</v>
      </c>
      <c r="C124" s="22" t="s">
        <v>64</v>
      </c>
      <c r="D124" s="21" t="s">
        <v>69</v>
      </c>
      <c r="E124" s="21">
        <v>122.8</v>
      </c>
      <c r="F124" s="23">
        <v>1</v>
      </c>
      <c r="G124" s="23">
        <v>1</v>
      </c>
      <c r="H124" s="21"/>
      <c r="I124" s="21">
        <v>52.1</v>
      </c>
      <c r="J124" s="24">
        <v>-1.5</v>
      </c>
      <c r="K124" s="21"/>
      <c r="L124" s="21"/>
    </row>
    <row r="125" spans="1:12" ht="17.25" customHeight="1" x14ac:dyDescent="0.2">
      <c r="A125" s="21">
        <v>124</v>
      </c>
      <c r="B125" s="22" t="s">
        <v>1410</v>
      </c>
      <c r="C125" s="22" t="s">
        <v>39</v>
      </c>
      <c r="D125" s="21" t="s">
        <v>28</v>
      </c>
      <c r="E125" s="21">
        <v>123.3</v>
      </c>
      <c r="F125" s="23">
        <v>1</v>
      </c>
      <c r="G125" s="23">
        <v>0.98</v>
      </c>
      <c r="H125" s="21"/>
      <c r="I125" s="21">
        <v>66</v>
      </c>
      <c r="J125" s="24">
        <v>-0.1</v>
      </c>
      <c r="K125" s="21"/>
      <c r="L125" s="21"/>
    </row>
    <row r="126" spans="1:12" ht="17.25" customHeight="1" x14ac:dyDescent="0.2">
      <c r="A126" s="21">
        <v>125</v>
      </c>
      <c r="B126" s="22" t="s">
        <v>104</v>
      </c>
      <c r="C126" s="22" t="s">
        <v>66</v>
      </c>
      <c r="D126" s="21" t="s">
        <v>28</v>
      </c>
      <c r="E126" s="21">
        <v>125.5</v>
      </c>
      <c r="F126" s="23">
        <v>1</v>
      </c>
      <c r="G126" s="23">
        <v>1</v>
      </c>
      <c r="H126" s="21"/>
      <c r="I126" s="21">
        <v>73</v>
      </c>
      <c r="J126" s="24">
        <v>1.8</v>
      </c>
      <c r="K126" s="21"/>
      <c r="L126" s="21"/>
    </row>
    <row r="127" spans="1:12" ht="17.25" customHeight="1" x14ac:dyDescent="0.2">
      <c r="A127" s="21">
        <v>126</v>
      </c>
      <c r="B127" s="22" t="s">
        <v>1411</v>
      </c>
      <c r="C127" s="22" t="s">
        <v>15</v>
      </c>
      <c r="D127" s="21" t="s">
        <v>28</v>
      </c>
      <c r="E127" s="21">
        <v>125.7</v>
      </c>
      <c r="F127" s="23">
        <v>1</v>
      </c>
      <c r="G127" s="23">
        <v>0.98</v>
      </c>
      <c r="H127" s="21"/>
      <c r="I127" s="21">
        <v>73</v>
      </c>
      <c r="J127" s="24">
        <v>2.6</v>
      </c>
      <c r="K127" s="21"/>
      <c r="L127" s="21"/>
    </row>
    <row r="128" spans="1:12" ht="17.25" customHeight="1" x14ac:dyDescent="0.2">
      <c r="A128" s="21">
        <v>127</v>
      </c>
      <c r="B128" s="22" t="s">
        <v>261</v>
      </c>
      <c r="C128" s="22" t="s">
        <v>39</v>
      </c>
      <c r="D128" s="21" t="s">
        <v>13</v>
      </c>
      <c r="E128" s="21">
        <v>128.30000000000001</v>
      </c>
      <c r="F128" s="23">
        <v>1</v>
      </c>
      <c r="G128" s="23">
        <v>0.98</v>
      </c>
      <c r="H128" s="21">
        <v>644</v>
      </c>
      <c r="I128" s="21"/>
      <c r="J128" s="24">
        <v>21.2</v>
      </c>
      <c r="K128" s="21"/>
      <c r="L128" s="21"/>
    </row>
    <row r="129" spans="1:12" ht="17.25" customHeight="1" x14ac:dyDescent="0.2">
      <c r="A129" s="21">
        <v>128</v>
      </c>
      <c r="B129" s="22" t="s">
        <v>350</v>
      </c>
      <c r="C129" s="22" t="s">
        <v>34</v>
      </c>
      <c r="D129" s="21" t="s">
        <v>28</v>
      </c>
      <c r="E129" s="21">
        <v>128.6</v>
      </c>
      <c r="F129" s="23">
        <v>1</v>
      </c>
      <c r="G129" s="23">
        <v>1</v>
      </c>
      <c r="H129" s="21"/>
      <c r="I129" s="21">
        <v>156.1</v>
      </c>
      <c r="J129" s="24">
        <v>11.8</v>
      </c>
      <c r="K129" s="21"/>
      <c r="L129" s="21"/>
    </row>
    <row r="130" spans="1:12" ht="17.25" customHeight="1" x14ac:dyDescent="0.2">
      <c r="A130" s="21">
        <v>129</v>
      </c>
      <c r="B130" s="22" t="s">
        <v>845</v>
      </c>
      <c r="C130" s="22" t="s">
        <v>211</v>
      </c>
      <c r="D130" s="21" t="s">
        <v>25</v>
      </c>
      <c r="E130" s="21">
        <v>128.6</v>
      </c>
      <c r="F130" s="23">
        <v>1</v>
      </c>
      <c r="G130" s="23">
        <v>0.96</v>
      </c>
      <c r="H130" s="21">
        <v>457</v>
      </c>
      <c r="I130" s="21"/>
      <c r="J130" s="24">
        <v>10.9</v>
      </c>
      <c r="K130" s="21"/>
      <c r="L130" s="21"/>
    </row>
    <row r="131" spans="1:12" ht="17.25" customHeight="1" x14ac:dyDescent="0.2">
      <c r="A131" s="21">
        <v>130</v>
      </c>
      <c r="B131" s="22" t="s">
        <v>231</v>
      </c>
      <c r="C131" s="22" t="s">
        <v>232</v>
      </c>
      <c r="D131" s="21" t="s">
        <v>28</v>
      </c>
      <c r="E131" s="21">
        <v>132</v>
      </c>
      <c r="F131" s="23">
        <v>1</v>
      </c>
      <c r="G131" s="23">
        <v>1</v>
      </c>
      <c r="H131" s="21"/>
      <c r="I131" s="21">
        <v>167.1</v>
      </c>
      <c r="J131" s="24">
        <v>8</v>
      </c>
      <c r="K131" s="21"/>
      <c r="L131" s="21"/>
    </row>
    <row r="132" spans="1:12" ht="17.25" customHeight="1" x14ac:dyDescent="0.2">
      <c r="A132" s="21">
        <v>131</v>
      </c>
      <c r="B132" s="22" t="s">
        <v>1236</v>
      </c>
      <c r="C132" s="22" t="s">
        <v>125</v>
      </c>
      <c r="D132" s="21" t="s">
        <v>78</v>
      </c>
      <c r="E132" s="21">
        <v>132</v>
      </c>
      <c r="F132" s="23">
        <v>1</v>
      </c>
      <c r="G132" s="23">
        <v>0.98</v>
      </c>
      <c r="H132" s="21">
        <v>207</v>
      </c>
      <c r="I132" s="21"/>
      <c r="J132" s="24">
        <v>-6.9</v>
      </c>
      <c r="K132" s="21"/>
      <c r="L132" s="21"/>
    </row>
    <row r="133" spans="1:12" ht="17.25" customHeight="1" x14ac:dyDescent="0.2">
      <c r="A133" s="21">
        <v>132</v>
      </c>
      <c r="B133" s="22" t="s">
        <v>126</v>
      </c>
      <c r="C133" s="22" t="s">
        <v>48</v>
      </c>
      <c r="D133" s="21" t="s">
        <v>28</v>
      </c>
      <c r="E133" s="21">
        <v>132.19999999999999</v>
      </c>
      <c r="F133" s="23">
        <v>1</v>
      </c>
      <c r="G133" s="23">
        <v>1</v>
      </c>
      <c r="H133" s="21"/>
      <c r="I133" s="21">
        <v>180.1</v>
      </c>
      <c r="J133" s="24">
        <v>6.6</v>
      </c>
      <c r="K133" s="21"/>
      <c r="L133" s="21"/>
    </row>
    <row r="134" spans="1:12" ht="17.25" customHeight="1" x14ac:dyDescent="0.2">
      <c r="A134" s="21">
        <v>133</v>
      </c>
      <c r="B134" s="22" t="s">
        <v>54</v>
      </c>
      <c r="C134" s="22" t="s">
        <v>55</v>
      </c>
      <c r="D134" s="21" t="s">
        <v>19</v>
      </c>
      <c r="E134" s="21">
        <v>133.4</v>
      </c>
      <c r="F134" s="23">
        <v>1</v>
      </c>
      <c r="G134" s="23">
        <v>1</v>
      </c>
      <c r="H134" s="21">
        <v>686</v>
      </c>
      <c r="I134" s="21"/>
      <c r="J134" s="24">
        <v>12.9</v>
      </c>
      <c r="K134" s="21"/>
      <c r="L134" s="21"/>
    </row>
    <row r="135" spans="1:12" ht="17.25" customHeight="1" x14ac:dyDescent="0.2">
      <c r="A135" s="21">
        <v>134</v>
      </c>
      <c r="B135" s="22" t="s">
        <v>1062</v>
      </c>
      <c r="C135" s="22" t="s">
        <v>232</v>
      </c>
      <c r="D135" s="21" t="s">
        <v>43</v>
      </c>
      <c r="E135" s="21">
        <v>134.80000000000001</v>
      </c>
      <c r="F135" s="23">
        <v>1</v>
      </c>
      <c r="G135" s="23">
        <v>1</v>
      </c>
      <c r="H135" s="21">
        <v>651</v>
      </c>
      <c r="I135" s="21"/>
      <c r="J135" s="24">
        <v>17.5</v>
      </c>
      <c r="K135" s="21"/>
      <c r="L135" s="21"/>
    </row>
    <row r="136" spans="1:12" ht="17.25" customHeight="1" x14ac:dyDescent="0.2">
      <c r="A136" s="21">
        <v>135</v>
      </c>
      <c r="B136" s="22" t="s">
        <v>307</v>
      </c>
      <c r="C136" s="22" t="s">
        <v>27</v>
      </c>
      <c r="D136" s="21" t="s">
        <v>69</v>
      </c>
      <c r="E136" s="21">
        <v>135.5</v>
      </c>
      <c r="F136" s="23">
        <v>1</v>
      </c>
      <c r="G136" s="23">
        <v>1</v>
      </c>
      <c r="H136" s="21"/>
      <c r="I136" s="21">
        <v>59</v>
      </c>
      <c r="J136" s="24">
        <v>6.4</v>
      </c>
      <c r="K136" s="21"/>
      <c r="L136" s="21"/>
    </row>
    <row r="137" spans="1:12" ht="17.25" customHeight="1" x14ac:dyDescent="0.2">
      <c r="A137" s="21">
        <v>136</v>
      </c>
      <c r="B137" s="22" t="s">
        <v>392</v>
      </c>
      <c r="C137" s="22" t="s">
        <v>39</v>
      </c>
      <c r="D137" s="21" t="s">
        <v>69</v>
      </c>
      <c r="E137" s="21">
        <v>135.6</v>
      </c>
      <c r="F137" s="23">
        <v>1</v>
      </c>
      <c r="G137" s="23">
        <v>0.98</v>
      </c>
      <c r="H137" s="21"/>
      <c r="I137" s="21">
        <v>47</v>
      </c>
      <c r="J137" s="24">
        <v>5.6</v>
      </c>
      <c r="K137" s="21"/>
      <c r="L137" s="21"/>
    </row>
    <row r="138" spans="1:12" ht="17.25" customHeight="1" x14ac:dyDescent="0.2">
      <c r="A138" s="21">
        <v>137</v>
      </c>
      <c r="B138" s="22" t="s">
        <v>767</v>
      </c>
      <c r="C138" s="22" t="s">
        <v>34</v>
      </c>
      <c r="D138" s="21" t="s">
        <v>84</v>
      </c>
      <c r="E138" s="21">
        <v>135.69999999999999</v>
      </c>
      <c r="F138" s="23">
        <v>1</v>
      </c>
      <c r="G138" s="23">
        <v>1</v>
      </c>
      <c r="H138" s="21">
        <v>360</v>
      </c>
      <c r="I138" s="21"/>
      <c r="J138" s="24">
        <v>-0.2</v>
      </c>
      <c r="K138" s="21"/>
      <c r="L138" s="21"/>
    </row>
    <row r="139" spans="1:12" ht="17.25" customHeight="1" x14ac:dyDescent="0.2">
      <c r="A139" s="21">
        <v>138</v>
      </c>
      <c r="B139" s="22" t="s">
        <v>1375</v>
      </c>
      <c r="C139" s="22" t="s">
        <v>12</v>
      </c>
      <c r="D139" s="21" t="s">
        <v>25</v>
      </c>
      <c r="E139" s="21">
        <v>137.69999999999999</v>
      </c>
      <c r="F139" s="23">
        <v>1</v>
      </c>
      <c r="G139" s="23">
        <v>1</v>
      </c>
      <c r="H139" s="21">
        <v>546</v>
      </c>
      <c r="I139" s="21"/>
      <c r="J139" s="24">
        <v>9.1</v>
      </c>
      <c r="K139" s="21"/>
      <c r="L139" s="21"/>
    </row>
    <row r="140" spans="1:12" ht="17.25" customHeight="1" x14ac:dyDescent="0.2">
      <c r="A140" s="21">
        <v>139</v>
      </c>
      <c r="B140" s="22" t="s">
        <v>178</v>
      </c>
      <c r="C140" s="22" t="s">
        <v>48</v>
      </c>
      <c r="D140" s="21" t="s">
        <v>201</v>
      </c>
      <c r="E140" s="21">
        <v>140.19999999999999</v>
      </c>
      <c r="F140" s="23">
        <v>1</v>
      </c>
      <c r="G140" s="23">
        <v>1</v>
      </c>
      <c r="H140" s="21">
        <v>587</v>
      </c>
      <c r="I140" s="21"/>
      <c r="J140" s="24">
        <v>9.6999999999999993</v>
      </c>
      <c r="K140" s="21"/>
      <c r="L140" s="21"/>
    </row>
    <row r="141" spans="1:12" ht="17.25" customHeight="1" x14ac:dyDescent="0.2">
      <c r="A141" s="21">
        <v>140</v>
      </c>
      <c r="B141" s="22" t="s">
        <v>358</v>
      </c>
      <c r="C141" s="22" t="s">
        <v>12</v>
      </c>
      <c r="D141" s="21" t="s">
        <v>25</v>
      </c>
      <c r="E141" s="21">
        <v>141.1</v>
      </c>
      <c r="F141" s="23">
        <v>1</v>
      </c>
      <c r="G141" s="23">
        <v>1</v>
      </c>
      <c r="H141" s="21">
        <v>624</v>
      </c>
      <c r="I141" s="21"/>
      <c r="J141" s="24">
        <v>16.899999999999999</v>
      </c>
      <c r="K141" s="21"/>
      <c r="L141" s="21"/>
    </row>
    <row r="142" spans="1:12" ht="17.25" customHeight="1" x14ac:dyDescent="0.2">
      <c r="A142" s="21">
        <v>141</v>
      </c>
      <c r="B142" s="22" t="s">
        <v>550</v>
      </c>
      <c r="C142" s="22" t="s">
        <v>21</v>
      </c>
      <c r="D142" s="21" t="s">
        <v>28</v>
      </c>
      <c r="E142" s="21">
        <v>142.30000000000001</v>
      </c>
      <c r="F142" s="23">
        <v>1</v>
      </c>
      <c r="G142" s="23">
        <v>1</v>
      </c>
      <c r="H142" s="21"/>
      <c r="I142" s="21">
        <v>167.1</v>
      </c>
      <c r="J142" s="24">
        <v>10.7</v>
      </c>
      <c r="K142" s="21"/>
      <c r="L142" s="21"/>
    </row>
    <row r="143" spans="1:12" ht="17.25" customHeight="1" x14ac:dyDescent="0.2">
      <c r="A143" s="21">
        <v>142</v>
      </c>
      <c r="B143" s="22" t="s">
        <v>1412</v>
      </c>
      <c r="C143" s="22" t="s">
        <v>42</v>
      </c>
      <c r="D143" s="21" t="s">
        <v>28</v>
      </c>
      <c r="E143" s="21">
        <v>142.30000000000001</v>
      </c>
      <c r="F143" s="23">
        <v>1</v>
      </c>
      <c r="G143" s="23">
        <v>1</v>
      </c>
      <c r="H143" s="21"/>
      <c r="I143" s="21">
        <v>14</v>
      </c>
      <c r="J143" s="24">
        <v>-3.8</v>
      </c>
      <c r="K143" s="21"/>
      <c r="L143" s="21"/>
    </row>
    <row r="144" spans="1:12" ht="17.25" customHeight="1" x14ac:dyDescent="0.2">
      <c r="A144" s="21">
        <v>143</v>
      </c>
      <c r="B144" s="22" t="s">
        <v>1237</v>
      </c>
      <c r="C144" s="22" t="s">
        <v>211</v>
      </c>
      <c r="D144" s="21" t="s">
        <v>25</v>
      </c>
      <c r="E144" s="21">
        <v>146.6</v>
      </c>
      <c r="F144" s="23">
        <v>1</v>
      </c>
      <c r="G144" s="23">
        <v>0.93</v>
      </c>
      <c r="H144" s="21">
        <v>234</v>
      </c>
      <c r="I144" s="21"/>
      <c r="J144" s="24">
        <v>-5.6</v>
      </c>
      <c r="K144" s="21"/>
      <c r="L144" s="21"/>
    </row>
    <row r="145" spans="1:12" ht="17.25" customHeight="1" x14ac:dyDescent="0.2">
      <c r="A145" s="21">
        <v>144</v>
      </c>
      <c r="B145" s="22" t="s">
        <v>1413</v>
      </c>
      <c r="C145" s="22" t="s">
        <v>57</v>
      </c>
      <c r="D145" s="21" t="s">
        <v>28</v>
      </c>
      <c r="E145" s="21">
        <v>146.9</v>
      </c>
      <c r="F145" s="23">
        <v>1</v>
      </c>
      <c r="G145" s="23">
        <v>0.98</v>
      </c>
      <c r="H145" s="21"/>
      <c r="I145" s="21">
        <v>31</v>
      </c>
      <c r="J145" s="24">
        <v>0.7</v>
      </c>
      <c r="K145" s="21"/>
      <c r="L145" s="21"/>
    </row>
    <row r="146" spans="1:12" ht="17.25" customHeight="1" x14ac:dyDescent="0.2">
      <c r="A146" s="21">
        <v>145</v>
      </c>
      <c r="B146" s="22" t="s">
        <v>129</v>
      </c>
      <c r="C146" s="22" t="s">
        <v>140</v>
      </c>
      <c r="D146" s="21" t="s">
        <v>25</v>
      </c>
      <c r="E146" s="21">
        <v>147.6</v>
      </c>
      <c r="F146" s="23">
        <v>1</v>
      </c>
      <c r="G146" s="23">
        <v>1</v>
      </c>
      <c r="H146" s="21">
        <v>652</v>
      </c>
      <c r="I146" s="21"/>
      <c r="J146" s="24">
        <v>16.600000000000001</v>
      </c>
      <c r="K146" s="21"/>
      <c r="L146" s="21"/>
    </row>
    <row r="147" spans="1:12" ht="17.25" customHeight="1" x14ac:dyDescent="0.2">
      <c r="A147" s="21">
        <v>146</v>
      </c>
      <c r="B147" s="22" t="s">
        <v>165</v>
      </c>
      <c r="C147" s="22" t="s">
        <v>140</v>
      </c>
      <c r="D147" s="21" t="s">
        <v>28</v>
      </c>
      <c r="E147" s="21">
        <v>148.1</v>
      </c>
      <c r="F147" s="23">
        <v>1</v>
      </c>
      <c r="G147" s="23">
        <v>1</v>
      </c>
      <c r="H147" s="21"/>
      <c r="I147" s="21">
        <v>130</v>
      </c>
      <c r="J147" s="24">
        <v>25.3</v>
      </c>
      <c r="K147" s="21"/>
      <c r="L147" s="21"/>
    </row>
    <row r="148" spans="1:12" ht="17.25" customHeight="1" x14ac:dyDescent="0.2">
      <c r="A148" s="21">
        <v>147</v>
      </c>
      <c r="B148" s="22" t="s">
        <v>1414</v>
      </c>
      <c r="C148" s="22" t="s">
        <v>211</v>
      </c>
      <c r="D148" s="21" t="s">
        <v>28</v>
      </c>
      <c r="E148" s="21">
        <v>149.30000000000001</v>
      </c>
      <c r="F148" s="23">
        <v>1</v>
      </c>
      <c r="G148" s="23">
        <v>0.98</v>
      </c>
      <c r="H148" s="21"/>
      <c r="I148" s="21">
        <v>174.1</v>
      </c>
      <c r="J148" s="24">
        <v>-7.2</v>
      </c>
      <c r="K148" s="21"/>
      <c r="L148" s="21"/>
    </row>
    <row r="149" spans="1:12" ht="17.25" customHeight="1" x14ac:dyDescent="0.2">
      <c r="A149" s="21">
        <v>148</v>
      </c>
      <c r="B149" s="22" t="s">
        <v>176</v>
      </c>
      <c r="C149" s="22" t="s">
        <v>46</v>
      </c>
      <c r="D149" s="21" t="s">
        <v>25</v>
      </c>
      <c r="E149" s="21">
        <v>149.9</v>
      </c>
      <c r="F149" s="23">
        <v>1</v>
      </c>
      <c r="G149" s="23">
        <v>0.93</v>
      </c>
      <c r="H149" s="21">
        <v>630</v>
      </c>
      <c r="I149" s="21"/>
      <c r="J149" s="24">
        <v>9.1</v>
      </c>
      <c r="K149" s="21"/>
      <c r="L149" s="21"/>
    </row>
    <row r="150" spans="1:12" ht="17.25" customHeight="1" x14ac:dyDescent="0.2">
      <c r="A150" s="21">
        <v>149</v>
      </c>
      <c r="B150" s="22" t="s">
        <v>549</v>
      </c>
      <c r="C150" s="22" t="s">
        <v>57</v>
      </c>
      <c r="D150" s="21" t="s">
        <v>69</v>
      </c>
      <c r="E150" s="21">
        <v>151.4</v>
      </c>
      <c r="F150" s="23">
        <v>1</v>
      </c>
      <c r="G150" s="23">
        <v>1</v>
      </c>
      <c r="H150" s="21"/>
      <c r="I150" s="21">
        <v>70</v>
      </c>
      <c r="J150" s="24">
        <v>4.9000000000000004</v>
      </c>
      <c r="K150" s="21"/>
      <c r="L150" s="21"/>
    </row>
    <row r="151" spans="1:12" ht="17.25" customHeight="1" x14ac:dyDescent="0.2">
      <c r="A151" s="21">
        <v>150</v>
      </c>
      <c r="B151" s="22" t="s">
        <v>118</v>
      </c>
      <c r="C151" s="22" t="s">
        <v>30</v>
      </c>
      <c r="D151" s="21" t="s">
        <v>74</v>
      </c>
      <c r="E151" s="21">
        <v>152.4</v>
      </c>
      <c r="F151" s="23">
        <v>1</v>
      </c>
      <c r="G151" s="23">
        <v>1</v>
      </c>
      <c r="H151" s="21">
        <v>365</v>
      </c>
      <c r="I151" s="21"/>
      <c r="J151" s="24">
        <v>-3.4</v>
      </c>
      <c r="K151" s="21"/>
      <c r="L151" s="21"/>
    </row>
    <row r="152" spans="1:12" ht="17.25" customHeight="1" x14ac:dyDescent="0.2">
      <c r="A152" s="21">
        <v>151</v>
      </c>
      <c r="B152" s="22" t="s">
        <v>1021</v>
      </c>
      <c r="C152" s="22" t="s">
        <v>232</v>
      </c>
      <c r="D152" s="21" t="s">
        <v>28</v>
      </c>
      <c r="E152" s="21">
        <v>153.1</v>
      </c>
      <c r="F152" s="23">
        <v>1</v>
      </c>
      <c r="G152" s="23">
        <v>0.98</v>
      </c>
      <c r="H152" s="21"/>
      <c r="I152" s="21">
        <v>150</v>
      </c>
      <c r="J152" s="24">
        <v>15.8</v>
      </c>
      <c r="K152" s="21"/>
      <c r="L152" s="21"/>
    </row>
    <row r="153" spans="1:12" ht="17.25" customHeight="1" x14ac:dyDescent="0.2">
      <c r="A153" s="21">
        <v>152</v>
      </c>
      <c r="B153" s="22" t="s">
        <v>188</v>
      </c>
      <c r="C153" s="22" t="s">
        <v>64</v>
      </c>
      <c r="D153" s="21" t="s">
        <v>19</v>
      </c>
      <c r="E153" s="21">
        <v>153.6</v>
      </c>
      <c r="F153" s="23">
        <v>1</v>
      </c>
      <c r="G153" s="23">
        <v>1</v>
      </c>
      <c r="H153" s="21">
        <v>645</v>
      </c>
      <c r="I153" s="21"/>
      <c r="J153" s="24">
        <v>13.2</v>
      </c>
      <c r="K153" s="21"/>
      <c r="L153" s="21"/>
    </row>
    <row r="154" spans="1:12" ht="17.25" customHeight="1" x14ac:dyDescent="0.2">
      <c r="A154" s="21">
        <v>153</v>
      </c>
      <c r="B154" s="22" t="s">
        <v>166</v>
      </c>
      <c r="C154" s="22" t="s">
        <v>30</v>
      </c>
      <c r="D154" s="21" t="s">
        <v>25</v>
      </c>
      <c r="E154" s="21">
        <v>156.5</v>
      </c>
      <c r="F154" s="23">
        <v>1</v>
      </c>
      <c r="G154" s="23">
        <v>1</v>
      </c>
      <c r="H154" s="21">
        <v>663</v>
      </c>
      <c r="I154" s="21"/>
      <c r="J154" s="24">
        <v>14.7</v>
      </c>
      <c r="K154" s="21"/>
      <c r="L154" s="21"/>
    </row>
    <row r="155" spans="1:12" ht="17.25" customHeight="1" x14ac:dyDescent="0.2">
      <c r="A155" s="21">
        <v>154</v>
      </c>
      <c r="B155" s="22" t="s">
        <v>1376</v>
      </c>
      <c r="C155" s="22" t="s">
        <v>115</v>
      </c>
      <c r="D155" s="21" t="s">
        <v>13</v>
      </c>
      <c r="E155" s="21">
        <v>157.9</v>
      </c>
      <c r="F155" s="23">
        <v>1</v>
      </c>
      <c r="G155" s="23">
        <v>0.73</v>
      </c>
      <c r="H155" s="21">
        <v>452</v>
      </c>
      <c r="I155" s="21"/>
      <c r="J155" s="24">
        <v>6.5</v>
      </c>
      <c r="K155" s="21"/>
      <c r="L155" s="21"/>
    </row>
    <row r="156" spans="1:12" ht="17.25" customHeight="1" x14ac:dyDescent="0.2">
      <c r="A156" s="21">
        <v>155</v>
      </c>
      <c r="B156" s="22" t="s">
        <v>385</v>
      </c>
      <c r="C156" s="22" t="s">
        <v>36</v>
      </c>
      <c r="D156" s="21" t="s">
        <v>78</v>
      </c>
      <c r="E156" s="21">
        <v>158.19999999999999</v>
      </c>
      <c r="F156" s="23">
        <v>1</v>
      </c>
      <c r="G156" s="23">
        <v>0.98</v>
      </c>
      <c r="H156" s="21">
        <v>667</v>
      </c>
      <c r="I156" s="21"/>
      <c r="J156" s="24">
        <v>6.6</v>
      </c>
      <c r="K156" s="21"/>
      <c r="L156" s="21"/>
    </row>
    <row r="157" spans="1:12" ht="17.25" customHeight="1" x14ac:dyDescent="0.2">
      <c r="A157" s="21">
        <v>156</v>
      </c>
      <c r="B157" s="22" t="s">
        <v>1415</v>
      </c>
      <c r="C157" s="22" t="s">
        <v>39</v>
      </c>
      <c r="D157" s="21" t="s">
        <v>69</v>
      </c>
      <c r="E157" s="21">
        <v>158.9</v>
      </c>
      <c r="F157" s="23">
        <v>1</v>
      </c>
      <c r="G157" s="23">
        <v>0.95</v>
      </c>
      <c r="H157" s="21"/>
      <c r="I157" s="21">
        <v>75</v>
      </c>
      <c r="J157" s="24">
        <v>2.8</v>
      </c>
      <c r="K157" s="21"/>
      <c r="L157" s="21"/>
    </row>
    <row r="158" spans="1:12" ht="17.25" customHeight="1" x14ac:dyDescent="0.2">
      <c r="A158" s="21">
        <v>157</v>
      </c>
      <c r="B158" s="22" t="s">
        <v>378</v>
      </c>
      <c r="C158" s="22" t="s">
        <v>42</v>
      </c>
      <c r="D158" s="21" t="s">
        <v>74</v>
      </c>
      <c r="E158" s="21">
        <v>159</v>
      </c>
      <c r="F158" s="23">
        <v>1</v>
      </c>
      <c r="G158" s="23">
        <v>0.98</v>
      </c>
      <c r="H158" s="21">
        <v>506</v>
      </c>
      <c r="I158" s="21"/>
      <c r="J158" s="24">
        <v>13.6</v>
      </c>
      <c r="K158" s="21"/>
      <c r="L158" s="21"/>
    </row>
    <row r="159" spans="1:12" ht="17.25" customHeight="1" x14ac:dyDescent="0.2">
      <c r="A159" s="21">
        <v>158</v>
      </c>
      <c r="B159" s="22" t="s">
        <v>1019</v>
      </c>
      <c r="C159" s="22" t="s">
        <v>55</v>
      </c>
      <c r="D159" s="21" t="s">
        <v>28</v>
      </c>
      <c r="E159" s="21">
        <v>160.69999999999999</v>
      </c>
      <c r="F159" s="23">
        <v>1</v>
      </c>
      <c r="G159" s="23">
        <v>1</v>
      </c>
      <c r="H159" s="21"/>
      <c r="I159" s="21">
        <v>182</v>
      </c>
      <c r="J159" s="24">
        <v>8.4</v>
      </c>
      <c r="K159" s="21"/>
      <c r="L159" s="21"/>
    </row>
    <row r="160" spans="1:12" ht="17.25" customHeight="1" x14ac:dyDescent="0.2">
      <c r="A160" s="21">
        <v>159</v>
      </c>
      <c r="B160" s="22" t="s">
        <v>88</v>
      </c>
      <c r="C160" s="22" t="s">
        <v>89</v>
      </c>
      <c r="D160" s="21" t="s">
        <v>25</v>
      </c>
      <c r="E160" s="21">
        <v>161.5</v>
      </c>
      <c r="F160" s="23">
        <v>1</v>
      </c>
      <c r="G160" s="23">
        <v>0.98</v>
      </c>
      <c r="H160" s="21">
        <v>538</v>
      </c>
      <c r="I160" s="21"/>
      <c r="J160" s="24">
        <v>1.4</v>
      </c>
      <c r="K160" s="21"/>
      <c r="L160" s="21"/>
    </row>
    <row r="161" spans="1:12" ht="17.25" customHeight="1" x14ac:dyDescent="0.2">
      <c r="A161" s="21">
        <v>160</v>
      </c>
      <c r="B161" s="22" t="s">
        <v>804</v>
      </c>
      <c r="C161" s="22" t="s">
        <v>132</v>
      </c>
      <c r="D161" s="21" t="s">
        <v>25</v>
      </c>
      <c r="E161" s="21">
        <v>161.69999999999999</v>
      </c>
      <c r="F161" s="23">
        <v>1</v>
      </c>
      <c r="G161" s="23">
        <v>0.98</v>
      </c>
      <c r="H161" s="21">
        <v>322</v>
      </c>
      <c r="I161" s="21"/>
      <c r="J161" s="24">
        <v>-7.8</v>
      </c>
      <c r="K161" s="21"/>
      <c r="L161" s="21"/>
    </row>
    <row r="162" spans="1:12" ht="17.25" customHeight="1" x14ac:dyDescent="0.2">
      <c r="A162" s="21">
        <v>161</v>
      </c>
      <c r="B162" s="22" t="s">
        <v>859</v>
      </c>
      <c r="C162" s="22" t="s">
        <v>30</v>
      </c>
      <c r="D162" s="21" t="s">
        <v>28</v>
      </c>
      <c r="E162" s="21">
        <v>162.6</v>
      </c>
      <c r="F162" s="23">
        <v>1</v>
      </c>
      <c r="G162" s="23">
        <v>1</v>
      </c>
      <c r="H162" s="21"/>
      <c r="I162" s="21">
        <v>109.1</v>
      </c>
      <c r="J162" s="24">
        <v>18.5</v>
      </c>
      <c r="K162" s="21"/>
      <c r="L162" s="21"/>
    </row>
    <row r="163" spans="1:12" ht="17.25" customHeight="1" x14ac:dyDescent="0.2">
      <c r="A163" s="21">
        <v>162</v>
      </c>
      <c r="B163" s="22" t="s">
        <v>859</v>
      </c>
      <c r="C163" s="22" t="s">
        <v>30</v>
      </c>
      <c r="D163" s="21" t="s">
        <v>1238</v>
      </c>
      <c r="E163" s="21">
        <v>162.6</v>
      </c>
      <c r="F163" s="23">
        <v>1</v>
      </c>
      <c r="G163" s="23">
        <v>1</v>
      </c>
      <c r="H163" s="21">
        <v>2</v>
      </c>
      <c r="I163" s="21"/>
      <c r="J163" s="24">
        <v>-23.3</v>
      </c>
      <c r="K163" s="21"/>
      <c r="L163" s="21"/>
    </row>
    <row r="164" spans="1:12" ht="17.25" customHeight="1" x14ac:dyDescent="0.2">
      <c r="A164" s="21">
        <v>163</v>
      </c>
      <c r="B164" s="22" t="s">
        <v>144</v>
      </c>
      <c r="C164" s="22" t="s">
        <v>55</v>
      </c>
      <c r="D164" s="21" t="s">
        <v>69</v>
      </c>
      <c r="E164" s="21">
        <v>166.3</v>
      </c>
      <c r="F164" s="23">
        <v>1</v>
      </c>
      <c r="G164" s="23">
        <v>1</v>
      </c>
      <c r="H164" s="21"/>
      <c r="I164" s="21">
        <v>61</v>
      </c>
      <c r="J164" s="24">
        <v>-4.0999999999999996</v>
      </c>
      <c r="K164" s="21"/>
      <c r="L164" s="21"/>
    </row>
    <row r="165" spans="1:12" ht="17.25" customHeight="1" x14ac:dyDescent="0.2">
      <c r="A165" s="21">
        <v>164</v>
      </c>
      <c r="B165" s="22" t="s">
        <v>163</v>
      </c>
      <c r="C165" s="22" t="s">
        <v>21</v>
      </c>
      <c r="D165" s="21" t="s">
        <v>25</v>
      </c>
      <c r="E165" s="21">
        <v>167</v>
      </c>
      <c r="F165" s="23">
        <v>1</v>
      </c>
      <c r="G165" s="23">
        <v>0.98</v>
      </c>
      <c r="H165" s="21">
        <v>693</v>
      </c>
      <c r="I165" s="21"/>
      <c r="J165" s="24">
        <v>10.4</v>
      </c>
      <c r="K165" s="21"/>
      <c r="L165" s="21"/>
    </row>
    <row r="166" spans="1:12" ht="17.25" customHeight="1" x14ac:dyDescent="0.2">
      <c r="A166" s="21">
        <v>165</v>
      </c>
      <c r="B166" s="22" t="s">
        <v>94</v>
      </c>
      <c r="C166" s="22" t="s">
        <v>55</v>
      </c>
      <c r="D166" s="21" t="s">
        <v>87</v>
      </c>
      <c r="E166" s="21">
        <v>168</v>
      </c>
      <c r="F166" s="23">
        <v>1</v>
      </c>
      <c r="G166" s="23">
        <v>1</v>
      </c>
      <c r="H166" s="21">
        <v>535</v>
      </c>
      <c r="I166" s="21"/>
      <c r="J166" s="24">
        <v>4.4000000000000004</v>
      </c>
      <c r="K166" s="21"/>
      <c r="L166" s="21"/>
    </row>
    <row r="167" spans="1:12" ht="17.25" customHeight="1" x14ac:dyDescent="0.2">
      <c r="A167" s="21">
        <v>166</v>
      </c>
      <c r="B167" s="22" t="s">
        <v>784</v>
      </c>
      <c r="C167" s="22" t="s">
        <v>30</v>
      </c>
      <c r="D167" s="21" t="s">
        <v>78</v>
      </c>
      <c r="E167" s="21">
        <v>169.3</v>
      </c>
      <c r="F167" s="23">
        <v>1</v>
      </c>
      <c r="G167" s="23">
        <v>0.53</v>
      </c>
      <c r="H167" s="21">
        <v>649</v>
      </c>
      <c r="I167" s="21"/>
      <c r="J167" s="24">
        <v>4.4000000000000004</v>
      </c>
      <c r="K167" s="21"/>
      <c r="L167" s="21"/>
    </row>
    <row r="168" spans="1:12" ht="17.25" customHeight="1" x14ac:dyDescent="0.2">
      <c r="A168" s="21">
        <v>167</v>
      </c>
      <c r="B168" s="22" t="s">
        <v>372</v>
      </c>
      <c r="C168" s="22" t="s">
        <v>140</v>
      </c>
      <c r="D168" s="21" t="s">
        <v>28</v>
      </c>
      <c r="E168" s="21">
        <v>169.6</v>
      </c>
      <c r="F168" s="23">
        <v>1</v>
      </c>
      <c r="G168" s="23">
        <v>1</v>
      </c>
      <c r="H168" s="21"/>
      <c r="I168" s="21">
        <v>159.1</v>
      </c>
      <c r="J168" s="24">
        <v>-3.1</v>
      </c>
      <c r="K168" s="21"/>
      <c r="L168" s="21"/>
    </row>
    <row r="169" spans="1:12" ht="17.25" customHeight="1" x14ac:dyDescent="0.2">
      <c r="A169" s="21">
        <v>168</v>
      </c>
      <c r="B169" s="22" t="s">
        <v>1239</v>
      </c>
      <c r="C169" s="22" t="s">
        <v>232</v>
      </c>
      <c r="D169" s="21" t="s">
        <v>25</v>
      </c>
      <c r="E169" s="21">
        <v>171.9</v>
      </c>
      <c r="F169" s="23">
        <v>1</v>
      </c>
      <c r="G169" s="23">
        <v>0.93</v>
      </c>
      <c r="H169" s="21">
        <v>441</v>
      </c>
      <c r="I169" s="21"/>
      <c r="J169" s="24">
        <v>6</v>
      </c>
      <c r="K169" s="21"/>
      <c r="L169" s="21"/>
    </row>
    <row r="170" spans="1:12" ht="17.25" customHeight="1" x14ac:dyDescent="0.2">
      <c r="A170" s="21">
        <v>169</v>
      </c>
      <c r="B170" s="22" t="s">
        <v>462</v>
      </c>
      <c r="C170" s="22" t="s">
        <v>125</v>
      </c>
      <c r="D170" s="21" t="s">
        <v>87</v>
      </c>
      <c r="E170" s="21">
        <v>171.9</v>
      </c>
      <c r="F170" s="23">
        <v>1</v>
      </c>
      <c r="G170" s="23">
        <v>1</v>
      </c>
      <c r="H170" s="21">
        <v>403</v>
      </c>
      <c r="I170" s="21"/>
      <c r="J170" s="24">
        <v>-3.9</v>
      </c>
      <c r="K170" s="21"/>
      <c r="L170" s="21"/>
    </row>
    <row r="171" spans="1:12" ht="17.25" customHeight="1" x14ac:dyDescent="0.2">
      <c r="A171" s="21">
        <v>170</v>
      </c>
      <c r="B171" s="22" t="s">
        <v>189</v>
      </c>
      <c r="C171" s="22" t="s">
        <v>60</v>
      </c>
      <c r="D171" s="21" t="s">
        <v>28</v>
      </c>
      <c r="E171" s="21">
        <v>172.4</v>
      </c>
      <c r="F171" s="23">
        <v>1</v>
      </c>
      <c r="G171" s="23">
        <v>1</v>
      </c>
      <c r="H171" s="21"/>
      <c r="I171" s="21">
        <v>180.1</v>
      </c>
      <c r="J171" s="24">
        <v>8.6</v>
      </c>
      <c r="K171" s="21"/>
      <c r="L171" s="21"/>
    </row>
    <row r="172" spans="1:12" ht="17.25" customHeight="1" x14ac:dyDescent="0.2">
      <c r="A172" s="21">
        <v>171</v>
      </c>
      <c r="B172" s="22" t="s">
        <v>723</v>
      </c>
      <c r="C172" s="22" t="s">
        <v>117</v>
      </c>
      <c r="D172" s="21" t="s">
        <v>16</v>
      </c>
      <c r="E172" s="21">
        <v>174.1</v>
      </c>
      <c r="F172" s="23">
        <v>1</v>
      </c>
      <c r="G172" s="23">
        <v>1</v>
      </c>
      <c r="H172" s="21">
        <v>556</v>
      </c>
      <c r="I172" s="21"/>
      <c r="J172" s="24">
        <v>4.4000000000000004</v>
      </c>
      <c r="K172" s="21"/>
      <c r="L172" s="21"/>
    </row>
    <row r="173" spans="1:12" ht="17.25" customHeight="1" x14ac:dyDescent="0.2">
      <c r="A173" s="21">
        <v>172</v>
      </c>
      <c r="B173" s="22" t="s">
        <v>246</v>
      </c>
      <c r="C173" s="22" t="s">
        <v>48</v>
      </c>
      <c r="D173" s="21" t="s">
        <v>82</v>
      </c>
      <c r="E173" s="21">
        <v>174.5</v>
      </c>
      <c r="F173" s="23">
        <v>1</v>
      </c>
      <c r="G173" s="23">
        <v>0.98</v>
      </c>
      <c r="H173" s="21">
        <v>563</v>
      </c>
      <c r="I173" s="21"/>
      <c r="J173" s="24">
        <v>7.9</v>
      </c>
      <c r="K173" s="21"/>
      <c r="L173" s="21"/>
    </row>
    <row r="174" spans="1:12" ht="17.25" customHeight="1" x14ac:dyDescent="0.2">
      <c r="A174" s="21">
        <v>173</v>
      </c>
      <c r="B174" s="22" t="s">
        <v>63</v>
      </c>
      <c r="C174" s="22" t="s">
        <v>64</v>
      </c>
      <c r="D174" s="21" t="s">
        <v>28</v>
      </c>
      <c r="E174" s="21">
        <v>174.7</v>
      </c>
      <c r="F174" s="23">
        <v>1</v>
      </c>
      <c r="G174" s="23">
        <v>1</v>
      </c>
      <c r="H174" s="21"/>
      <c r="I174" s="21">
        <v>144.1</v>
      </c>
      <c r="J174" s="24">
        <v>9.6999999999999993</v>
      </c>
      <c r="K174" s="21"/>
      <c r="L174" s="21"/>
    </row>
    <row r="175" spans="1:12" ht="17.25" customHeight="1" x14ac:dyDescent="0.2">
      <c r="A175" s="21">
        <v>174</v>
      </c>
      <c r="B175" s="22" t="s">
        <v>1240</v>
      </c>
      <c r="C175" s="22" t="s">
        <v>30</v>
      </c>
      <c r="D175" s="21" t="s">
        <v>74</v>
      </c>
      <c r="E175" s="21">
        <v>175.1</v>
      </c>
      <c r="F175" s="23">
        <v>1</v>
      </c>
      <c r="G175" s="23">
        <v>1</v>
      </c>
      <c r="H175" s="21">
        <v>118</v>
      </c>
      <c r="I175" s="21"/>
      <c r="J175" s="24">
        <v>-10.8</v>
      </c>
      <c r="K175" s="21"/>
      <c r="L175" s="21"/>
    </row>
    <row r="176" spans="1:12" ht="17.25" customHeight="1" x14ac:dyDescent="0.2">
      <c r="A176" s="21">
        <v>175</v>
      </c>
      <c r="B176" s="22" t="s">
        <v>1823</v>
      </c>
      <c r="C176" s="22" t="s">
        <v>48</v>
      </c>
      <c r="D176" s="21" t="s">
        <v>28</v>
      </c>
      <c r="E176" s="21">
        <v>175.9</v>
      </c>
      <c r="F176" s="23">
        <v>1</v>
      </c>
      <c r="G176" s="23">
        <v>0.96</v>
      </c>
      <c r="H176" s="21"/>
      <c r="I176" s="21">
        <v>157</v>
      </c>
      <c r="J176" s="24">
        <v>10.4</v>
      </c>
      <c r="K176" s="21"/>
      <c r="L176" s="21"/>
    </row>
    <row r="177" spans="1:12" ht="17.25" customHeight="1" x14ac:dyDescent="0.2">
      <c r="A177" s="21">
        <v>176</v>
      </c>
      <c r="B177" s="22" t="s">
        <v>319</v>
      </c>
      <c r="C177" s="22" t="s">
        <v>24</v>
      </c>
      <c r="D177" s="21" t="s">
        <v>74</v>
      </c>
      <c r="E177" s="21">
        <v>176.1</v>
      </c>
      <c r="F177" s="23">
        <v>1</v>
      </c>
      <c r="G177" s="23">
        <v>0.98</v>
      </c>
      <c r="H177" s="21">
        <v>277</v>
      </c>
      <c r="I177" s="21"/>
      <c r="J177" s="24">
        <v>0.2</v>
      </c>
      <c r="K177" s="21"/>
      <c r="L177" s="21"/>
    </row>
    <row r="178" spans="1:12" ht="17.25" customHeight="1" x14ac:dyDescent="0.2">
      <c r="A178" s="21">
        <v>177</v>
      </c>
      <c r="B178" s="22" t="s">
        <v>314</v>
      </c>
      <c r="C178" s="22" t="s">
        <v>52</v>
      </c>
      <c r="D178" s="21" t="s">
        <v>74</v>
      </c>
      <c r="E178" s="21">
        <v>177.9</v>
      </c>
      <c r="F178" s="23">
        <v>1</v>
      </c>
      <c r="G178" s="23">
        <v>1</v>
      </c>
      <c r="H178" s="21">
        <v>309</v>
      </c>
      <c r="I178" s="21"/>
      <c r="J178" s="24">
        <v>5.5</v>
      </c>
      <c r="K178" s="21"/>
      <c r="L178" s="21"/>
    </row>
    <row r="179" spans="1:12" ht="17.25" customHeight="1" x14ac:dyDescent="0.2">
      <c r="A179" s="21">
        <v>178</v>
      </c>
      <c r="B179" s="22" t="s">
        <v>137</v>
      </c>
      <c r="C179" s="22" t="s">
        <v>115</v>
      </c>
      <c r="D179" s="21" t="s">
        <v>152</v>
      </c>
      <c r="E179" s="21">
        <v>179.9</v>
      </c>
      <c r="F179" s="23">
        <v>1</v>
      </c>
      <c r="G179" s="23">
        <v>1</v>
      </c>
      <c r="H179" s="21">
        <v>546</v>
      </c>
      <c r="I179" s="21"/>
      <c r="J179" s="24">
        <v>7.9</v>
      </c>
      <c r="K179" s="21"/>
      <c r="L179" s="21"/>
    </row>
    <row r="180" spans="1:12" ht="17.25" customHeight="1" x14ac:dyDescent="0.2">
      <c r="A180" s="21">
        <v>179</v>
      </c>
      <c r="B180" s="22" t="s">
        <v>137</v>
      </c>
      <c r="C180" s="22" t="s">
        <v>115</v>
      </c>
      <c r="D180" s="21" t="s">
        <v>69</v>
      </c>
      <c r="E180" s="21">
        <v>179.9</v>
      </c>
      <c r="F180" s="23">
        <v>1</v>
      </c>
      <c r="G180" s="23">
        <v>1</v>
      </c>
      <c r="H180" s="21"/>
      <c r="I180" s="21">
        <v>1</v>
      </c>
      <c r="J180" s="24">
        <v>-12.2</v>
      </c>
      <c r="K180" s="21"/>
      <c r="L180" s="21"/>
    </row>
    <row r="181" spans="1:12" ht="17.25" customHeight="1" x14ac:dyDescent="0.2">
      <c r="A181" s="21">
        <v>180</v>
      </c>
      <c r="B181" s="22" t="s">
        <v>559</v>
      </c>
      <c r="C181" s="22" t="s">
        <v>64</v>
      </c>
      <c r="D181" s="21" t="s">
        <v>28</v>
      </c>
      <c r="E181" s="21">
        <v>181.9</v>
      </c>
      <c r="F181" s="23">
        <v>1</v>
      </c>
      <c r="G181" s="23">
        <v>0.96</v>
      </c>
      <c r="H181" s="21"/>
      <c r="I181" s="21">
        <v>137.1</v>
      </c>
      <c r="J181" s="24">
        <v>5.6</v>
      </c>
      <c r="K181" s="21"/>
      <c r="L181" s="21"/>
    </row>
    <row r="182" spans="1:12" ht="17.25" customHeight="1" x14ac:dyDescent="0.2">
      <c r="A182" s="21">
        <v>181</v>
      </c>
      <c r="B182" s="22" t="s">
        <v>1116</v>
      </c>
      <c r="C182" s="22" t="s">
        <v>34</v>
      </c>
      <c r="D182" s="21" t="s">
        <v>78</v>
      </c>
      <c r="E182" s="21">
        <v>183.2</v>
      </c>
      <c r="F182" s="23">
        <v>1</v>
      </c>
      <c r="G182" s="23">
        <v>0.98</v>
      </c>
      <c r="H182" s="21">
        <v>577</v>
      </c>
      <c r="I182" s="21"/>
      <c r="J182" s="24">
        <v>1</v>
      </c>
      <c r="K182" s="21"/>
      <c r="L182" s="21"/>
    </row>
    <row r="183" spans="1:12" ht="17.25" customHeight="1" x14ac:dyDescent="0.2">
      <c r="A183" s="21">
        <v>182</v>
      </c>
      <c r="B183" s="22" t="s">
        <v>343</v>
      </c>
      <c r="C183" s="22" t="s">
        <v>211</v>
      </c>
      <c r="D183" s="21" t="s">
        <v>354</v>
      </c>
      <c r="E183" s="21">
        <v>185.1</v>
      </c>
      <c r="F183" s="23">
        <v>1</v>
      </c>
      <c r="G183" s="23">
        <v>0.93</v>
      </c>
      <c r="H183" s="21">
        <v>619</v>
      </c>
      <c r="I183" s="21"/>
      <c r="J183" s="24">
        <v>8.1999999999999993</v>
      </c>
      <c r="K183" s="21"/>
      <c r="L183" s="21"/>
    </row>
    <row r="184" spans="1:12" ht="17.25" customHeight="1" x14ac:dyDescent="0.2">
      <c r="A184" s="21">
        <v>183</v>
      </c>
      <c r="B184" s="22" t="s">
        <v>291</v>
      </c>
      <c r="C184" s="22" t="s">
        <v>57</v>
      </c>
      <c r="D184" s="21" t="s">
        <v>78</v>
      </c>
      <c r="E184" s="21">
        <v>185.1</v>
      </c>
      <c r="F184" s="23">
        <v>1</v>
      </c>
      <c r="G184" s="23">
        <v>1</v>
      </c>
      <c r="H184" s="21">
        <v>553</v>
      </c>
      <c r="I184" s="21"/>
      <c r="J184" s="24">
        <v>13.2</v>
      </c>
      <c r="K184" s="21"/>
      <c r="L184" s="21"/>
    </row>
    <row r="185" spans="1:12" ht="17.25" customHeight="1" x14ac:dyDescent="0.2">
      <c r="A185" s="21">
        <v>184</v>
      </c>
      <c r="B185" s="22" t="s">
        <v>220</v>
      </c>
      <c r="C185" s="22" t="s">
        <v>32</v>
      </c>
      <c r="D185" s="21" t="s">
        <v>78</v>
      </c>
      <c r="E185" s="21">
        <v>185.2</v>
      </c>
      <c r="F185" s="23">
        <v>1</v>
      </c>
      <c r="G185" s="23">
        <v>1</v>
      </c>
      <c r="H185" s="21">
        <v>560</v>
      </c>
      <c r="I185" s="21"/>
      <c r="J185" s="24">
        <v>8.6</v>
      </c>
      <c r="K185" s="21"/>
      <c r="L185" s="21"/>
    </row>
    <row r="186" spans="1:12" ht="17.25" customHeight="1" x14ac:dyDescent="0.2">
      <c r="A186" s="21">
        <v>185</v>
      </c>
      <c r="B186" s="22" t="s">
        <v>1241</v>
      </c>
      <c r="C186" s="22" t="s">
        <v>313</v>
      </c>
      <c r="D186" s="21" t="s">
        <v>74</v>
      </c>
      <c r="E186" s="21">
        <v>185.9</v>
      </c>
      <c r="F186" s="23">
        <v>1</v>
      </c>
      <c r="G186" s="23">
        <v>1</v>
      </c>
      <c r="H186" s="21">
        <v>297</v>
      </c>
      <c r="I186" s="21"/>
      <c r="J186" s="24">
        <v>2.6</v>
      </c>
      <c r="K186" s="21"/>
      <c r="L186" s="21"/>
    </row>
    <row r="187" spans="1:12" ht="17.25" customHeight="1" x14ac:dyDescent="0.2">
      <c r="A187" s="21">
        <v>186</v>
      </c>
      <c r="B187" s="22" t="s">
        <v>920</v>
      </c>
      <c r="C187" s="22" t="s">
        <v>46</v>
      </c>
      <c r="D187" s="21" t="s">
        <v>19</v>
      </c>
      <c r="E187" s="21">
        <v>186.3</v>
      </c>
      <c r="F187" s="23">
        <v>1</v>
      </c>
      <c r="G187" s="23">
        <v>0.96</v>
      </c>
      <c r="H187" s="21">
        <v>523</v>
      </c>
      <c r="I187" s="21"/>
      <c r="J187" s="24">
        <v>9.1</v>
      </c>
      <c r="K187" s="21"/>
      <c r="L187" s="21"/>
    </row>
    <row r="188" spans="1:12" ht="17.25" customHeight="1" x14ac:dyDescent="0.2">
      <c r="A188" s="21">
        <v>187</v>
      </c>
      <c r="B188" s="22" t="s">
        <v>641</v>
      </c>
      <c r="C188" s="22" t="s">
        <v>27</v>
      </c>
      <c r="D188" s="21" t="s">
        <v>82</v>
      </c>
      <c r="E188" s="21">
        <v>186.5</v>
      </c>
      <c r="F188" s="23">
        <v>1</v>
      </c>
      <c r="G188" s="23">
        <v>1</v>
      </c>
      <c r="H188" s="21">
        <v>649</v>
      </c>
      <c r="I188" s="21"/>
      <c r="J188" s="24">
        <v>9.3000000000000007</v>
      </c>
      <c r="K188" s="21"/>
      <c r="L188" s="21"/>
    </row>
    <row r="189" spans="1:12" ht="17.25" customHeight="1" x14ac:dyDescent="0.2">
      <c r="A189" s="21">
        <v>188</v>
      </c>
      <c r="B189" s="22" t="s">
        <v>133</v>
      </c>
      <c r="C189" s="22" t="s">
        <v>21</v>
      </c>
      <c r="D189" s="21" t="s">
        <v>28</v>
      </c>
      <c r="E189" s="21">
        <v>187.3</v>
      </c>
      <c r="F189" s="23">
        <v>1</v>
      </c>
      <c r="G189" s="23">
        <v>1</v>
      </c>
      <c r="H189" s="21"/>
      <c r="I189" s="21">
        <v>182</v>
      </c>
      <c r="J189" s="24">
        <v>3.1</v>
      </c>
      <c r="K189" s="21"/>
      <c r="L189" s="21"/>
    </row>
    <row r="190" spans="1:12" ht="17.25" customHeight="1" x14ac:dyDescent="0.2">
      <c r="A190" s="21">
        <v>189</v>
      </c>
      <c r="B190" s="22" t="s">
        <v>230</v>
      </c>
      <c r="C190" s="22" t="s">
        <v>232</v>
      </c>
      <c r="D190" s="21" t="s">
        <v>69</v>
      </c>
      <c r="E190" s="21">
        <v>188.1</v>
      </c>
      <c r="F190" s="23">
        <v>1</v>
      </c>
      <c r="G190" s="23">
        <v>0.93</v>
      </c>
      <c r="H190" s="21"/>
      <c r="I190" s="21">
        <v>66</v>
      </c>
      <c r="J190" s="24">
        <v>-10.3</v>
      </c>
      <c r="K190" s="21"/>
      <c r="L190" s="21"/>
    </row>
    <row r="191" spans="1:12" ht="17.25" customHeight="1" x14ac:dyDescent="0.2">
      <c r="A191" s="21">
        <v>190</v>
      </c>
      <c r="B191" s="22" t="s">
        <v>106</v>
      </c>
      <c r="C191" s="22" t="s">
        <v>64</v>
      </c>
      <c r="D191" s="21" t="s">
        <v>25</v>
      </c>
      <c r="E191" s="21">
        <v>189.5</v>
      </c>
      <c r="F191" s="23">
        <v>1</v>
      </c>
      <c r="G191" s="23">
        <v>1</v>
      </c>
      <c r="H191" s="21">
        <v>663</v>
      </c>
      <c r="I191" s="21"/>
      <c r="J191" s="24">
        <v>9.9</v>
      </c>
      <c r="K191" s="21"/>
      <c r="L191" s="21"/>
    </row>
    <row r="192" spans="1:12" ht="17.25" customHeight="1" x14ac:dyDescent="0.2">
      <c r="A192" s="21">
        <v>191</v>
      </c>
      <c r="B192" s="22" t="s">
        <v>79</v>
      </c>
      <c r="C192" s="22" t="s">
        <v>36</v>
      </c>
      <c r="D192" s="21" t="s">
        <v>25</v>
      </c>
      <c r="E192" s="21">
        <v>189.8</v>
      </c>
      <c r="F192" s="23">
        <v>1</v>
      </c>
      <c r="G192" s="23">
        <v>0.98</v>
      </c>
      <c r="H192" s="21">
        <v>371</v>
      </c>
      <c r="I192" s="21"/>
      <c r="J192" s="24">
        <v>-1.3</v>
      </c>
      <c r="K192" s="21"/>
      <c r="L192" s="21"/>
    </row>
    <row r="193" spans="1:12" ht="17.25" customHeight="1" x14ac:dyDescent="0.2">
      <c r="A193" s="21">
        <v>192</v>
      </c>
      <c r="B193" s="22" t="s">
        <v>820</v>
      </c>
      <c r="C193" s="22" t="s">
        <v>232</v>
      </c>
      <c r="D193" s="21" t="s">
        <v>82</v>
      </c>
      <c r="E193" s="21">
        <v>190.7</v>
      </c>
      <c r="F193" s="23">
        <v>1</v>
      </c>
      <c r="G193" s="23">
        <v>0.96</v>
      </c>
      <c r="H193" s="21">
        <v>422</v>
      </c>
      <c r="I193" s="21"/>
      <c r="J193" s="24">
        <v>5.0999999999999996</v>
      </c>
      <c r="K193" s="21"/>
      <c r="L193" s="21"/>
    </row>
    <row r="194" spans="1:12" ht="17.25" customHeight="1" x14ac:dyDescent="0.2">
      <c r="A194" s="21">
        <v>193</v>
      </c>
      <c r="B194" s="22" t="s">
        <v>1825</v>
      </c>
      <c r="C194" s="22" t="s">
        <v>15</v>
      </c>
      <c r="D194" s="21" t="s">
        <v>28</v>
      </c>
      <c r="E194" s="21">
        <v>192.4</v>
      </c>
      <c r="F194" s="23">
        <v>1</v>
      </c>
      <c r="G194" s="23">
        <v>0.36</v>
      </c>
      <c r="H194" s="21"/>
      <c r="I194" s="21">
        <v>195</v>
      </c>
      <c r="J194" s="24">
        <v>24.8</v>
      </c>
      <c r="K194" s="21"/>
      <c r="L194" s="21"/>
    </row>
    <row r="195" spans="1:12" ht="17.25" customHeight="1" x14ac:dyDescent="0.2">
      <c r="A195" s="21">
        <v>194</v>
      </c>
      <c r="B195" s="22" t="s">
        <v>1416</v>
      </c>
      <c r="C195" s="22" t="s">
        <v>64</v>
      </c>
      <c r="D195" s="21" t="s">
        <v>28</v>
      </c>
      <c r="E195" s="21">
        <v>193</v>
      </c>
      <c r="F195" s="23">
        <v>1</v>
      </c>
      <c r="G195" s="23">
        <v>0.93</v>
      </c>
      <c r="H195" s="21"/>
      <c r="I195" s="21">
        <v>118</v>
      </c>
      <c r="J195" s="24">
        <v>12.7</v>
      </c>
      <c r="K195" s="21"/>
      <c r="L195" s="21"/>
    </row>
    <row r="196" spans="1:12" ht="17.25" customHeight="1" x14ac:dyDescent="0.2">
      <c r="A196" s="21">
        <v>195</v>
      </c>
      <c r="B196" s="22" t="s">
        <v>1242</v>
      </c>
      <c r="C196" s="22" t="s">
        <v>34</v>
      </c>
      <c r="D196" s="21" t="s">
        <v>719</v>
      </c>
      <c r="E196" s="21">
        <v>197.7</v>
      </c>
      <c r="F196" s="23">
        <v>1</v>
      </c>
      <c r="G196" s="23">
        <v>0.98</v>
      </c>
      <c r="H196" s="21">
        <v>58</v>
      </c>
      <c r="I196" s="21"/>
      <c r="J196" s="24">
        <v>-18.3</v>
      </c>
      <c r="K196" s="21"/>
      <c r="L196" s="21"/>
    </row>
    <row r="197" spans="1:12" ht="17.25" customHeight="1" x14ac:dyDescent="0.2">
      <c r="A197" s="21">
        <v>196</v>
      </c>
      <c r="B197" s="22" t="s">
        <v>1243</v>
      </c>
      <c r="C197" s="22" t="s">
        <v>132</v>
      </c>
      <c r="D197" s="21" t="s">
        <v>25</v>
      </c>
      <c r="E197" s="21">
        <v>198.3</v>
      </c>
      <c r="F197" s="23">
        <v>1</v>
      </c>
      <c r="G197" s="23">
        <v>0.98</v>
      </c>
      <c r="H197" s="21">
        <v>351</v>
      </c>
      <c r="I197" s="21"/>
      <c r="J197" s="24">
        <v>0.5</v>
      </c>
      <c r="K197" s="21"/>
      <c r="L197" s="21"/>
    </row>
    <row r="198" spans="1:12" ht="17.25" customHeight="1" x14ac:dyDescent="0.2">
      <c r="A198" s="21">
        <v>197</v>
      </c>
      <c r="B198" s="22" t="s">
        <v>292</v>
      </c>
      <c r="C198" s="22" t="s">
        <v>30</v>
      </c>
      <c r="D198" s="21" t="s">
        <v>28</v>
      </c>
      <c r="E198" s="21">
        <v>199.5</v>
      </c>
      <c r="F198" s="23">
        <v>1</v>
      </c>
      <c r="G198" s="23">
        <v>0.95</v>
      </c>
      <c r="H198" s="21"/>
      <c r="I198" s="21">
        <v>166</v>
      </c>
      <c r="J198" s="24">
        <v>-3.9</v>
      </c>
      <c r="K198" s="21"/>
      <c r="L198" s="21"/>
    </row>
    <row r="199" spans="1:12" ht="17.25" customHeight="1" x14ac:dyDescent="0.2">
      <c r="A199" s="21">
        <v>198</v>
      </c>
      <c r="B199" s="22" t="s">
        <v>258</v>
      </c>
      <c r="C199" s="22" t="s">
        <v>30</v>
      </c>
      <c r="D199" s="21" t="s">
        <v>87</v>
      </c>
      <c r="E199" s="21">
        <v>201.2</v>
      </c>
      <c r="F199" s="23">
        <v>0.96</v>
      </c>
      <c r="G199" s="23">
        <v>0.47</v>
      </c>
      <c r="H199" s="21">
        <v>352</v>
      </c>
      <c r="I199" s="21"/>
      <c r="J199" s="24">
        <v>-0.9</v>
      </c>
      <c r="K199" s="21"/>
      <c r="L199" s="21"/>
    </row>
    <row r="200" spans="1:12" ht="17.25" customHeight="1" x14ac:dyDescent="0.2">
      <c r="A200" s="21">
        <v>199</v>
      </c>
      <c r="B200" s="22" t="s">
        <v>159</v>
      </c>
      <c r="C200" s="22" t="s">
        <v>36</v>
      </c>
      <c r="D200" s="21" t="s">
        <v>69</v>
      </c>
      <c r="E200" s="21">
        <v>203.4</v>
      </c>
      <c r="F200" s="23">
        <v>1</v>
      </c>
      <c r="G200" s="23">
        <v>0.75</v>
      </c>
      <c r="H200" s="21"/>
      <c r="I200" s="21">
        <v>69.099999999999994</v>
      </c>
      <c r="J200" s="24">
        <v>9.8000000000000007</v>
      </c>
      <c r="K200" s="21"/>
      <c r="L200" s="21"/>
    </row>
    <row r="201" spans="1:12" ht="17.25" customHeight="1" x14ac:dyDescent="0.2">
      <c r="A201" s="21">
        <v>200</v>
      </c>
      <c r="B201" s="22" t="s">
        <v>570</v>
      </c>
      <c r="C201" s="22" t="s">
        <v>313</v>
      </c>
      <c r="D201" s="21" t="s">
        <v>69</v>
      </c>
      <c r="E201" s="21">
        <v>203.7</v>
      </c>
      <c r="F201" s="23">
        <v>0.84</v>
      </c>
      <c r="G201" s="23">
        <v>0.8</v>
      </c>
      <c r="H201" s="21"/>
      <c r="I201" s="21">
        <v>62.1</v>
      </c>
      <c r="J201" s="24">
        <v>-5.9</v>
      </c>
      <c r="K201" s="21"/>
      <c r="L201" s="21"/>
    </row>
    <row r="202" spans="1:12" ht="17.25" customHeight="1" x14ac:dyDescent="0.2">
      <c r="A202" s="21">
        <v>201</v>
      </c>
      <c r="B202" s="22" t="s">
        <v>97</v>
      </c>
      <c r="C202" s="22" t="s">
        <v>57</v>
      </c>
      <c r="D202" s="21" t="s">
        <v>16</v>
      </c>
      <c r="E202" s="21">
        <v>205.1</v>
      </c>
      <c r="F202" s="23">
        <v>1</v>
      </c>
      <c r="G202" s="23">
        <v>1</v>
      </c>
      <c r="H202" s="21">
        <v>654</v>
      </c>
      <c r="I202" s="21"/>
      <c r="J202" s="24">
        <v>3.2</v>
      </c>
      <c r="K202" s="21"/>
      <c r="L202" s="21"/>
    </row>
    <row r="203" spans="1:12" ht="17.25" customHeight="1" x14ac:dyDescent="0.2">
      <c r="A203" s="21">
        <v>202</v>
      </c>
      <c r="B203" s="22" t="s">
        <v>113</v>
      </c>
      <c r="C203" s="22" t="s">
        <v>89</v>
      </c>
      <c r="D203" s="21" t="s">
        <v>19</v>
      </c>
      <c r="E203" s="21">
        <v>205.1</v>
      </c>
      <c r="F203" s="23">
        <v>1</v>
      </c>
      <c r="G203" s="23">
        <v>0.95</v>
      </c>
      <c r="H203" s="21">
        <v>390</v>
      </c>
      <c r="I203" s="21"/>
      <c r="J203" s="24">
        <v>-7.2</v>
      </c>
      <c r="K203" s="21"/>
      <c r="L203" s="21"/>
    </row>
    <row r="204" spans="1:12" ht="17.25" customHeight="1" x14ac:dyDescent="0.2">
      <c r="A204" s="21">
        <v>203</v>
      </c>
      <c r="B204" s="22" t="s">
        <v>170</v>
      </c>
      <c r="C204" s="22" t="s">
        <v>50</v>
      </c>
      <c r="D204" s="21" t="s">
        <v>82</v>
      </c>
      <c r="E204" s="21">
        <v>205.2</v>
      </c>
      <c r="F204" s="23">
        <v>1</v>
      </c>
      <c r="G204" s="23">
        <v>1</v>
      </c>
      <c r="H204" s="21">
        <v>640</v>
      </c>
      <c r="I204" s="21"/>
      <c r="J204" s="24">
        <v>7.6</v>
      </c>
      <c r="K204" s="21"/>
      <c r="L204" s="21"/>
    </row>
    <row r="205" spans="1:12" ht="17.25" customHeight="1" x14ac:dyDescent="0.2">
      <c r="A205" s="21">
        <v>204</v>
      </c>
      <c r="B205" s="22" t="s">
        <v>1417</v>
      </c>
      <c r="C205" s="22" t="s">
        <v>18</v>
      </c>
      <c r="D205" s="21" t="s">
        <v>28</v>
      </c>
      <c r="E205" s="21">
        <v>205.6</v>
      </c>
      <c r="F205" s="23">
        <v>1</v>
      </c>
      <c r="G205" s="23">
        <v>0.96</v>
      </c>
      <c r="H205" s="21"/>
      <c r="I205" s="21">
        <v>116</v>
      </c>
      <c r="J205" s="24">
        <v>9.8000000000000007</v>
      </c>
      <c r="K205" s="21"/>
      <c r="L205" s="21"/>
    </row>
    <row r="206" spans="1:12" ht="17.25" customHeight="1" x14ac:dyDescent="0.2">
      <c r="A206" s="21">
        <v>205</v>
      </c>
      <c r="B206" s="22" t="s">
        <v>773</v>
      </c>
      <c r="C206" s="22" t="s">
        <v>42</v>
      </c>
      <c r="D206" s="21" t="s">
        <v>84</v>
      </c>
      <c r="E206" s="21">
        <v>206.2</v>
      </c>
      <c r="F206" s="23">
        <v>1</v>
      </c>
      <c r="G206" s="23">
        <v>0.95</v>
      </c>
      <c r="H206" s="21">
        <v>502</v>
      </c>
      <c r="I206" s="21"/>
      <c r="J206" s="24">
        <v>4.2</v>
      </c>
      <c r="K206" s="21"/>
      <c r="L206" s="21"/>
    </row>
    <row r="207" spans="1:12" ht="17.25" customHeight="1" x14ac:dyDescent="0.2">
      <c r="A207" s="21">
        <v>206</v>
      </c>
      <c r="B207" s="22" t="s">
        <v>279</v>
      </c>
      <c r="C207" s="22" t="s">
        <v>15</v>
      </c>
      <c r="D207" s="21" t="s">
        <v>214</v>
      </c>
      <c r="E207" s="21">
        <v>206.5</v>
      </c>
      <c r="F207" s="23">
        <v>1</v>
      </c>
      <c r="G207" s="23">
        <v>0.96</v>
      </c>
      <c r="H207" s="21">
        <v>370</v>
      </c>
      <c r="I207" s="21"/>
      <c r="J207" s="24">
        <v>4.2</v>
      </c>
      <c r="K207" s="21"/>
      <c r="L207" s="21"/>
    </row>
    <row r="208" spans="1:12" ht="17.25" customHeight="1" x14ac:dyDescent="0.2">
      <c r="A208" s="21">
        <v>207</v>
      </c>
      <c r="B208" s="22" t="s">
        <v>279</v>
      </c>
      <c r="C208" s="22" t="s">
        <v>15</v>
      </c>
      <c r="D208" s="21" t="s">
        <v>69</v>
      </c>
      <c r="E208" s="21">
        <v>206.5</v>
      </c>
      <c r="F208" s="23">
        <v>1</v>
      </c>
      <c r="G208" s="23">
        <v>0.96</v>
      </c>
      <c r="H208" s="21"/>
      <c r="I208" s="21">
        <v>1</v>
      </c>
      <c r="J208" s="24">
        <v>-15.2</v>
      </c>
      <c r="K208" s="21"/>
      <c r="L208" s="21"/>
    </row>
    <row r="209" spans="1:12" ht="17.25" customHeight="1" x14ac:dyDescent="0.2">
      <c r="A209" s="21">
        <v>208</v>
      </c>
      <c r="B209" s="22" t="s">
        <v>289</v>
      </c>
      <c r="C209" s="22" t="s">
        <v>42</v>
      </c>
      <c r="D209" s="21" t="s">
        <v>25</v>
      </c>
      <c r="E209" s="21">
        <v>208.2</v>
      </c>
      <c r="F209" s="23">
        <v>1</v>
      </c>
      <c r="G209" s="23">
        <v>0.91</v>
      </c>
      <c r="H209" s="21">
        <v>271</v>
      </c>
      <c r="I209" s="21"/>
      <c r="J209" s="24">
        <v>-1.7</v>
      </c>
      <c r="K209" s="21"/>
      <c r="L209" s="21"/>
    </row>
    <row r="210" spans="1:12" ht="17.25" customHeight="1" x14ac:dyDescent="0.2">
      <c r="A210" s="21">
        <v>209</v>
      </c>
      <c r="B210" s="22" t="s">
        <v>1244</v>
      </c>
      <c r="C210" s="22" t="s">
        <v>18</v>
      </c>
      <c r="D210" s="21" t="s">
        <v>25</v>
      </c>
      <c r="E210" s="21">
        <v>209.4</v>
      </c>
      <c r="F210" s="23">
        <v>1</v>
      </c>
      <c r="G210" s="23">
        <v>0.91</v>
      </c>
      <c r="H210" s="21">
        <v>232</v>
      </c>
      <c r="I210" s="21"/>
      <c r="J210" s="24">
        <v>-20.2</v>
      </c>
      <c r="K210" s="21"/>
      <c r="L210" s="21"/>
    </row>
    <row r="211" spans="1:12" ht="17.25" customHeight="1" x14ac:dyDescent="0.2">
      <c r="A211" s="21">
        <v>210</v>
      </c>
      <c r="B211" s="22" t="s">
        <v>318</v>
      </c>
      <c r="C211" s="22" t="s">
        <v>34</v>
      </c>
      <c r="D211" s="21" t="s">
        <v>28</v>
      </c>
      <c r="E211" s="21">
        <v>211.2</v>
      </c>
      <c r="F211" s="23">
        <v>1</v>
      </c>
      <c r="G211" s="23">
        <v>0.96</v>
      </c>
      <c r="H211" s="21"/>
      <c r="I211" s="21">
        <v>166</v>
      </c>
      <c r="J211" s="24">
        <v>12.8</v>
      </c>
      <c r="K211" s="21"/>
      <c r="L211" s="21"/>
    </row>
    <row r="212" spans="1:12" ht="17.25" customHeight="1" x14ac:dyDescent="0.2">
      <c r="A212" s="21">
        <v>211</v>
      </c>
      <c r="B212" s="22" t="s">
        <v>370</v>
      </c>
      <c r="C212" s="22" t="s">
        <v>39</v>
      </c>
      <c r="D212" s="21" t="s">
        <v>25</v>
      </c>
      <c r="E212" s="21">
        <v>211.5</v>
      </c>
      <c r="F212" s="23">
        <v>1</v>
      </c>
      <c r="G212" s="23">
        <v>0.95</v>
      </c>
      <c r="H212" s="21">
        <v>594</v>
      </c>
      <c r="I212" s="21"/>
      <c r="J212" s="24">
        <v>12.5</v>
      </c>
      <c r="K212" s="21"/>
      <c r="L212" s="21"/>
    </row>
    <row r="213" spans="1:12" ht="17.25" customHeight="1" x14ac:dyDescent="0.2">
      <c r="A213" s="21">
        <v>212</v>
      </c>
      <c r="B213" s="22" t="s">
        <v>150</v>
      </c>
      <c r="C213" s="22" t="s">
        <v>32</v>
      </c>
      <c r="D213" s="21" t="s">
        <v>28</v>
      </c>
      <c r="E213" s="21">
        <v>212.1</v>
      </c>
      <c r="F213" s="23">
        <v>1</v>
      </c>
      <c r="G213" s="23">
        <v>0.98</v>
      </c>
      <c r="H213" s="21"/>
      <c r="I213" s="21">
        <v>94</v>
      </c>
      <c r="J213" s="24">
        <v>-9.1999999999999993</v>
      </c>
      <c r="K213" s="21"/>
      <c r="L213" s="21"/>
    </row>
    <row r="214" spans="1:12" ht="17.25" customHeight="1" x14ac:dyDescent="0.2">
      <c r="A214" s="21">
        <v>213</v>
      </c>
      <c r="B214" s="22" t="s">
        <v>221</v>
      </c>
      <c r="C214" s="22" t="s">
        <v>32</v>
      </c>
      <c r="D214" s="21" t="s">
        <v>74</v>
      </c>
      <c r="E214" s="21">
        <v>215.8</v>
      </c>
      <c r="F214" s="23">
        <v>1</v>
      </c>
      <c r="G214" s="23">
        <v>0.96</v>
      </c>
      <c r="H214" s="21">
        <v>550</v>
      </c>
      <c r="I214" s="21"/>
      <c r="J214" s="24">
        <v>9.6</v>
      </c>
      <c r="K214" s="21"/>
      <c r="L214" s="21"/>
    </row>
    <row r="215" spans="1:12" ht="17.25" customHeight="1" x14ac:dyDescent="0.2">
      <c r="A215" s="21">
        <v>214</v>
      </c>
      <c r="B215" s="22" t="s">
        <v>536</v>
      </c>
      <c r="C215" s="22" t="s">
        <v>24</v>
      </c>
      <c r="D215" s="21" t="s">
        <v>53</v>
      </c>
      <c r="E215" s="21">
        <v>217.8</v>
      </c>
      <c r="F215" s="23">
        <v>1</v>
      </c>
      <c r="G215" s="23">
        <v>0.95</v>
      </c>
      <c r="H215" s="21">
        <v>524</v>
      </c>
      <c r="I215" s="21"/>
      <c r="J215" s="24">
        <v>10.4</v>
      </c>
      <c r="K215" s="21"/>
      <c r="L215" s="21"/>
    </row>
    <row r="216" spans="1:12" ht="17.25" customHeight="1" x14ac:dyDescent="0.2">
      <c r="A216" s="21">
        <v>215</v>
      </c>
      <c r="B216" s="22" t="s">
        <v>278</v>
      </c>
      <c r="C216" s="22" t="s">
        <v>48</v>
      </c>
      <c r="D216" s="21" t="s">
        <v>25</v>
      </c>
      <c r="E216" s="21">
        <v>219.2</v>
      </c>
      <c r="F216" s="23">
        <v>1</v>
      </c>
      <c r="G216" s="23">
        <v>0.96</v>
      </c>
      <c r="H216" s="21">
        <v>417</v>
      </c>
      <c r="I216" s="21"/>
      <c r="J216" s="24">
        <v>3.9</v>
      </c>
      <c r="K216" s="21"/>
      <c r="L216" s="21"/>
    </row>
    <row r="217" spans="1:12" ht="17.25" customHeight="1" x14ac:dyDescent="0.2">
      <c r="A217" s="21">
        <v>216</v>
      </c>
      <c r="B217" s="22" t="s">
        <v>1826</v>
      </c>
      <c r="C217" s="22" t="s">
        <v>66</v>
      </c>
      <c r="D217" s="21" t="s">
        <v>25</v>
      </c>
      <c r="E217" s="21">
        <v>220.8</v>
      </c>
      <c r="F217" s="23">
        <v>1</v>
      </c>
      <c r="G217" s="23">
        <v>0.95</v>
      </c>
      <c r="H217" s="21">
        <v>488</v>
      </c>
      <c r="I217" s="21"/>
      <c r="J217" s="24">
        <v>12.9</v>
      </c>
      <c r="K217" s="21"/>
      <c r="L217" s="21"/>
    </row>
    <row r="218" spans="1:12" ht="17.25" customHeight="1" x14ac:dyDescent="0.2">
      <c r="A218" s="21">
        <v>217</v>
      </c>
      <c r="B218" s="22" t="s">
        <v>194</v>
      </c>
      <c r="C218" s="22" t="s">
        <v>55</v>
      </c>
      <c r="D218" s="21" t="s">
        <v>25</v>
      </c>
      <c r="E218" s="21">
        <v>222</v>
      </c>
      <c r="F218" s="23">
        <v>1</v>
      </c>
      <c r="G218" s="23">
        <v>0.96</v>
      </c>
      <c r="H218" s="21">
        <v>695</v>
      </c>
      <c r="I218" s="21"/>
      <c r="J218" s="24">
        <v>9.4</v>
      </c>
      <c r="K218" s="21"/>
      <c r="L218" s="21"/>
    </row>
    <row r="219" spans="1:12" ht="17.25" customHeight="1" x14ac:dyDescent="0.2">
      <c r="A219" s="21">
        <v>218</v>
      </c>
      <c r="B219" s="22" t="s">
        <v>464</v>
      </c>
      <c r="C219" s="22" t="s">
        <v>50</v>
      </c>
      <c r="D219" s="21" t="s">
        <v>69</v>
      </c>
      <c r="E219" s="21">
        <v>222.9</v>
      </c>
      <c r="F219" s="23">
        <v>1</v>
      </c>
      <c r="G219" s="23">
        <v>0.78</v>
      </c>
      <c r="H219" s="21"/>
      <c r="I219" s="21">
        <v>71</v>
      </c>
      <c r="J219" s="24">
        <v>0.2</v>
      </c>
      <c r="K219" s="21"/>
      <c r="L219" s="21"/>
    </row>
    <row r="220" spans="1:12" ht="17.25" customHeight="1" x14ac:dyDescent="0.2">
      <c r="A220" s="21">
        <v>219</v>
      </c>
      <c r="B220" s="22" t="s">
        <v>92</v>
      </c>
      <c r="C220" s="22" t="s">
        <v>27</v>
      </c>
      <c r="D220" s="21" t="s">
        <v>28</v>
      </c>
      <c r="E220" s="21">
        <v>223.3</v>
      </c>
      <c r="F220" s="23">
        <v>1</v>
      </c>
      <c r="G220" s="23">
        <v>0.95</v>
      </c>
      <c r="H220" s="21"/>
      <c r="I220" s="21">
        <v>161</v>
      </c>
      <c r="J220" s="24">
        <v>-1</v>
      </c>
      <c r="K220" s="21"/>
      <c r="L220" s="21"/>
    </row>
    <row r="221" spans="1:12" ht="17.25" customHeight="1" x14ac:dyDescent="0.2">
      <c r="A221" s="21">
        <v>220</v>
      </c>
      <c r="B221" s="22" t="s">
        <v>1830</v>
      </c>
      <c r="C221" s="22" t="s">
        <v>32</v>
      </c>
      <c r="D221" s="21" t="s">
        <v>25</v>
      </c>
      <c r="E221" s="21">
        <v>225.1</v>
      </c>
      <c r="F221" s="23">
        <v>1</v>
      </c>
      <c r="G221" s="23">
        <v>1</v>
      </c>
      <c r="H221" s="21">
        <v>547</v>
      </c>
      <c r="I221" s="21"/>
      <c r="J221" s="24">
        <v>3.4</v>
      </c>
      <c r="K221" s="21"/>
      <c r="L221" s="21"/>
    </row>
    <row r="222" spans="1:12" ht="17.25" customHeight="1" x14ac:dyDescent="0.2">
      <c r="A222" s="21">
        <v>221</v>
      </c>
      <c r="B222" s="22" t="s">
        <v>197</v>
      </c>
      <c r="C222" s="22" t="s">
        <v>52</v>
      </c>
      <c r="D222" s="21" t="s">
        <v>28</v>
      </c>
      <c r="E222" s="21">
        <v>226</v>
      </c>
      <c r="F222" s="23">
        <v>1</v>
      </c>
      <c r="G222" s="23">
        <v>0.89</v>
      </c>
      <c r="H222" s="21"/>
      <c r="I222" s="21">
        <v>192</v>
      </c>
      <c r="J222" s="24">
        <v>-1.2</v>
      </c>
      <c r="K222" s="21"/>
      <c r="L222" s="21"/>
    </row>
    <row r="223" spans="1:12" ht="17.25" customHeight="1" x14ac:dyDescent="0.2">
      <c r="A223" s="21">
        <v>222</v>
      </c>
      <c r="B223" s="22" t="s">
        <v>255</v>
      </c>
      <c r="C223" s="22" t="s">
        <v>50</v>
      </c>
      <c r="D223" s="21" t="s">
        <v>87</v>
      </c>
      <c r="E223" s="21">
        <v>227.3</v>
      </c>
      <c r="F223" s="23">
        <v>1</v>
      </c>
      <c r="G223" s="23">
        <v>0.89</v>
      </c>
      <c r="H223" s="21">
        <v>438</v>
      </c>
      <c r="I223" s="21"/>
      <c r="J223" s="24">
        <v>-0.4</v>
      </c>
      <c r="K223" s="21"/>
      <c r="L223" s="21"/>
    </row>
    <row r="224" spans="1:12" ht="17.25" customHeight="1" x14ac:dyDescent="0.2">
      <c r="A224" s="21">
        <v>223</v>
      </c>
      <c r="B224" s="22" t="s">
        <v>1245</v>
      </c>
      <c r="C224" s="22" t="s">
        <v>313</v>
      </c>
      <c r="D224" s="21" t="s">
        <v>19</v>
      </c>
      <c r="E224" s="21">
        <v>227.9</v>
      </c>
      <c r="F224" s="23">
        <v>1</v>
      </c>
      <c r="G224" s="23">
        <v>0.91</v>
      </c>
      <c r="H224" s="21">
        <v>284</v>
      </c>
      <c r="I224" s="21"/>
      <c r="J224" s="24">
        <v>-2.2000000000000002</v>
      </c>
      <c r="K224" s="21"/>
      <c r="L224" s="21"/>
    </row>
    <row r="225" spans="1:12" ht="17.25" customHeight="1" x14ac:dyDescent="0.2">
      <c r="A225" s="21">
        <v>224</v>
      </c>
      <c r="B225" s="22" t="s">
        <v>360</v>
      </c>
      <c r="C225" s="22" t="s">
        <v>211</v>
      </c>
      <c r="D225" s="21" t="s">
        <v>354</v>
      </c>
      <c r="E225" s="21">
        <v>229.1</v>
      </c>
      <c r="F225" s="23">
        <v>1</v>
      </c>
      <c r="G225" s="23">
        <v>0.91</v>
      </c>
      <c r="H225" s="21">
        <v>594</v>
      </c>
      <c r="I225" s="21"/>
      <c r="J225" s="24">
        <v>7</v>
      </c>
      <c r="K225" s="21"/>
      <c r="L225" s="21"/>
    </row>
    <row r="226" spans="1:12" ht="17.25" customHeight="1" x14ac:dyDescent="0.2">
      <c r="A226" s="21">
        <v>225</v>
      </c>
      <c r="B226" s="22" t="s">
        <v>1418</v>
      </c>
      <c r="C226" s="22" t="s">
        <v>12</v>
      </c>
      <c r="D226" s="21" t="s">
        <v>28</v>
      </c>
      <c r="E226" s="21">
        <v>231.4</v>
      </c>
      <c r="F226" s="23">
        <v>1</v>
      </c>
      <c r="G226" s="23">
        <v>0.78</v>
      </c>
      <c r="H226" s="21"/>
      <c r="I226" s="21">
        <v>36</v>
      </c>
      <c r="J226" s="24">
        <v>-6.3</v>
      </c>
      <c r="K226" s="21"/>
      <c r="L226" s="21"/>
    </row>
    <row r="227" spans="1:12" ht="17.25" customHeight="1" x14ac:dyDescent="0.2">
      <c r="A227" s="21">
        <v>226</v>
      </c>
      <c r="B227" s="22" t="s">
        <v>376</v>
      </c>
      <c r="C227" s="22" t="s">
        <v>64</v>
      </c>
      <c r="D227" s="21" t="s">
        <v>28</v>
      </c>
      <c r="E227" s="21">
        <v>233.3</v>
      </c>
      <c r="F227" s="23">
        <v>1</v>
      </c>
      <c r="G227" s="23">
        <v>0.96</v>
      </c>
      <c r="H227" s="21"/>
      <c r="I227" s="21">
        <v>179.1</v>
      </c>
      <c r="J227" s="24">
        <v>16</v>
      </c>
      <c r="K227" s="21"/>
      <c r="L227" s="21"/>
    </row>
    <row r="228" spans="1:12" ht="17.25" customHeight="1" x14ac:dyDescent="0.2">
      <c r="A228" s="21">
        <v>227</v>
      </c>
      <c r="B228" s="22" t="s">
        <v>75</v>
      </c>
      <c r="C228" s="22" t="s">
        <v>60</v>
      </c>
      <c r="D228" s="21" t="s">
        <v>28</v>
      </c>
      <c r="E228" s="21">
        <v>233.7</v>
      </c>
      <c r="F228" s="23">
        <v>1</v>
      </c>
      <c r="G228" s="23">
        <v>0.91</v>
      </c>
      <c r="H228" s="21"/>
      <c r="I228" s="21">
        <v>90</v>
      </c>
      <c r="J228" s="24">
        <v>-10.8</v>
      </c>
      <c r="K228" s="21"/>
      <c r="L228" s="21"/>
    </row>
    <row r="229" spans="1:12" ht="17.25" customHeight="1" x14ac:dyDescent="0.2">
      <c r="A229" s="21">
        <v>228</v>
      </c>
      <c r="B229" s="22" t="s">
        <v>863</v>
      </c>
      <c r="C229" s="22" t="s">
        <v>21</v>
      </c>
      <c r="D229" s="21" t="s">
        <v>43</v>
      </c>
      <c r="E229" s="21">
        <v>235.2</v>
      </c>
      <c r="F229" s="23">
        <v>0.98</v>
      </c>
      <c r="G229" s="23">
        <v>0.87</v>
      </c>
      <c r="H229" s="21">
        <v>531</v>
      </c>
      <c r="I229" s="21"/>
      <c r="J229" s="24">
        <v>1</v>
      </c>
      <c r="K229" s="21"/>
      <c r="L229" s="21"/>
    </row>
    <row r="230" spans="1:12" ht="17.25" customHeight="1" x14ac:dyDescent="0.2">
      <c r="A230" s="21">
        <v>229</v>
      </c>
      <c r="B230" s="22" t="s">
        <v>854</v>
      </c>
      <c r="C230" s="22" t="s">
        <v>89</v>
      </c>
      <c r="D230" s="21" t="s">
        <v>25</v>
      </c>
      <c r="E230" s="21">
        <v>235.4</v>
      </c>
      <c r="F230" s="23">
        <v>1</v>
      </c>
      <c r="G230" s="23">
        <v>0.93</v>
      </c>
      <c r="H230" s="21">
        <v>588</v>
      </c>
      <c r="I230" s="21"/>
      <c r="J230" s="24">
        <v>5.5</v>
      </c>
      <c r="K230" s="21"/>
      <c r="L230" s="21"/>
    </row>
    <row r="231" spans="1:12" ht="17.25" customHeight="1" x14ac:dyDescent="0.2">
      <c r="A231" s="21">
        <v>230</v>
      </c>
      <c r="B231" s="22" t="s">
        <v>1246</v>
      </c>
      <c r="C231" s="22" t="s">
        <v>48</v>
      </c>
      <c r="D231" s="21" t="s">
        <v>87</v>
      </c>
      <c r="E231" s="21">
        <v>236.2</v>
      </c>
      <c r="F231" s="23">
        <v>1</v>
      </c>
      <c r="G231" s="23">
        <v>0.82</v>
      </c>
      <c r="H231" s="21">
        <v>506</v>
      </c>
      <c r="I231" s="21"/>
      <c r="J231" s="24">
        <v>3</v>
      </c>
      <c r="K231" s="21"/>
      <c r="L231" s="21"/>
    </row>
    <row r="232" spans="1:12" ht="17.25" customHeight="1" x14ac:dyDescent="0.2">
      <c r="A232" s="21">
        <v>231</v>
      </c>
      <c r="B232" s="22" t="s">
        <v>819</v>
      </c>
      <c r="C232" s="22" t="s">
        <v>140</v>
      </c>
      <c r="D232" s="21" t="s">
        <v>28</v>
      </c>
      <c r="E232" s="21">
        <v>237.5</v>
      </c>
      <c r="F232" s="23">
        <v>1</v>
      </c>
      <c r="G232" s="23">
        <v>0.82</v>
      </c>
      <c r="H232" s="21"/>
      <c r="I232" s="21">
        <v>151.1</v>
      </c>
      <c r="J232" s="24">
        <v>3.2</v>
      </c>
      <c r="K232" s="21"/>
      <c r="L232" s="21"/>
    </row>
    <row r="233" spans="1:12" ht="17.25" customHeight="1" x14ac:dyDescent="0.2">
      <c r="A233" s="21">
        <v>232</v>
      </c>
      <c r="B233" s="22" t="s">
        <v>333</v>
      </c>
      <c r="C233" s="22" t="s">
        <v>27</v>
      </c>
      <c r="D233" s="21" t="s">
        <v>16</v>
      </c>
      <c r="E233" s="21">
        <v>238.1</v>
      </c>
      <c r="F233" s="23">
        <v>1</v>
      </c>
      <c r="G233" s="23">
        <v>0.91</v>
      </c>
      <c r="H233" s="21">
        <v>464</v>
      </c>
      <c r="I233" s="21"/>
      <c r="J233" s="24">
        <v>5.0999999999999996</v>
      </c>
      <c r="K233" s="21"/>
      <c r="L233" s="21"/>
    </row>
    <row r="234" spans="1:12" ht="17.25" customHeight="1" x14ac:dyDescent="0.2">
      <c r="A234" s="21">
        <v>233</v>
      </c>
      <c r="B234" s="22" t="s">
        <v>1377</v>
      </c>
      <c r="C234" s="22" t="s">
        <v>132</v>
      </c>
      <c r="D234" s="21" t="s">
        <v>78</v>
      </c>
      <c r="E234" s="21">
        <v>240.8</v>
      </c>
      <c r="F234" s="23">
        <v>1</v>
      </c>
      <c r="G234" s="23">
        <v>0.84</v>
      </c>
      <c r="H234" s="21">
        <v>526</v>
      </c>
      <c r="I234" s="21"/>
      <c r="J234" s="24">
        <v>6.4</v>
      </c>
      <c r="K234" s="21"/>
      <c r="L234" s="21"/>
    </row>
    <row r="235" spans="1:12" ht="17.25" customHeight="1" x14ac:dyDescent="0.2">
      <c r="A235" s="21">
        <v>234</v>
      </c>
      <c r="B235" s="22" t="s">
        <v>387</v>
      </c>
      <c r="C235" s="22" t="s">
        <v>52</v>
      </c>
      <c r="D235" s="21" t="s">
        <v>28</v>
      </c>
      <c r="E235" s="21">
        <v>242.2</v>
      </c>
      <c r="F235" s="23">
        <v>1</v>
      </c>
      <c r="G235" s="23">
        <v>0.84</v>
      </c>
      <c r="H235" s="21"/>
      <c r="I235" s="21">
        <v>184</v>
      </c>
      <c r="J235" s="24">
        <v>12.4</v>
      </c>
      <c r="K235" s="21"/>
      <c r="L235" s="21"/>
    </row>
    <row r="236" spans="1:12" ht="17.25" customHeight="1" x14ac:dyDescent="0.2">
      <c r="A236" s="21">
        <v>235</v>
      </c>
      <c r="B236" s="22" t="s">
        <v>353</v>
      </c>
      <c r="C236" s="22" t="s">
        <v>66</v>
      </c>
      <c r="D236" s="21" t="s">
        <v>19</v>
      </c>
      <c r="E236" s="21">
        <v>243.1</v>
      </c>
      <c r="F236" s="23">
        <v>1</v>
      </c>
      <c r="G236" s="23">
        <v>0.93</v>
      </c>
      <c r="H236" s="21">
        <v>552</v>
      </c>
      <c r="I236" s="21"/>
      <c r="J236" s="24">
        <v>4.9000000000000004</v>
      </c>
      <c r="K236" s="21"/>
      <c r="L236" s="21"/>
    </row>
    <row r="237" spans="1:12" ht="17.25" customHeight="1" x14ac:dyDescent="0.2">
      <c r="A237" s="21">
        <v>236</v>
      </c>
      <c r="B237" s="22" t="s">
        <v>287</v>
      </c>
      <c r="C237" s="22" t="s">
        <v>15</v>
      </c>
      <c r="D237" s="21" t="s">
        <v>74</v>
      </c>
      <c r="E237" s="21">
        <v>245.6</v>
      </c>
      <c r="F237" s="23">
        <v>1</v>
      </c>
      <c r="G237" s="23">
        <v>0.89</v>
      </c>
      <c r="H237" s="21">
        <v>448</v>
      </c>
      <c r="I237" s="21"/>
      <c r="J237" s="24">
        <v>9.6999999999999993</v>
      </c>
      <c r="K237" s="21"/>
      <c r="L237" s="21"/>
    </row>
    <row r="238" spans="1:12" ht="17.25" customHeight="1" x14ac:dyDescent="0.2">
      <c r="A238" s="21">
        <v>237</v>
      </c>
      <c r="B238" s="22" t="s">
        <v>340</v>
      </c>
      <c r="C238" s="22" t="s">
        <v>15</v>
      </c>
      <c r="D238" s="21" t="s">
        <v>28</v>
      </c>
      <c r="E238" s="21">
        <v>248.5</v>
      </c>
      <c r="F238" s="23">
        <v>1</v>
      </c>
      <c r="G238" s="23">
        <v>0.75</v>
      </c>
      <c r="H238" s="21"/>
      <c r="I238" s="21">
        <v>38</v>
      </c>
      <c r="J238" s="24">
        <v>-3.4</v>
      </c>
      <c r="K238" s="21"/>
      <c r="L238" s="21"/>
    </row>
    <row r="239" spans="1:12" ht="17.25" customHeight="1" x14ac:dyDescent="0.2">
      <c r="A239" s="21">
        <v>238</v>
      </c>
      <c r="B239" s="22" t="s">
        <v>1419</v>
      </c>
      <c r="C239" s="22" t="s">
        <v>42</v>
      </c>
      <c r="D239" s="21" t="s">
        <v>28</v>
      </c>
      <c r="E239" s="21">
        <v>248.9</v>
      </c>
      <c r="F239" s="23">
        <v>1</v>
      </c>
      <c r="G239" s="23">
        <v>0.47</v>
      </c>
      <c r="H239" s="21"/>
      <c r="I239" s="21">
        <v>40</v>
      </c>
      <c r="J239" s="24">
        <v>0.7</v>
      </c>
      <c r="K239" s="21"/>
      <c r="L239" s="21"/>
    </row>
    <row r="240" spans="1:12" ht="17.25" customHeight="1" x14ac:dyDescent="0.2">
      <c r="A240" s="21">
        <v>239</v>
      </c>
      <c r="B240" s="22" t="s">
        <v>1420</v>
      </c>
      <c r="C240" s="22" t="s">
        <v>115</v>
      </c>
      <c r="D240" s="21" t="s">
        <v>69</v>
      </c>
      <c r="E240" s="21">
        <v>249.6</v>
      </c>
      <c r="F240" s="23">
        <v>1</v>
      </c>
      <c r="G240" s="23">
        <v>0.71</v>
      </c>
      <c r="H240" s="21"/>
      <c r="I240" s="21">
        <v>48</v>
      </c>
      <c r="J240" s="24">
        <v>-3.9</v>
      </c>
      <c r="K240" s="21"/>
      <c r="L240" s="21"/>
    </row>
    <row r="241" spans="1:12" ht="17.25" customHeight="1" x14ac:dyDescent="0.2">
      <c r="A241" s="21">
        <v>240</v>
      </c>
      <c r="B241" s="22" t="s">
        <v>233</v>
      </c>
      <c r="C241" s="22" t="s">
        <v>27</v>
      </c>
      <c r="D241" s="21" t="s">
        <v>78</v>
      </c>
      <c r="E241" s="21">
        <v>250.5</v>
      </c>
      <c r="F241" s="23">
        <v>0.98</v>
      </c>
      <c r="G241" s="23">
        <v>0.78</v>
      </c>
      <c r="H241" s="21">
        <v>628</v>
      </c>
      <c r="I241" s="21"/>
      <c r="J241" s="24">
        <v>7.2</v>
      </c>
      <c r="K241" s="21"/>
      <c r="L241" s="21"/>
    </row>
    <row r="242" spans="1:12" ht="17.25" customHeight="1" x14ac:dyDescent="0.2">
      <c r="A242" s="21">
        <v>241</v>
      </c>
      <c r="B242" s="22" t="s">
        <v>149</v>
      </c>
      <c r="C242" s="22" t="s">
        <v>24</v>
      </c>
      <c r="D242" s="21" t="s">
        <v>78</v>
      </c>
      <c r="E242" s="21">
        <v>251</v>
      </c>
      <c r="F242" s="23">
        <v>1</v>
      </c>
      <c r="G242" s="23">
        <v>0.76</v>
      </c>
      <c r="H242" s="21">
        <v>534</v>
      </c>
      <c r="I242" s="21"/>
      <c r="J242" s="24">
        <v>1</v>
      </c>
      <c r="K242" s="21"/>
      <c r="L242" s="21"/>
    </row>
    <row r="243" spans="1:12" ht="17.25" customHeight="1" x14ac:dyDescent="0.2">
      <c r="A243" s="21">
        <v>242</v>
      </c>
      <c r="B243" s="22" t="s">
        <v>293</v>
      </c>
      <c r="C243" s="22" t="s">
        <v>15</v>
      </c>
      <c r="D243" s="21" t="s">
        <v>16</v>
      </c>
      <c r="E243" s="21">
        <v>251.9</v>
      </c>
      <c r="F243" s="23">
        <v>1</v>
      </c>
      <c r="G243" s="23">
        <v>0.95</v>
      </c>
      <c r="H243" s="21">
        <v>281</v>
      </c>
      <c r="I243" s="21"/>
      <c r="J243" s="24">
        <v>2</v>
      </c>
      <c r="K243" s="21"/>
      <c r="L243" s="21"/>
    </row>
    <row r="244" spans="1:12" ht="17.25" customHeight="1" x14ac:dyDescent="0.2">
      <c r="A244" s="21">
        <v>243</v>
      </c>
      <c r="B244" s="22" t="s">
        <v>437</v>
      </c>
      <c r="C244" s="22" t="s">
        <v>89</v>
      </c>
      <c r="D244" s="21" t="s">
        <v>25</v>
      </c>
      <c r="E244" s="21">
        <v>252.6</v>
      </c>
      <c r="F244" s="23">
        <v>1</v>
      </c>
      <c r="G244" s="23">
        <v>0.86</v>
      </c>
      <c r="H244" s="21">
        <v>461</v>
      </c>
      <c r="I244" s="21"/>
      <c r="J244" s="24">
        <v>9.1</v>
      </c>
      <c r="K244" s="21"/>
      <c r="L244" s="21"/>
    </row>
    <row r="245" spans="1:12" ht="17.25" customHeight="1" x14ac:dyDescent="0.2">
      <c r="A245" s="21">
        <v>244</v>
      </c>
      <c r="B245" s="22" t="s">
        <v>427</v>
      </c>
      <c r="C245" s="22" t="s">
        <v>12</v>
      </c>
      <c r="D245" s="21" t="s">
        <v>87</v>
      </c>
      <c r="E245" s="21">
        <v>253</v>
      </c>
      <c r="F245" s="23">
        <v>1</v>
      </c>
      <c r="G245" s="23">
        <v>0.84</v>
      </c>
      <c r="H245" s="21">
        <v>388</v>
      </c>
      <c r="I245" s="21"/>
      <c r="J245" s="24">
        <v>1</v>
      </c>
      <c r="K245" s="21"/>
      <c r="L245" s="21"/>
    </row>
    <row r="246" spans="1:12" ht="17.25" customHeight="1" x14ac:dyDescent="0.2">
      <c r="A246" s="21">
        <v>245</v>
      </c>
      <c r="B246" s="22" t="s">
        <v>1421</v>
      </c>
      <c r="C246" s="22" t="s">
        <v>313</v>
      </c>
      <c r="D246" s="21" t="s">
        <v>28</v>
      </c>
      <c r="E246" s="21">
        <v>253.4</v>
      </c>
      <c r="F246" s="23">
        <v>1</v>
      </c>
      <c r="G246" s="23">
        <v>0.82</v>
      </c>
      <c r="H246" s="21"/>
      <c r="I246" s="21">
        <v>146</v>
      </c>
      <c r="J246" s="24">
        <v>3.6</v>
      </c>
      <c r="K246" s="21"/>
      <c r="L246" s="21"/>
    </row>
    <row r="247" spans="1:12" ht="17.25" customHeight="1" x14ac:dyDescent="0.2">
      <c r="A247" s="21">
        <v>246</v>
      </c>
      <c r="B247" s="22" t="s">
        <v>620</v>
      </c>
      <c r="C247" s="22" t="s">
        <v>140</v>
      </c>
      <c r="D247" s="21" t="s">
        <v>69</v>
      </c>
      <c r="E247" s="21">
        <v>254.1</v>
      </c>
      <c r="F247" s="23">
        <v>1</v>
      </c>
      <c r="G247" s="23">
        <v>0.76</v>
      </c>
      <c r="H247" s="21"/>
      <c r="I247" s="21">
        <v>64</v>
      </c>
      <c r="J247" s="24">
        <v>-3.7</v>
      </c>
      <c r="K247" s="21"/>
      <c r="L247" s="21"/>
    </row>
    <row r="248" spans="1:12" ht="17.25" customHeight="1" x14ac:dyDescent="0.2">
      <c r="A248" s="21">
        <v>247</v>
      </c>
      <c r="B248" s="22" t="s">
        <v>168</v>
      </c>
      <c r="C248" s="22" t="s">
        <v>140</v>
      </c>
      <c r="D248" s="21" t="s">
        <v>82</v>
      </c>
      <c r="E248" s="21">
        <v>255.2</v>
      </c>
      <c r="F248" s="23">
        <v>0.98</v>
      </c>
      <c r="G248" s="23">
        <v>0.73</v>
      </c>
      <c r="H248" s="21">
        <v>376</v>
      </c>
      <c r="I248" s="21"/>
      <c r="J248" s="24">
        <v>-5</v>
      </c>
      <c r="K248" s="21"/>
      <c r="L248" s="21"/>
    </row>
    <row r="249" spans="1:12" ht="17.25" customHeight="1" x14ac:dyDescent="0.2">
      <c r="A249" s="21">
        <v>248</v>
      </c>
      <c r="B249" s="22" t="s">
        <v>1422</v>
      </c>
      <c r="C249" s="22" t="s">
        <v>24</v>
      </c>
      <c r="D249" s="21" t="s">
        <v>28</v>
      </c>
      <c r="E249" s="21">
        <v>255.5</v>
      </c>
      <c r="F249" s="23">
        <v>1</v>
      </c>
      <c r="G249" s="23">
        <v>0.86</v>
      </c>
      <c r="H249" s="21"/>
      <c r="I249" s="21">
        <v>113</v>
      </c>
      <c r="J249" s="24">
        <v>3.5</v>
      </c>
      <c r="K249" s="21"/>
      <c r="L249" s="21"/>
    </row>
    <row r="250" spans="1:12" ht="17.25" customHeight="1" x14ac:dyDescent="0.2">
      <c r="A250" s="21">
        <v>249</v>
      </c>
      <c r="B250" s="22" t="s">
        <v>758</v>
      </c>
      <c r="C250" s="22" t="s">
        <v>27</v>
      </c>
      <c r="D250" s="21" t="s">
        <v>74</v>
      </c>
      <c r="E250" s="21">
        <v>255.7</v>
      </c>
      <c r="F250" s="23">
        <v>1</v>
      </c>
      <c r="G250" s="23">
        <v>0.87</v>
      </c>
      <c r="H250" s="21">
        <v>469</v>
      </c>
      <c r="I250" s="21"/>
      <c r="J250" s="24">
        <v>10.6</v>
      </c>
      <c r="K250" s="21"/>
      <c r="L250" s="21"/>
    </row>
    <row r="251" spans="1:12" ht="17.25" customHeight="1" x14ac:dyDescent="0.2">
      <c r="A251" s="21">
        <v>250</v>
      </c>
      <c r="B251" s="22" t="s">
        <v>1423</v>
      </c>
      <c r="C251" s="22" t="s">
        <v>39</v>
      </c>
      <c r="D251" s="21" t="s">
        <v>28</v>
      </c>
      <c r="E251" s="21">
        <v>256.89999999999998</v>
      </c>
      <c r="F251" s="23">
        <v>1</v>
      </c>
      <c r="G251" s="23">
        <v>0.62</v>
      </c>
      <c r="H251" s="21"/>
      <c r="I251" s="21">
        <v>25</v>
      </c>
      <c r="J251" s="24">
        <v>1.5</v>
      </c>
      <c r="K251" s="21"/>
      <c r="L251" s="21"/>
    </row>
    <row r="252" spans="1:12" ht="17.25" customHeight="1" x14ac:dyDescent="0.2">
      <c r="A252" s="21">
        <v>251</v>
      </c>
      <c r="B252" s="22" t="s">
        <v>162</v>
      </c>
      <c r="C252" s="22" t="s">
        <v>117</v>
      </c>
      <c r="D252" s="21" t="s">
        <v>74</v>
      </c>
      <c r="E252" s="21">
        <v>257.2</v>
      </c>
      <c r="F252" s="23">
        <v>1</v>
      </c>
      <c r="G252" s="23">
        <v>0.98</v>
      </c>
      <c r="H252" s="21">
        <v>451</v>
      </c>
      <c r="I252" s="21"/>
      <c r="J252" s="24">
        <v>0.2</v>
      </c>
      <c r="K252" s="21"/>
      <c r="L252" s="21"/>
    </row>
    <row r="253" spans="1:12" ht="17.25" customHeight="1" x14ac:dyDescent="0.2">
      <c r="A253" s="21">
        <v>252</v>
      </c>
      <c r="B253" s="22" t="s">
        <v>1424</v>
      </c>
      <c r="C253" s="22" t="s">
        <v>48</v>
      </c>
      <c r="D253" s="21" t="s">
        <v>28</v>
      </c>
      <c r="E253" s="21">
        <v>259</v>
      </c>
      <c r="F253" s="23">
        <v>1</v>
      </c>
      <c r="G253" s="23">
        <v>0.66</v>
      </c>
      <c r="H253" s="21"/>
      <c r="I253" s="21">
        <v>19</v>
      </c>
      <c r="J253" s="24">
        <v>-1.5</v>
      </c>
      <c r="K253" s="21"/>
      <c r="L253" s="21"/>
    </row>
    <row r="254" spans="1:12" ht="17.25" customHeight="1" x14ac:dyDescent="0.2">
      <c r="A254" s="21">
        <v>253</v>
      </c>
      <c r="B254" s="22" t="s">
        <v>733</v>
      </c>
      <c r="C254" s="22" t="s">
        <v>15</v>
      </c>
      <c r="D254" s="21" t="s">
        <v>25</v>
      </c>
      <c r="E254" s="21">
        <v>259.3</v>
      </c>
      <c r="F254" s="23">
        <v>1</v>
      </c>
      <c r="G254" s="23">
        <v>0.73</v>
      </c>
      <c r="H254" s="21">
        <v>581</v>
      </c>
      <c r="I254" s="21"/>
      <c r="J254" s="24">
        <v>11</v>
      </c>
      <c r="K254" s="21"/>
      <c r="L254" s="21"/>
    </row>
    <row r="255" spans="1:12" ht="17.25" customHeight="1" x14ac:dyDescent="0.2">
      <c r="A255" s="21">
        <v>254</v>
      </c>
      <c r="B255" s="22" t="s">
        <v>433</v>
      </c>
      <c r="C255" s="22" t="s">
        <v>34</v>
      </c>
      <c r="D255" s="21" t="s">
        <v>25</v>
      </c>
      <c r="E255" s="21">
        <v>260.2</v>
      </c>
      <c r="F255" s="23">
        <v>1</v>
      </c>
      <c r="G255" s="23">
        <v>0.82</v>
      </c>
      <c r="H255" s="21">
        <v>685</v>
      </c>
      <c r="I255" s="21"/>
      <c r="J255" s="24">
        <v>6.6</v>
      </c>
      <c r="K255" s="21"/>
      <c r="L255" s="21"/>
    </row>
    <row r="256" spans="1:12" ht="17.25" customHeight="1" x14ac:dyDescent="0.2">
      <c r="A256" s="21">
        <v>255</v>
      </c>
      <c r="B256" s="22" t="s">
        <v>411</v>
      </c>
      <c r="C256" s="22" t="s">
        <v>117</v>
      </c>
      <c r="D256" s="21" t="s">
        <v>25</v>
      </c>
      <c r="E256" s="21">
        <v>261.3</v>
      </c>
      <c r="F256" s="23">
        <v>1</v>
      </c>
      <c r="G256" s="23">
        <v>0.78</v>
      </c>
      <c r="H256" s="21">
        <v>435</v>
      </c>
      <c r="I256" s="21"/>
      <c r="J256" s="24">
        <v>-3.3</v>
      </c>
      <c r="K256" s="21"/>
      <c r="L256" s="21"/>
    </row>
    <row r="257" spans="1:12" ht="17.25" customHeight="1" x14ac:dyDescent="0.2">
      <c r="A257" s="21">
        <v>256</v>
      </c>
      <c r="B257" s="22" t="s">
        <v>171</v>
      </c>
      <c r="C257" s="22" t="s">
        <v>30</v>
      </c>
      <c r="D257" s="21" t="s">
        <v>25</v>
      </c>
      <c r="E257" s="21">
        <v>263.3</v>
      </c>
      <c r="F257" s="23">
        <v>1</v>
      </c>
      <c r="G257" s="23">
        <v>0.86</v>
      </c>
      <c r="H257" s="21">
        <v>360</v>
      </c>
      <c r="I257" s="21"/>
      <c r="J257" s="24">
        <v>-7.4</v>
      </c>
      <c r="K257" s="21"/>
      <c r="L257" s="21"/>
    </row>
    <row r="258" spans="1:12" ht="17.25" customHeight="1" x14ac:dyDescent="0.2">
      <c r="A258" s="21">
        <v>257</v>
      </c>
      <c r="B258" s="22" t="s">
        <v>351</v>
      </c>
      <c r="C258" s="22" t="s">
        <v>52</v>
      </c>
      <c r="D258" s="21" t="s">
        <v>28</v>
      </c>
      <c r="E258" s="21">
        <v>265.10000000000002</v>
      </c>
      <c r="F258" s="23">
        <v>1</v>
      </c>
      <c r="G258" s="23">
        <v>0.64</v>
      </c>
      <c r="H258" s="21"/>
      <c r="I258" s="21">
        <v>154</v>
      </c>
      <c r="J258" s="24">
        <v>9</v>
      </c>
      <c r="K258" s="21"/>
      <c r="L258" s="21"/>
    </row>
    <row r="259" spans="1:12" ht="17.25" customHeight="1" x14ac:dyDescent="0.2">
      <c r="A259" s="21">
        <v>258</v>
      </c>
      <c r="B259" s="22" t="s">
        <v>1425</v>
      </c>
      <c r="C259" s="22" t="s">
        <v>57</v>
      </c>
      <c r="D259" s="21" t="s">
        <v>238</v>
      </c>
      <c r="E259" s="21">
        <v>266.60000000000002</v>
      </c>
      <c r="F259" s="23">
        <v>1</v>
      </c>
      <c r="G259" s="23">
        <v>0.6</v>
      </c>
      <c r="H259" s="21"/>
      <c r="I259" s="21">
        <v>69.099999999999994</v>
      </c>
      <c r="J259" s="24">
        <v>1.9</v>
      </c>
      <c r="K259" s="21"/>
      <c r="L259" s="21"/>
    </row>
    <row r="260" spans="1:12" ht="17.25" customHeight="1" x14ac:dyDescent="0.2">
      <c r="A260" s="21">
        <v>259</v>
      </c>
      <c r="B260" s="22" t="s">
        <v>1426</v>
      </c>
      <c r="C260" s="22" t="s">
        <v>18</v>
      </c>
      <c r="D260" s="21" t="s">
        <v>28</v>
      </c>
      <c r="E260" s="21">
        <v>266.7</v>
      </c>
      <c r="F260" s="23">
        <v>1</v>
      </c>
      <c r="G260" s="23">
        <v>0.69</v>
      </c>
      <c r="H260" s="21"/>
      <c r="I260" s="21">
        <v>138</v>
      </c>
      <c r="J260" s="24">
        <v>10.5</v>
      </c>
      <c r="K260" s="21"/>
      <c r="L260" s="21"/>
    </row>
    <row r="261" spans="1:12" ht="17.25" customHeight="1" x14ac:dyDescent="0.2">
      <c r="A261" s="21">
        <v>260</v>
      </c>
      <c r="B261" s="22" t="s">
        <v>127</v>
      </c>
      <c r="C261" s="22" t="s">
        <v>34</v>
      </c>
      <c r="D261" s="21" t="s">
        <v>74</v>
      </c>
      <c r="E261" s="21">
        <v>268.8</v>
      </c>
      <c r="F261" s="23">
        <v>1</v>
      </c>
      <c r="G261" s="23">
        <v>0.96</v>
      </c>
      <c r="H261" s="21">
        <v>342</v>
      </c>
      <c r="I261" s="21"/>
      <c r="J261" s="24">
        <v>2.8</v>
      </c>
      <c r="K261" s="21"/>
      <c r="L261" s="21"/>
    </row>
    <row r="262" spans="1:12" ht="17.25" customHeight="1" x14ac:dyDescent="0.2">
      <c r="A262" s="21">
        <v>261</v>
      </c>
      <c r="B262" s="22" t="s">
        <v>502</v>
      </c>
      <c r="C262" s="22" t="s">
        <v>21</v>
      </c>
      <c r="D262" s="21" t="s">
        <v>28</v>
      </c>
      <c r="E262" s="21">
        <v>268.89999999999998</v>
      </c>
      <c r="F262" s="23">
        <v>1</v>
      </c>
      <c r="G262" s="23">
        <v>0.56000000000000005</v>
      </c>
      <c r="H262" s="21"/>
      <c r="I262" s="21">
        <v>95</v>
      </c>
      <c r="J262" s="24">
        <v>3.2</v>
      </c>
      <c r="K262" s="21"/>
      <c r="L262" s="21"/>
    </row>
    <row r="263" spans="1:12" ht="17.25" customHeight="1" x14ac:dyDescent="0.2">
      <c r="A263" s="21">
        <v>262</v>
      </c>
      <c r="B263" s="22" t="s">
        <v>555</v>
      </c>
      <c r="C263" s="22" t="s">
        <v>39</v>
      </c>
      <c r="D263" s="21" t="s">
        <v>28</v>
      </c>
      <c r="E263" s="21">
        <v>271.8</v>
      </c>
      <c r="F263" s="23">
        <v>1</v>
      </c>
      <c r="G263" s="23">
        <v>0.73</v>
      </c>
      <c r="H263" s="21"/>
      <c r="I263" s="21">
        <v>157</v>
      </c>
      <c r="J263" s="24">
        <v>8.6999999999999993</v>
      </c>
      <c r="K263" s="21"/>
      <c r="L263" s="21"/>
    </row>
    <row r="264" spans="1:12" ht="17.25" customHeight="1" x14ac:dyDescent="0.2">
      <c r="A264" s="21">
        <v>263</v>
      </c>
      <c r="B264" s="22" t="s">
        <v>142</v>
      </c>
      <c r="C264" s="22" t="s">
        <v>32</v>
      </c>
      <c r="D264" s="21" t="s">
        <v>87</v>
      </c>
      <c r="E264" s="21">
        <v>273</v>
      </c>
      <c r="F264" s="23">
        <v>1</v>
      </c>
      <c r="G264" s="23">
        <v>0.62</v>
      </c>
      <c r="H264" s="21">
        <v>504</v>
      </c>
      <c r="I264" s="21"/>
      <c r="J264" s="24">
        <v>2.2999999999999998</v>
      </c>
      <c r="K264" s="21"/>
      <c r="L264" s="21"/>
    </row>
    <row r="265" spans="1:12" ht="17.25" customHeight="1" x14ac:dyDescent="0.2">
      <c r="A265" s="21">
        <v>264</v>
      </c>
      <c r="B265" s="22" t="s">
        <v>1427</v>
      </c>
      <c r="C265" s="22" t="s">
        <v>50</v>
      </c>
      <c r="D265" s="21" t="s">
        <v>28</v>
      </c>
      <c r="E265" s="21">
        <v>275.5</v>
      </c>
      <c r="F265" s="23">
        <v>1</v>
      </c>
      <c r="G265" s="23">
        <v>0.42</v>
      </c>
      <c r="H265" s="21"/>
      <c r="I265" s="21">
        <v>96</v>
      </c>
      <c r="J265" s="24">
        <v>-2.4</v>
      </c>
      <c r="K265" s="21"/>
      <c r="L265" s="21"/>
    </row>
    <row r="266" spans="1:12" ht="17.25" customHeight="1" x14ac:dyDescent="0.2">
      <c r="A266" s="21">
        <v>265</v>
      </c>
      <c r="B266" s="22" t="s">
        <v>281</v>
      </c>
      <c r="C266" s="22" t="s">
        <v>50</v>
      </c>
      <c r="D266" s="21" t="s">
        <v>254</v>
      </c>
      <c r="E266" s="21">
        <v>276.10000000000002</v>
      </c>
      <c r="F266" s="23">
        <v>1</v>
      </c>
      <c r="G266" s="23">
        <v>0.6</v>
      </c>
      <c r="H266" s="21">
        <v>584</v>
      </c>
      <c r="I266" s="21"/>
      <c r="J266" s="24">
        <v>1.7</v>
      </c>
      <c r="K266" s="21"/>
      <c r="L266" s="21"/>
    </row>
    <row r="267" spans="1:12" ht="17.25" customHeight="1" x14ac:dyDescent="0.2">
      <c r="A267" s="21">
        <v>266</v>
      </c>
      <c r="B267" s="22" t="s">
        <v>187</v>
      </c>
      <c r="C267" s="22" t="s">
        <v>115</v>
      </c>
      <c r="D267" s="21" t="s">
        <v>19</v>
      </c>
      <c r="E267" s="21">
        <v>277.60000000000002</v>
      </c>
      <c r="F267" s="23">
        <v>0.98</v>
      </c>
      <c r="G267" s="23">
        <v>0.46</v>
      </c>
      <c r="H267" s="21">
        <v>537</v>
      </c>
      <c r="I267" s="21"/>
      <c r="J267" s="24">
        <v>1</v>
      </c>
      <c r="K267" s="21"/>
      <c r="L267" s="21"/>
    </row>
    <row r="268" spans="1:12" ht="17.25" customHeight="1" x14ac:dyDescent="0.2">
      <c r="A268" s="21">
        <v>267</v>
      </c>
      <c r="B268" s="22" t="s">
        <v>122</v>
      </c>
      <c r="C268" s="22" t="s">
        <v>24</v>
      </c>
      <c r="D268" s="21" t="s">
        <v>28</v>
      </c>
      <c r="E268" s="21">
        <v>277.8</v>
      </c>
      <c r="F268" s="23">
        <v>0.98</v>
      </c>
      <c r="G268" s="23">
        <v>0.47</v>
      </c>
      <c r="H268" s="21"/>
      <c r="I268" s="21">
        <v>60.1</v>
      </c>
      <c r="J268" s="24">
        <v>-5.6</v>
      </c>
      <c r="K268" s="21"/>
      <c r="L268" s="21"/>
    </row>
    <row r="269" spans="1:12" ht="17.25" customHeight="1" x14ac:dyDescent="0.2">
      <c r="A269" s="21">
        <v>268</v>
      </c>
      <c r="B269" s="22" t="s">
        <v>690</v>
      </c>
      <c r="C269" s="22" t="s">
        <v>27</v>
      </c>
      <c r="D269" s="21" t="s">
        <v>28</v>
      </c>
      <c r="E269" s="21">
        <v>279.2</v>
      </c>
      <c r="F269" s="23">
        <v>1</v>
      </c>
      <c r="G269" s="23">
        <v>0.64</v>
      </c>
      <c r="H269" s="21"/>
      <c r="I269" s="21">
        <v>149</v>
      </c>
      <c r="J269" s="24">
        <v>6.4</v>
      </c>
      <c r="K269" s="21"/>
      <c r="L269" s="21"/>
    </row>
    <row r="270" spans="1:12" ht="17.25" customHeight="1" x14ac:dyDescent="0.2">
      <c r="A270" s="21">
        <v>269</v>
      </c>
      <c r="B270" s="22" t="s">
        <v>200</v>
      </c>
      <c r="C270" s="22" t="s">
        <v>60</v>
      </c>
      <c r="D270" s="21" t="s">
        <v>78</v>
      </c>
      <c r="E270" s="21">
        <v>279.2</v>
      </c>
      <c r="F270" s="23">
        <v>0.93</v>
      </c>
      <c r="G270" s="23">
        <v>0.46</v>
      </c>
      <c r="H270" s="21">
        <v>515</v>
      </c>
      <c r="I270" s="21"/>
      <c r="J270" s="24">
        <v>2.9</v>
      </c>
      <c r="K270" s="21"/>
      <c r="L270" s="21"/>
    </row>
    <row r="271" spans="1:12" ht="17.25" customHeight="1" x14ac:dyDescent="0.2">
      <c r="A271" s="21">
        <v>270</v>
      </c>
      <c r="B271" s="22" t="s">
        <v>213</v>
      </c>
      <c r="C271" s="22" t="s">
        <v>89</v>
      </c>
      <c r="D271" s="21" t="s">
        <v>779</v>
      </c>
      <c r="E271" s="21">
        <v>280.10000000000002</v>
      </c>
      <c r="F271" s="23">
        <v>0.87</v>
      </c>
      <c r="G271" s="23">
        <v>0.49</v>
      </c>
      <c r="H271" s="21">
        <v>454</v>
      </c>
      <c r="I271" s="21"/>
      <c r="J271" s="24">
        <v>-5.6</v>
      </c>
      <c r="K271" s="21"/>
      <c r="L271" s="21"/>
    </row>
    <row r="272" spans="1:12" ht="17.25" customHeight="1" x14ac:dyDescent="0.2">
      <c r="A272" s="21">
        <v>271</v>
      </c>
      <c r="B272" s="22" t="s">
        <v>213</v>
      </c>
      <c r="C272" s="22" t="s">
        <v>89</v>
      </c>
      <c r="D272" s="21" t="s">
        <v>69</v>
      </c>
      <c r="E272" s="21">
        <v>280.10000000000002</v>
      </c>
      <c r="F272" s="23">
        <v>0.87</v>
      </c>
      <c r="G272" s="23">
        <v>0.49</v>
      </c>
      <c r="H272" s="21"/>
      <c r="I272" s="21">
        <v>1</v>
      </c>
      <c r="J272" s="24">
        <v>-12.2</v>
      </c>
      <c r="K272" s="21"/>
      <c r="L272" s="21"/>
    </row>
    <row r="273" spans="1:12" ht="17.25" customHeight="1" x14ac:dyDescent="0.2">
      <c r="A273" s="21">
        <v>272</v>
      </c>
      <c r="B273" s="22" t="s">
        <v>167</v>
      </c>
      <c r="C273" s="22" t="s">
        <v>55</v>
      </c>
      <c r="D273" s="21" t="s">
        <v>43</v>
      </c>
      <c r="E273" s="21">
        <v>280.60000000000002</v>
      </c>
      <c r="F273" s="23">
        <v>1</v>
      </c>
      <c r="G273" s="23">
        <v>0.53</v>
      </c>
      <c r="H273" s="21">
        <v>675</v>
      </c>
      <c r="I273" s="21"/>
      <c r="J273" s="24">
        <v>7.9</v>
      </c>
      <c r="K273" s="21"/>
      <c r="L273" s="21"/>
    </row>
    <row r="274" spans="1:12" ht="17.25" customHeight="1" x14ac:dyDescent="0.2">
      <c r="A274" s="21">
        <v>273</v>
      </c>
      <c r="B274" s="22" t="s">
        <v>812</v>
      </c>
      <c r="C274" s="22" t="s">
        <v>140</v>
      </c>
      <c r="D274" s="21" t="s">
        <v>25</v>
      </c>
      <c r="E274" s="21">
        <v>282.5</v>
      </c>
      <c r="F274" s="23">
        <v>0.98</v>
      </c>
      <c r="G274" s="23">
        <v>0.47</v>
      </c>
      <c r="H274" s="21">
        <v>220</v>
      </c>
      <c r="I274" s="21"/>
      <c r="J274" s="24">
        <v>-8.9</v>
      </c>
      <c r="K274" s="21"/>
      <c r="L274" s="21"/>
    </row>
    <row r="275" spans="1:12" ht="17.25" customHeight="1" x14ac:dyDescent="0.2">
      <c r="A275" s="21">
        <v>274</v>
      </c>
      <c r="B275" s="22" t="s">
        <v>839</v>
      </c>
      <c r="C275" s="22" t="s">
        <v>24</v>
      </c>
      <c r="D275" s="21" t="s">
        <v>206</v>
      </c>
      <c r="E275" s="21">
        <v>291.7</v>
      </c>
      <c r="F275" s="23">
        <v>0.98</v>
      </c>
      <c r="G275" s="23">
        <v>0.46</v>
      </c>
      <c r="H275" s="21">
        <v>432</v>
      </c>
      <c r="I275" s="21"/>
      <c r="J275" s="24">
        <v>1</v>
      </c>
      <c r="K275" s="21"/>
      <c r="L275" s="21"/>
    </row>
    <row r="276" spans="1:12" ht="17.25" customHeight="1" x14ac:dyDescent="0.2">
      <c r="A276" s="21">
        <v>275</v>
      </c>
      <c r="B276" s="22" t="s">
        <v>1247</v>
      </c>
      <c r="C276" s="22" t="s">
        <v>64</v>
      </c>
      <c r="D276" s="21" t="s">
        <v>87</v>
      </c>
      <c r="E276" s="21">
        <v>294</v>
      </c>
      <c r="F276" s="23">
        <v>1</v>
      </c>
      <c r="G276" s="23">
        <v>0.27</v>
      </c>
      <c r="H276" s="21">
        <v>437</v>
      </c>
      <c r="I276" s="21"/>
      <c r="J276" s="24">
        <v>-1.6</v>
      </c>
      <c r="K276" s="21"/>
      <c r="L276" s="21"/>
    </row>
    <row r="277" spans="1:12" ht="17.25" customHeight="1" x14ac:dyDescent="0.2">
      <c r="A277" s="21">
        <v>276</v>
      </c>
      <c r="B277" s="22" t="s">
        <v>273</v>
      </c>
      <c r="C277" s="22" t="s">
        <v>57</v>
      </c>
      <c r="D277" s="21" t="s">
        <v>152</v>
      </c>
      <c r="E277" s="21">
        <v>296.2</v>
      </c>
      <c r="F277" s="23">
        <v>0.96</v>
      </c>
      <c r="G277" s="23">
        <v>0.47</v>
      </c>
      <c r="H277" s="21">
        <v>544</v>
      </c>
      <c r="I277" s="21"/>
      <c r="J277" s="24">
        <v>6.8</v>
      </c>
      <c r="K277" s="21"/>
      <c r="L277" s="21"/>
    </row>
    <row r="278" spans="1:12" ht="17.25" customHeight="1" x14ac:dyDescent="0.2">
      <c r="A278" s="21">
        <v>277</v>
      </c>
      <c r="B278" s="22" t="s">
        <v>1428</v>
      </c>
      <c r="C278" s="22" t="s">
        <v>21</v>
      </c>
      <c r="D278" s="21" t="s">
        <v>28</v>
      </c>
      <c r="E278" s="21">
        <v>296.39999999999998</v>
      </c>
      <c r="F278" s="23">
        <v>0.98</v>
      </c>
      <c r="G278" s="23">
        <v>0.28999999999999998</v>
      </c>
      <c r="H278" s="21"/>
      <c r="I278" s="21">
        <v>39.1</v>
      </c>
      <c r="J278" s="24">
        <v>-1.1000000000000001</v>
      </c>
      <c r="K278" s="21"/>
      <c r="L278" s="21"/>
    </row>
    <row r="279" spans="1:12" ht="17.25" customHeight="1" x14ac:dyDescent="0.2">
      <c r="A279" s="21">
        <v>278</v>
      </c>
      <c r="B279" s="22" t="s">
        <v>108</v>
      </c>
      <c r="C279" s="22" t="s">
        <v>117</v>
      </c>
      <c r="D279" s="21" t="s">
        <v>69</v>
      </c>
      <c r="E279" s="21">
        <v>302</v>
      </c>
      <c r="F279" s="23">
        <v>0.95</v>
      </c>
      <c r="G279" s="23">
        <v>0.35</v>
      </c>
      <c r="H279" s="21"/>
      <c r="I279" s="21">
        <v>41</v>
      </c>
      <c r="J279" s="24">
        <v>-10.1</v>
      </c>
      <c r="K279" s="21"/>
      <c r="L279" s="21"/>
    </row>
    <row r="280" spans="1:12" ht="17.25" customHeight="1" x14ac:dyDescent="0.2">
      <c r="A280" s="21">
        <v>279</v>
      </c>
      <c r="B280" s="22" t="s">
        <v>685</v>
      </c>
      <c r="C280" s="22" t="s">
        <v>125</v>
      </c>
      <c r="D280" s="21" t="s">
        <v>28</v>
      </c>
      <c r="E280" s="21">
        <v>304.10000000000002</v>
      </c>
      <c r="F280" s="23">
        <v>0.96</v>
      </c>
      <c r="G280" s="23">
        <v>0.15</v>
      </c>
      <c r="H280" s="21"/>
      <c r="I280" s="21">
        <v>79</v>
      </c>
      <c r="J280" s="24">
        <v>-8.3000000000000007</v>
      </c>
      <c r="K280" s="21"/>
      <c r="L280" s="21"/>
    </row>
    <row r="281" spans="1:12" ht="17.25" customHeight="1" x14ac:dyDescent="0.2">
      <c r="A281" s="21">
        <v>280</v>
      </c>
      <c r="B281" s="22" t="s">
        <v>124</v>
      </c>
      <c r="C281" s="22" t="s">
        <v>125</v>
      </c>
      <c r="D281" s="21" t="s">
        <v>28</v>
      </c>
      <c r="E281" s="21">
        <v>306.7</v>
      </c>
      <c r="F281" s="23">
        <v>0.98</v>
      </c>
      <c r="G281" s="23">
        <v>0.27</v>
      </c>
      <c r="H281" s="21"/>
      <c r="I281" s="21">
        <v>146</v>
      </c>
      <c r="J281" s="24">
        <v>-8.6999999999999993</v>
      </c>
      <c r="K281" s="21"/>
      <c r="L281" s="21"/>
    </row>
    <row r="282" spans="1:12" ht="17.25" customHeight="1" x14ac:dyDescent="0.2">
      <c r="A282" s="21">
        <v>281</v>
      </c>
      <c r="B282" s="22" t="s">
        <v>185</v>
      </c>
      <c r="C282" s="22" t="s">
        <v>125</v>
      </c>
      <c r="D282" s="21" t="s">
        <v>40</v>
      </c>
      <c r="E282" s="21">
        <v>310.10000000000002</v>
      </c>
      <c r="F282" s="23">
        <v>0.96</v>
      </c>
      <c r="G282" s="23">
        <v>0.87</v>
      </c>
      <c r="H282" s="21">
        <v>464</v>
      </c>
      <c r="I282" s="21"/>
      <c r="J282" s="24">
        <v>5.5</v>
      </c>
      <c r="K282" s="21"/>
      <c r="L282" s="21"/>
    </row>
    <row r="283" spans="1:12" ht="17.25" customHeight="1" x14ac:dyDescent="0.2">
      <c r="A283" s="21">
        <v>282</v>
      </c>
      <c r="B283" s="22" t="s">
        <v>181</v>
      </c>
      <c r="C283" s="22" t="s">
        <v>232</v>
      </c>
      <c r="D283" s="21" t="s">
        <v>25</v>
      </c>
      <c r="E283" s="21">
        <v>314.3</v>
      </c>
      <c r="F283" s="23">
        <v>0.91</v>
      </c>
      <c r="G283" s="23">
        <v>0.27</v>
      </c>
      <c r="H283" s="21">
        <v>498</v>
      </c>
      <c r="I283" s="21"/>
      <c r="J283" s="24">
        <v>2.2000000000000002</v>
      </c>
      <c r="K283" s="21"/>
      <c r="L283" s="21"/>
    </row>
    <row r="284" spans="1:12" ht="17.25" customHeight="1" x14ac:dyDescent="0.2">
      <c r="A284" s="21">
        <v>283</v>
      </c>
      <c r="B284" s="22" t="s">
        <v>1429</v>
      </c>
      <c r="C284" s="22" t="s">
        <v>132</v>
      </c>
      <c r="D284" s="21" t="s">
        <v>69</v>
      </c>
      <c r="E284" s="21">
        <v>318.60000000000002</v>
      </c>
      <c r="F284" s="23">
        <v>0.96</v>
      </c>
      <c r="G284" s="23">
        <v>0.11</v>
      </c>
      <c r="H284" s="21"/>
      <c r="I284" s="21">
        <v>25</v>
      </c>
      <c r="J284" s="24">
        <v>-11.7</v>
      </c>
      <c r="K284" s="21"/>
      <c r="L284" s="21"/>
    </row>
    <row r="285" spans="1:12" ht="17.25" customHeight="1" x14ac:dyDescent="0.2">
      <c r="A285" s="21">
        <v>284</v>
      </c>
      <c r="B285" s="22" t="s">
        <v>881</v>
      </c>
      <c r="C285" s="22" t="s">
        <v>313</v>
      </c>
      <c r="D285" s="21" t="s">
        <v>719</v>
      </c>
      <c r="E285" s="21">
        <v>319.39999999999998</v>
      </c>
      <c r="F285" s="23">
        <v>0.91</v>
      </c>
      <c r="G285" s="23">
        <v>0.27</v>
      </c>
      <c r="H285" s="21">
        <v>569</v>
      </c>
      <c r="I285" s="21"/>
      <c r="J285" s="24">
        <v>2.5</v>
      </c>
      <c r="K285" s="21"/>
      <c r="L285" s="21"/>
    </row>
    <row r="286" spans="1:12" ht="17.25" customHeight="1" x14ac:dyDescent="0.2">
      <c r="A286" s="21">
        <v>285</v>
      </c>
      <c r="B286" s="22" t="s">
        <v>797</v>
      </c>
      <c r="C286" s="22" t="s">
        <v>117</v>
      </c>
      <c r="D286" s="21" t="s">
        <v>69</v>
      </c>
      <c r="E286" s="21">
        <v>320.2</v>
      </c>
      <c r="F286" s="23">
        <v>0.91</v>
      </c>
      <c r="G286" s="23">
        <v>0.06</v>
      </c>
      <c r="H286" s="21"/>
      <c r="I286" s="21">
        <v>63.1</v>
      </c>
      <c r="J286" s="24">
        <v>-7</v>
      </c>
      <c r="K286" s="21"/>
      <c r="L286" s="21"/>
    </row>
    <row r="287" spans="1:12" ht="17.25" customHeight="1" x14ac:dyDescent="0.2">
      <c r="A287" s="21">
        <v>286</v>
      </c>
      <c r="B287" s="22" t="s">
        <v>1828</v>
      </c>
      <c r="C287" s="22" t="s">
        <v>15</v>
      </c>
      <c r="D287" s="21" t="s">
        <v>25</v>
      </c>
      <c r="E287" s="21">
        <v>322</v>
      </c>
      <c r="F287" s="23">
        <v>0.95</v>
      </c>
      <c r="G287" s="23">
        <v>0.26</v>
      </c>
      <c r="H287" s="21">
        <v>429</v>
      </c>
      <c r="I287" s="21"/>
      <c r="J287" s="24">
        <v>3.3</v>
      </c>
      <c r="K287" s="21"/>
      <c r="L287" s="21"/>
    </row>
    <row r="288" spans="1:12" ht="17.25" customHeight="1" x14ac:dyDescent="0.2">
      <c r="A288" s="21">
        <v>287</v>
      </c>
      <c r="B288" s="22" t="s">
        <v>134</v>
      </c>
      <c r="C288" s="22" t="s">
        <v>34</v>
      </c>
      <c r="D288" s="21" t="s">
        <v>82</v>
      </c>
      <c r="E288" s="21">
        <v>323</v>
      </c>
      <c r="F288" s="23">
        <v>0.95</v>
      </c>
      <c r="G288" s="23">
        <v>0.44</v>
      </c>
      <c r="H288" s="21">
        <v>568</v>
      </c>
      <c r="I288" s="21"/>
      <c r="J288" s="24">
        <v>4.5999999999999996</v>
      </c>
      <c r="K288" s="21"/>
      <c r="L288" s="21"/>
    </row>
    <row r="289" spans="1:12" ht="17.25" customHeight="1" x14ac:dyDescent="0.2">
      <c r="A289" s="21">
        <v>288</v>
      </c>
      <c r="B289" s="22" t="s">
        <v>102</v>
      </c>
      <c r="C289" s="22" t="s">
        <v>36</v>
      </c>
      <c r="D289" s="21" t="s">
        <v>28</v>
      </c>
      <c r="E289" s="21">
        <v>325.2</v>
      </c>
      <c r="F289" s="23">
        <v>0.95</v>
      </c>
      <c r="G289" s="23">
        <v>0.24</v>
      </c>
      <c r="H289" s="21"/>
      <c r="I289" s="21">
        <v>5</v>
      </c>
      <c r="J289" s="24">
        <v>-6.1</v>
      </c>
      <c r="K289" s="21"/>
      <c r="L289" s="21"/>
    </row>
    <row r="290" spans="1:12" ht="17.25" customHeight="1" x14ac:dyDescent="0.2">
      <c r="A290" s="21">
        <v>289</v>
      </c>
      <c r="B290" s="22" t="s">
        <v>1430</v>
      </c>
      <c r="C290" s="22" t="s">
        <v>232</v>
      </c>
      <c r="D290" s="21" t="s">
        <v>238</v>
      </c>
      <c r="E290" s="21">
        <v>327.10000000000002</v>
      </c>
      <c r="F290" s="23">
        <v>0.96</v>
      </c>
      <c r="G290" s="23">
        <v>0.2</v>
      </c>
      <c r="H290" s="21"/>
      <c r="I290" s="21">
        <v>57</v>
      </c>
      <c r="J290" s="24">
        <v>0.6</v>
      </c>
      <c r="K290" s="21"/>
      <c r="L290" s="21"/>
    </row>
    <row r="291" spans="1:12" ht="17.25" customHeight="1" x14ac:dyDescent="0.2">
      <c r="A291" s="21">
        <v>290</v>
      </c>
      <c r="B291" s="22" t="s">
        <v>398</v>
      </c>
      <c r="C291" s="22" t="s">
        <v>232</v>
      </c>
      <c r="D291" s="21" t="s">
        <v>69</v>
      </c>
      <c r="E291" s="21">
        <v>329.5</v>
      </c>
      <c r="F291" s="23">
        <v>0.91</v>
      </c>
      <c r="G291" s="23">
        <v>0.27</v>
      </c>
      <c r="H291" s="21"/>
      <c r="I291" s="21">
        <v>76</v>
      </c>
      <c r="J291" s="24">
        <v>-0.5</v>
      </c>
      <c r="K291" s="21"/>
      <c r="L291" s="21"/>
    </row>
    <row r="292" spans="1:12" ht="17.25" customHeight="1" x14ac:dyDescent="0.2">
      <c r="A292" s="21">
        <v>291</v>
      </c>
      <c r="B292" s="22" t="s">
        <v>296</v>
      </c>
      <c r="C292" s="22" t="s">
        <v>34</v>
      </c>
      <c r="D292" s="21" t="s">
        <v>28</v>
      </c>
      <c r="E292" s="21">
        <v>330.9</v>
      </c>
      <c r="F292" s="23">
        <v>0.96</v>
      </c>
      <c r="G292" s="23">
        <v>0.24</v>
      </c>
      <c r="H292" s="21"/>
      <c r="I292" s="21">
        <v>169.1</v>
      </c>
      <c r="J292" s="24">
        <v>6.5</v>
      </c>
      <c r="K292" s="21"/>
      <c r="L292" s="21"/>
    </row>
    <row r="293" spans="1:12" ht="17.25" customHeight="1" x14ac:dyDescent="0.2">
      <c r="A293" s="21">
        <v>292</v>
      </c>
      <c r="B293" s="22" t="s">
        <v>1431</v>
      </c>
      <c r="C293" s="22" t="s">
        <v>39</v>
      </c>
      <c r="D293" s="21" t="s">
        <v>28</v>
      </c>
      <c r="E293" s="21">
        <v>332.4</v>
      </c>
      <c r="F293" s="23">
        <v>0.89</v>
      </c>
      <c r="G293" s="23">
        <v>0.11</v>
      </c>
      <c r="H293" s="21"/>
      <c r="I293" s="21">
        <v>119.1</v>
      </c>
      <c r="J293" s="24">
        <v>-0.3</v>
      </c>
      <c r="K293" s="21"/>
      <c r="L293" s="21"/>
    </row>
    <row r="294" spans="1:12" ht="17.25" customHeight="1" x14ac:dyDescent="0.2">
      <c r="A294" s="21">
        <v>293</v>
      </c>
      <c r="B294" s="22" t="s">
        <v>321</v>
      </c>
      <c r="C294" s="22" t="s">
        <v>42</v>
      </c>
      <c r="D294" s="21" t="s">
        <v>280</v>
      </c>
      <c r="E294" s="21">
        <v>333.2</v>
      </c>
      <c r="F294" s="23">
        <v>0.93</v>
      </c>
      <c r="G294" s="23">
        <v>0.31</v>
      </c>
      <c r="H294" s="21">
        <v>588</v>
      </c>
      <c r="I294" s="21"/>
      <c r="J294" s="24">
        <v>5.3</v>
      </c>
      <c r="K294" s="21"/>
      <c r="L294" s="21"/>
    </row>
    <row r="295" spans="1:12" ht="17.25" customHeight="1" x14ac:dyDescent="0.2">
      <c r="A295" s="21">
        <v>294</v>
      </c>
      <c r="B295" s="22" t="s">
        <v>838</v>
      </c>
      <c r="C295" s="22" t="s">
        <v>55</v>
      </c>
      <c r="D295" s="21" t="s">
        <v>25</v>
      </c>
      <c r="E295" s="21">
        <v>333.2</v>
      </c>
      <c r="F295" s="23">
        <v>0.87</v>
      </c>
      <c r="G295" s="23">
        <v>0.38</v>
      </c>
      <c r="H295" s="21">
        <v>617</v>
      </c>
      <c r="I295" s="21"/>
      <c r="J295" s="24">
        <v>3.9</v>
      </c>
      <c r="K295" s="21"/>
      <c r="L295" s="21"/>
    </row>
    <row r="296" spans="1:12" ht="17.25" customHeight="1" x14ac:dyDescent="0.2">
      <c r="A296" s="21">
        <v>295</v>
      </c>
      <c r="B296" s="22" t="s">
        <v>312</v>
      </c>
      <c r="C296" s="22" t="s">
        <v>39</v>
      </c>
      <c r="D296" s="21" t="s">
        <v>82</v>
      </c>
      <c r="E296" s="21">
        <v>334.1</v>
      </c>
      <c r="F296" s="23">
        <v>0.86</v>
      </c>
      <c r="G296" s="23">
        <v>0.49</v>
      </c>
      <c r="H296" s="21">
        <v>447</v>
      </c>
      <c r="I296" s="21"/>
      <c r="J296" s="24">
        <v>-3.6</v>
      </c>
      <c r="K296" s="21"/>
      <c r="L296" s="21"/>
    </row>
    <row r="297" spans="1:12" ht="17.25" customHeight="1" x14ac:dyDescent="0.2">
      <c r="A297" s="21">
        <v>296</v>
      </c>
      <c r="B297" s="22" t="s">
        <v>1432</v>
      </c>
      <c r="C297" s="22" t="s">
        <v>55</v>
      </c>
      <c r="D297" s="21" t="s">
        <v>28</v>
      </c>
      <c r="E297" s="21">
        <v>348.1</v>
      </c>
      <c r="F297" s="23">
        <v>0.91</v>
      </c>
      <c r="G297" s="23">
        <v>0.16</v>
      </c>
      <c r="H297" s="21"/>
      <c r="I297" s="21">
        <v>86.1</v>
      </c>
      <c r="J297" s="24">
        <v>6.7</v>
      </c>
      <c r="K297" s="21"/>
      <c r="L297" s="21"/>
    </row>
    <row r="298" spans="1:12" ht="17.25" customHeight="1" x14ac:dyDescent="0.2">
      <c r="A298" s="21">
        <v>297</v>
      </c>
      <c r="B298" s="22" t="s">
        <v>184</v>
      </c>
      <c r="C298" s="22" t="s">
        <v>125</v>
      </c>
      <c r="D298" s="21" t="s">
        <v>28</v>
      </c>
      <c r="E298" s="21">
        <v>363.8</v>
      </c>
      <c r="F298" s="23">
        <v>0.75</v>
      </c>
      <c r="G298" s="23">
        <v>0.4</v>
      </c>
      <c r="H298" s="21"/>
      <c r="I298" s="21">
        <v>75.099999999999994</v>
      </c>
      <c r="J298" s="24">
        <v>4.8</v>
      </c>
      <c r="K298" s="21"/>
      <c r="L298" s="21"/>
    </row>
    <row r="299" spans="1:12" ht="17.25" customHeight="1" x14ac:dyDescent="0.2">
      <c r="A299" s="21">
        <v>298</v>
      </c>
      <c r="B299" s="22" t="s">
        <v>877</v>
      </c>
      <c r="C299" s="22" t="s">
        <v>115</v>
      </c>
      <c r="D299" s="21" t="s">
        <v>25</v>
      </c>
      <c r="E299" s="21">
        <v>370.1</v>
      </c>
      <c r="F299" s="23">
        <v>0.8</v>
      </c>
      <c r="G299" s="23">
        <v>0.18</v>
      </c>
      <c r="H299" s="21">
        <v>463</v>
      </c>
      <c r="I299" s="21"/>
      <c r="J299" s="24">
        <v>-1.9</v>
      </c>
      <c r="K299" s="21"/>
      <c r="L299" s="21"/>
    </row>
    <row r="300" spans="1:12" ht="17.25" customHeight="1" x14ac:dyDescent="0.2">
      <c r="A300" s="21">
        <v>299</v>
      </c>
      <c r="B300" s="22" t="s">
        <v>824</v>
      </c>
      <c r="C300" s="22" t="s">
        <v>115</v>
      </c>
      <c r="D300" s="21" t="s">
        <v>25</v>
      </c>
      <c r="E300" s="21">
        <v>371</v>
      </c>
      <c r="F300" s="23">
        <v>0.82</v>
      </c>
      <c r="G300" s="23">
        <v>0.28999999999999998</v>
      </c>
      <c r="H300" s="21">
        <v>396</v>
      </c>
      <c r="I300" s="21"/>
      <c r="J300" s="24">
        <v>-9.6</v>
      </c>
      <c r="K300" s="21"/>
      <c r="L300" s="21"/>
    </row>
    <row r="301" spans="1:12" ht="17.25" customHeight="1" x14ac:dyDescent="0.2">
      <c r="A301" s="21">
        <v>300</v>
      </c>
      <c r="B301" s="22" t="s">
        <v>1822</v>
      </c>
      <c r="C301" s="22" t="s">
        <v>117</v>
      </c>
      <c r="D301" s="21" t="s">
        <v>28</v>
      </c>
      <c r="E301" s="21">
        <v>371.4</v>
      </c>
      <c r="F301" s="23">
        <v>0.8</v>
      </c>
      <c r="G301" s="23">
        <v>0.13</v>
      </c>
      <c r="H301" s="21"/>
      <c r="I301" s="21">
        <v>169</v>
      </c>
      <c r="J301" s="24">
        <v>-3.8</v>
      </c>
      <c r="K301" s="21"/>
      <c r="L301" s="21"/>
    </row>
    <row r="302" spans="1:12" ht="17.25" customHeight="1" x14ac:dyDescent="0.2">
      <c r="A302" s="21">
        <v>301</v>
      </c>
      <c r="B302" s="22" t="s">
        <v>531</v>
      </c>
      <c r="C302" s="22" t="s">
        <v>125</v>
      </c>
      <c r="D302" s="21" t="s">
        <v>25</v>
      </c>
      <c r="E302" s="21">
        <v>372.7</v>
      </c>
      <c r="F302" s="23">
        <v>0.76</v>
      </c>
      <c r="G302" s="23">
        <v>0.26</v>
      </c>
      <c r="H302" s="21">
        <v>392</v>
      </c>
      <c r="I302" s="21"/>
      <c r="J302" s="24">
        <v>-6.1</v>
      </c>
      <c r="K302" s="21"/>
      <c r="L302" s="21"/>
    </row>
    <row r="303" spans="1:12" ht="17.25" customHeight="1" x14ac:dyDescent="0.2">
      <c r="A303" s="21">
        <v>302</v>
      </c>
      <c r="B303" s="22" t="s">
        <v>317</v>
      </c>
      <c r="C303" s="22" t="s">
        <v>55</v>
      </c>
      <c r="D303" s="21" t="s">
        <v>25</v>
      </c>
      <c r="E303" s="21">
        <v>373.7</v>
      </c>
      <c r="F303" s="23">
        <v>0.75</v>
      </c>
      <c r="G303" s="23">
        <v>0.24</v>
      </c>
      <c r="H303" s="21">
        <v>501</v>
      </c>
      <c r="I303" s="21"/>
      <c r="J303" s="24">
        <v>6</v>
      </c>
      <c r="K303" s="21"/>
      <c r="L303" s="21"/>
    </row>
    <row r="304" spans="1:12" ht="17.25" customHeight="1" x14ac:dyDescent="0.2">
      <c r="A304" s="21">
        <v>303</v>
      </c>
      <c r="B304" s="22" t="s">
        <v>1433</v>
      </c>
      <c r="C304" s="22" t="s">
        <v>132</v>
      </c>
      <c r="D304" s="21" t="s">
        <v>28</v>
      </c>
      <c r="E304" s="21">
        <v>380</v>
      </c>
      <c r="F304" s="23">
        <v>0.82</v>
      </c>
      <c r="G304" s="23">
        <v>7.0000000000000007E-2</v>
      </c>
      <c r="H304" s="21"/>
      <c r="I304" s="21">
        <v>48.1</v>
      </c>
      <c r="J304" s="24">
        <v>-5.5</v>
      </c>
      <c r="K304" s="21"/>
      <c r="L304" s="21"/>
    </row>
    <row r="305" spans="1:12" ht="17.25" customHeight="1" x14ac:dyDescent="0.2">
      <c r="A305" s="21">
        <v>304</v>
      </c>
      <c r="B305" s="22" t="s">
        <v>158</v>
      </c>
      <c r="C305" s="22" t="s">
        <v>64</v>
      </c>
      <c r="D305" s="21" t="s">
        <v>28</v>
      </c>
      <c r="E305" s="21">
        <v>388.3</v>
      </c>
      <c r="F305" s="23">
        <v>0.87</v>
      </c>
      <c r="G305" s="23">
        <v>0.16</v>
      </c>
      <c r="H305" s="21"/>
      <c r="I305" s="21">
        <v>129.1</v>
      </c>
      <c r="J305" s="24">
        <v>8.6999999999999993</v>
      </c>
      <c r="K305" s="21"/>
      <c r="L305" s="21"/>
    </row>
    <row r="306" spans="1:12" ht="17.25" customHeight="1" x14ac:dyDescent="0.2">
      <c r="A306" s="21">
        <v>305</v>
      </c>
      <c r="B306" s="22" t="s">
        <v>44</v>
      </c>
      <c r="C306" s="22" t="s">
        <v>57</v>
      </c>
      <c r="D306" s="21" t="s">
        <v>13</v>
      </c>
      <c r="E306" s="21">
        <v>390.4</v>
      </c>
      <c r="F306" s="23">
        <v>0.82</v>
      </c>
      <c r="G306" s="23">
        <v>0.42</v>
      </c>
      <c r="H306" s="21">
        <v>592</v>
      </c>
      <c r="I306" s="21"/>
      <c r="J306" s="24">
        <v>0.1</v>
      </c>
      <c r="K306" s="21"/>
      <c r="L306" s="21"/>
    </row>
    <row r="307" spans="1:12" ht="17.25" customHeight="1" x14ac:dyDescent="0.2">
      <c r="A307" s="21">
        <v>306</v>
      </c>
      <c r="B307" s="22" t="s">
        <v>344</v>
      </c>
      <c r="C307" s="22" t="s">
        <v>24</v>
      </c>
      <c r="D307" s="21" t="s">
        <v>28</v>
      </c>
      <c r="E307" s="21">
        <v>400.8</v>
      </c>
      <c r="F307" s="23">
        <v>0.82</v>
      </c>
      <c r="G307" s="23">
        <v>0.11</v>
      </c>
      <c r="H307" s="21"/>
      <c r="I307" s="21">
        <v>165.1</v>
      </c>
      <c r="J307" s="24">
        <v>4</v>
      </c>
      <c r="K307" s="21"/>
      <c r="L307" s="21"/>
    </row>
    <row r="308" spans="1:12" ht="17.25" customHeight="1" x14ac:dyDescent="0.2">
      <c r="A308" s="21">
        <v>307</v>
      </c>
      <c r="B308" s="22" t="s">
        <v>1248</v>
      </c>
      <c r="C308" s="22" t="s">
        <v>50</v>
      </c>
      <c r="D308" s="21" t="s">
        <v>25</v>
      </c>
      <c r="E308" s="21">
        <v>401.4</v>
      </c>
      <c r="F308" s="23">
        <v>0.76</v>
      </c>
      <c r="G308" s="23">
        <v>0.15</v>
      </c>
      <c r="H308" s="21">
        <v>493</v>
      </c>
      <c r="I308" s="21"/>
      <c r="J308" s="24">
        <v>-3.7</v>
      </c>
      <c r="K308" s="21"/>
      <c r="L308" s="21"/>
    </row>
    <row r="309" spans="1:12" ht="17.25" customHeight="1" x14ac:dyDescent="0.2">
      <c r="A309" s="21">
        <v>308</v>
      </c>
      <c r="B309" s="22" t="s">
        <v>1434</v>
      </c>
      <c r="C309" s="22" t="s">
        <v>117</v>
      </c>
      <c r="D309" s="21" t="s">
        <v>69</v>
      </c>
      <c r="E309" s="21">
        <v>401.9</v>
      </c>
      <c r="F309" s="23">
        <v>0.82</v>
      </c>
      <c r="G309" s="23">
        <v>7.0000000000000007E-2</v>
      </c>
      <c r="H309" s="21"/>
      <c r="I309" s="21">
        <v>10</v>
      </c>
      <c r="J309" s="24">
        <v>-9.6999999999999993</v>
      </c>
      <c r="K309" s="21"/>
      <c r="L309" s="21"/>
    </row>
    <row r="310" spans="1:12" ht="17.25" customHeight="1" x14ac:dyDescent="0.2">
      <c r="A310" s="21">
        <v>309</v>
      </c>
      <c r="B310" s="22" t="s">
        <v>1249</v>
      </c>
      <c r="C310" s="22" t="s">
        <v>52</v>
      </c>
      <c r="D310" s="21" t="s">
        <v>832</v>
      </c>
      <c r="E310" s="21">
        <v>409.8</v>
      </c>
      <c r="F310" s="23">
        <v>0.76</v>
      </c>
      <c r="G310" s="23">
        <v>7.0000000000000007E-2</v>
      </c>
      <c r="H310" s="21">
        <v>74</v>
      </c>
      <c r="I310" s="21"/>
      <c r="J310" s="24">
        <v>-21.4</v>
      </c>
      <c r="K310" s="21"/>
      <c r="L310" s="21"/>
    </row>
    <row r="311" spans="1:12" ht="17.25" customHeight="1" x14ac:dyDescent="0.2">
      <c r="A311" s="21">
        <v>310</v>
      </c>
      <c r="B311" s="22" t="s">
        <v>1435</v>
      </c>
      <c r="C311" s="22" t="s">
        <v>27</v>
      </c>
      <c r="D311" s="21" t="s">
        <v>69</v>
      </c>
      <c r="E311" s="21">
        <v>412.5</v>
      </c>
      <c r="F311" s="23">
        <v>0.82</v>
      </c>
      <c r="G311" s="23">
        <v>0.26</v>
      </c>
      <c r="H311" s="21"/>
      <c r="I311" s="21">
        <v>45.1</v>
      </c>
      <c r="J311" s="24">
        <v>-6.3</v>
      </c>
      <c r="K311" s="21"/>
      <c r="L311" s="21"/>
    </row>
    <row r="312" spans="1:12" ht="17.25" customHeight="1" x14ac:dyDescent="0.2">
      <c r="A312" s="21">
        <v>311</v>
      </c>
      <c r="B312" s="22" t="s">
        <v>192</v>
      </c>
      <c r="C312" s="22" t="s">
        <v>24</v>
      </c>
      <c r="D312" s="21" t="s">
        <v>22</v>
      </c>
      <c r="E312" s="21">
        <v>414.2</v>
      </c>
      <c r="F312" s="23">
        <v>0.84</v>
      </c>
      <c r="G312" s="23">
        <v>0.18</v>
      </c>
      <c r="H312" s="21">
        <v>463</v>
      </c>
      <c r="I312" s="21"/>
      <c r="J312" s="24">
        <v>-3.7</v>
      </c>
      <c r="K312" s="21"/>
      <c r="L312" s="21"/>
    </row>
    <row r="313" spans="1:12" ht="17.25" customHeight="1" x14ac:dyDescent="0.2">
      <c r="A313" s="21">
        <v>312</v>
      </c>
      <c r="B313" s="22" t="s">
        <v>588</v>
      </c>
      <c r="C313" s="22" t="s">
        <v>125</v>
      </c>
      <c r="D313" s="21" t="s">
        <v>69</v>
      </c>
      <c r="E313" s="21">
        <v>415.3</v>
      </c>
      <c r="F313" s="23">
        <v>0.6</v>
      </c>
      <c r="G313" s="23">
        <v>0.09</v>
      </c>
      <c r="H313" s="21"/>
      <c r="I313" s="21">
        <v>50.1</v>
      </c>
      <c r="J313" s="24">
        <v>-9.9</v>
      </c>
      <c r="K313" s="21"/>
      <c r="L313" s="21"/>
    </row>
    <row r="314" spans="1:12" ht="17.25" customHeight="1" x14ac:dyDescent="0.2">
      <c r="A314" s="21">
        <v>313</v>
      </c>
      <c r="B314" s="22" t="s">
        <v>373</v>
      </c>
      <c r="C314" s="22" t="s">
        <v>48</v>
      </c>
      <c r="D314" s="21" t="s">
        <v>28</v>
      </c>
      <c r="E314" s="21">
        <v>417.5</v>
      </c>
      <c r="F314" s="23">
        <v>0.75</v>
      </c>
      <c r="G314" s="23">
        <v>0.11</v>
      </c>
      <c r="H314" s="21"/>
      <c r="I314" s="21">
        <v>166.1</v>
      </c>
      <c r="J314" s="24">
        <v>6.2</v>
      </c>
      <c r="K314" s="21"/>
      <c r="L314" s="21"/>
    </row>
    <row r="315" spans="1:12" ht="17.25" customHeight="1" x14ac:dyDescent="0.2">
      <c r="A315" s="21">
        <v>314</v>
      </c>
      <c r="B315" s="22" t="s">
        <v>1436</v>
      </c>
      <c r="C315" s="22" t="s">
        <v>15</v>
      </c>
      <c r="D315" s="21" t="s">
        <v>28</v>
      </c>
      <c r="E315" s="21">
        <v>420.9</v>
      </c>
      <c r="F315" s="23">
        <v>0.8</v>
      </c>
      <c r="G315" s="23">
        <v>0.28999999999999998</v>
      </c>
      <c r="H315" s="21"/>
      <c r="I315" s="21">
        <v>162</v>
      </c>
      <c r="J315" s="24">
        <v>-3.2</v>
      </c>
      <c r="K315" s="21"/>
      <c r="L315" s="21"/>
    </row>
    <row r="316" spans="1:12" ht="17.25" customHeight="1" x14ac:dyDescent="0.2">
      <c r="A316" s="21">
        <v>315</v>
      </c>
      <c r="B316" s="22" t="s">
        <v>186</v>
      </c>
      <c r="C316" s="22" t="s">
        <v>36</v>
      </c>
      <c r="D316" s="21" t="s">
        <v>28</v>
      </c>
      <c r="E316" s="21">
        <v>421.6</v>
      </c>
      <c r="F316" s="23">
        <v>0.67</v>
      </c>
      <c r="G316" s="23">
        <v>0.24</v>
      </c>
      <c r="H316" s="21"/>
      <c r="I316" s="21">
        <v>110.1</v>
      </c>
      <c r="J316" s="24">
        <v>10.7</v>
      </c>
      <c r="K316" s="21"/>
      <c r="L316" s="21"/>
    </row>
    <row r="317" spans="1:12" ht="17.25" customHeight="1" x14ac:dyDescent="0.2">
      <c r="A317" s="21">
        <v>316</v>
      </c>
      <c r="B317" s="22" t="s">
        <v>1437</v>
      </c>
      <c r="C317" s="22" t="s">
        <v>36</v>
      </c>
      <c r="D317" s="21" t="s">
        <v>28</v>
      </c>
      <c r="E317" s="21">
        <v>428.9</v>
      </c>
      <c r="F317" s="23">
        <v>0.75</v>
      </c>
      <c r="G317" s="23">
        <v>0.27</v>
      </c>
      <c r="H317" s="21"/>
      <c r="I317" s="21">
        <v>56</v>
      </c>
      <c r="J317" s="24">
        <v>3.1</v>
      </c>
      <c r="K317" s="21"/>
      <c r="L317" s="21"/>
    </row>
    <row r="318" spans="1:12" ht="17.25" customHeight="1" x14ac:dyDescent="0.2">
      <c r="A318" s="21">
        <v>317</v>
      </c>
      <c r="B318" s="22" t="s">
        <v>215</v>
      </c>
      <c r="C318" s="22" t="s">
        <v>42</v>
      </c>
      <c r="D318" s="21" t="s">
        <v>78</v>
      </c>
      <c r="E318" s="21">
        <v>431.1</v>
      </c>
      <c r="F318" s="23">
        <v>0.67</v>
      </c>
      <c r="G318" s="23">
        <v>0.11</v>
      </c>
      <c r="H318" s="21">
        <v>369</v>
      </c>
      <c r="I318" s="21"/>
      <c r="J318" s="24">
        <v>-9.8000000000000007</v>
      </c>
      <c r="K318" s="21"/>
      <c r="L318" s="21"/>
    </row>
    <row r="319" spans="1:12" ht="17.25" customHeight="1" x14ac:dyDescent="0.2">
      <c r="A319" s="21">
        <v>318</v>
      </c>
      <c r="B319" s="22" t="s">
        <v>1250</v>
      </c>
      <c r="C319" s="22" t="s">
        <v>30</v>
      </c>
      <c r="D319" s="21" t="s">
        <v>25</v>
      </c>
      <c r="E319" s="21">
        <v>439.5</v>
      </c>
      <c r="F319" s="23">
        <v>0.75</v>
      </c>
      <c r="G319" s="23">
        <v>0.15</v>
      </c>
      <c r="H319" s="21">
        <v>137</v>
      </c>
      <c r="I319" s="21"/>
      <c r="J319" s="24">
        <v>-17</v>
      </c>
      <c r="K319" s="21"/>
      <c r="L319" s="21"/>
    </row>
    <row r="320" spans="1:12" ht="17.25" customHeight="1" x14ac:dyDescent="0.2">
      <c r="A320" s="21">
        <v>319</v>
      </c>
      <c r="B320" s="22" t="s">
        <v>216</v>
      </c>
      <c r="C320" s="22" t="s">
        <v>64</v>
      </c>
      <c r="D320" s="21" t="s">
        <v>28</v>
      </c>
      <c r="E320" s="21">
        <v>443.3</v>
      </c>
      <c r="F320" s="23">
        <v>0.64</v>
      </c>
      <c r="G320" s="23">
        <v>0.04</v>
      </c>
      <c r="H320" s="21"/>
      <c r="I320" s="21">
        <v>22.1</v>
      </c>
      <c r="J320" s="24">
        <v>-2.7</v>
      </c>
      <c r="K320" s="21"/>
      <c r="L320" s="21"/>
    </row>
    <row r="321" spans="1:12" ht="17.25" customHeight="1" x14ac:dyDescent="0.2">
      <c r="A321" s="21">
        <v>320</v>
      </c>
      <c r="B321" s="22" t="s">
        <v>1438</v>
      </c>
      <c r="C321" s="22" t="s">
        <v>46</v>
      </c>
      <c r="D321" s="21" t="s">
        <v>69</v>
      </c>
      <c r="E321" s="21">
        <v>444.6</v>
      </c>
      <c r="F321" s="23">
        <v>0.66</v>
      </c>
      <c r="G321" s="23">
        <v>7.0000000000000007E-2</v>
      </c>
      <c r="H321" s="21"/>
      <c r="I321" s="21">
        <v>65</v>
      </c>
      <c r="J321" s="24">
        <v>-4.0999999999999996</v>
      </c>
      <c r="K321" s="21"/>
      <c r="L321" s="21"/>
    </row>
    <row r="322" spans="1:12" ht="17.25" customHeight="1" x14ac:dyDescent="0.2">
      <c r="A322" s="21">
        <v>321</v>
      </c>
      <c r="B322" s="22" t="s">
        <v>141</v>
      </c>
      <c r="C322" s="22" t="s">
        <v>15</v>
      </c>
      <c r="D322" s="21" t="s">
        <v>28</v>
      </c>
      <c r="E322" s="21">
        <v>445.3</v>
      </c>
      <c r="F322" s="23">
        <v>0.69</v>
      </c>
      <c r="G322" s="23">
        <v>0.09</v>
      </c>
      <c r="H322" s="21"/>
      <c r="I322" s="21">
        <v>57</v>
      </c>
      <c r="J322" s="24">
        <v>-2.6</v>
      </c>
      <c r="K322" s="21"/>
      <c r="L322" s="21"/>
    </row>
    <row r="323" spans="1:12" ht="17.25" customHeight="1" x14ac:dyDescent="0.2">
      <c r="A323" s="21">
        <v>322</v>
      </c>
      <c r="B323" s="22" t="s">
        <v>659</v>
      </c>
      <c r="C323" s="22" t="s">
        <v>89</v>
      </c>
      <c r="D323" s="21" t="s">
        <v>69</v>
      </c>
      <c r="E323" s="21">
        <v>450</v>
      </c>
      <c r="F323" s="23">
        <v>0.69</v>
      </c>
      <c r="G323" s="23">
        <v>0.18</v>
      </c>
      <c r="H323" s="21"/>
      <c r="I323" s="21">
        <v>50.1</v>
      </c>
      <c r="J323" s="24">
        <v>-6.1</v>
      </c>
      <c r="K323" s="21"/>
      <c r="L323" s="21"/>
    </row>
    <row r="324" spans="1:12" ht="17.25" customHeight="1" x14ac:dyDescent="0.2">
      <c r="A324" s="21">
        <v>323</v>
      </c>
      <c r="B324" s="22" t="s">
        <v>1439</v>
      </c>
      <c r="C324" s="22" t="s">
        <v>46</v>
      </c>
      <c r="D324" s="21" t="s">
        <v>28</v>
      </c>
      <c r="E324" s="21">
        <v>459.6</v>
      </c>
      <c r="F324" s="23">
        <v>0.67</v>
      </c>
      <c r="G324" s="23">
        <v>0.09</v>
      </c>
      <c r="H324" s="21"/>
      <c r="I324" s="21">
        <v>92.1</v>
      </c>
      <c r="J324" s="24">
        <v>1.5</v>
      </c>
      <c r="K324" s="21"/>
      <c r="L324" s="21"/>
    </row>
    <row r="325" spans="1:12" ht="17.25" customHeight="1" x14ac:dyDescent="0.2">
      <c r="A325" s="21">
        <v>324</v>
      </c>
      <c r="B325" s="22" t="s">
        <v>720</v>
      </c>
      <c r="C325" s="22" t="s">
        <v>140</v>
      </c>
      <c r="D325" s="21" t="s">
        <v>87</v>
      </c>
      <c r="E325" s="21">
        <v>467.3</v>
      </c>
      <c r="F325" s="23">
        <v>0.67</v>
      </c>
      <c r="G325" s="23">
        <v>7.0000000000000007E-2</v>
      </c>
      <c r="H325" s="21">
        <v>511</v>
      </c>
      <c r="I325" s="21"/>
      <c r="J325" s="24">
        <v>-0.5</v>
      </c>
      <c r="K325" s="21"/>
      <c r="L325" s="21"/>
    </row>
    <row r="326" spans="1:12" ht="17.25" customHeight="1" x14ac:dyDescent="0.2">
      <c r="A326" s="21">
        <v>325</v>
      </c>
      <c r="B326" s="22" t="s">
        <v>309</v>
      </c>
      <c r="C326" s="22" t="s">
        <v>27</v>
      </c>
      <c r="D326" s="21" t="s">
        <v>429</v>
      </c>
      <c r="E326" s="21">
        <v>474.6</v>
      </c>
      <c r="F326" s="23">
        <v>0.67</v>
      </c>
      <c r="G326" s="23">
        <v>0.13</v>
      </c>
      <c r="H326" s="21">
        <v>468</v>
      </c>
      <c r="I326" s="21"/>
      <c r="J326" s="24">
        <v>-1.2</v>
      </c>
      <c r="K326" s="21"/>
      <c r="L326" s="21"/>
    </row>
    <row r="327" spans="1:12" ht="17.25" customHeight="1" x14ac:dyDescent="0.2">
      <c r="A327" s="21">
        <v>326</v>
      </c>
      <c r="B327" s="22" t="s">
        <v>488</v>
      </c>
      <c r="C327" s="22" t="s">
        <v>30</v>
      </c>
      <c r="D327" s="21" t="s">
        <v>28</v>
      </c>
      <c r="E327" s="21">
        <v>475.4</v>
      </c>
      <c r="F327" s="23">
        <v>0.51</v>
      </c>
      <c r="G327" s="23">
        <v>0.09</v>
      </c>
      <c r="H327" s="21"/>
      <c r="I327" s="21">
        <v>170</v>
      </c>
      <c r="J327" s="24">
        <v>1.8</v>
      </c>
      <c r="K327" s="21"/>
      <c r="L327" s="21"/>
    </row>
    <row r="328" spans="1:12" ht="17.25" customHeight="1" x14ac:dyDescent="0.2">
      <c r="A328" s="21">
        <v>327</v>
      </c>
      <c r="B328" s="22" t="s">
        <v>625</v>
      </c>
      <c r="C328" s="22" t="s">
        <v>313</v>
      </c>
      <c r="D328" s="21" t="s">
        <v>236</v>
      </c>
      <c r="E328" s="21">
        <v>477.8</v>
      </c>
      <c r="F328" s="23">
        <v>0.71</v>
      </c>
      <c r="G328" s="23">
        <v>0.26</v>
      </c>
      <c r="H328" s="21">
        <v>544</v>
      </c>
      <c r="I328" s="21"/>
      <c r="J328" s="24">
        <v>6.4</v>
      </c>
      <c r="K328" s="21"/>
      <c r="L328" s="21"/>
    </row>
    <row r="329" spans="1:12" ht="17.25" customHeight="1" x14ac:dyDescent="0.2">
      <c r="A329" s="21">
        <v>328</v>
      </c>
      <c r="B329" s="22" t="s">
        <v>76</v>
      </c>
      <c r="C329" s="22" t="s">
        <v>18</v>
      </c>
      <c r="D329" s="21" t="s">
        <v>28</v>
      </c>
      <c r="E329" s="21">
        <v>482.2</v>
      </c>
      <c r="F329" s="23">
        <v>0.66</v>
      </c>
      <c r="G329" s="23">
        <v>7.0000000000000007E-2</v>
      </c>
      <c r="H329" s="21"/>
      <c r="I329" s="21">
        <v>145</v>
      </c>
      <c r="J329" s="24">
        <v>-1.3</v>
      </c>
      <c r="K329" s="21"/>
      <c r="L329" s="21"/>
    </row>
    <row r="330" spans="1:12" ht="17.25" customHeight="1" x14ac:dyDescent="0.2">
      <c r="A330" s="21">
        <v>329</v>
      </c>
      <c r="B330" s="22" t="s">
        <v>240</v>
      </c>
      <c r="C330" s="22" t="s">
        <v>24</v>
      </c>
      <c r="D330" s="21" t="s">
        <v>28</v>
      </c>
      <c r="E330" s="21">
        <v>482.6</v>
      </c>
      <c r="F330" s="23">
        <v>0.6</v>
      </c>
      <c r="G330" s="23">
        <v>0.13</v>
      </c>
      <c r="H330" s="21"/>
      <c r="I330" s="21">
        <v>168.1</v>
      </c>
      <c r="J330" s="24">
        <v>-3.7</v>
      </c>
      <c r="K330" s="21"/>
      <c r="L330" s="21"/>
    </row>
    <row r="331" spans="1:12" ht="17.25" customHeight="1" x14ac:dyDescent="0.2">
      <c r="A331" s="21">
        <v>330</v>
      </c>
      <c r="B331" s="22" t="s">
        <v>492</v>
      </c>
      <c r="C331" s="22" t="s">
        <v>27</v>
      </c>
      <c r="D331" s="21" t="s">
        <v>69</v>
      </c>
      <c r="E331" s="21">
        <v>487.5</v>
      </c>
      <c r="F331" s="23">
        <v>0.66</v>
      </c>
      <c r="G331" s="23">
        <v>0.2</v>
      </c>
      <c r="H331" s="21"/>
      <c r="I331" s="21">
        <v>68.099999999999994</v>
      </c>
      <c r="J331" s="24">
        <v>2.4</v>
      </c>
      <c r="K331" s="21"/>
      <c r="L331" s="21"/>
    </row>
    <row r="332" spans="1:12" ht="17.25" customHeight="1" x14ac:dyDescent="0.2">
      <c r="A332" s="21">
        <v>331</v>
      </c>
      <c r="B332" s="22" t="s">
        <v>1440</v>
      </c>
      <c r="C332" s="22" t="s">
        <v>313</v>
      </c>
      <c r="D332" s="21" t="s">
        <v>69</v>
      </c>
      <c r="E332" s="21">
        <v>501.2</v>
      </c>
      <c r="F332" s="23">
        <v>0.66</v>
      </c>
      <c r="G332" s="23">
        <v>0.06</v>
      </c>
      <c r="H332" s="21"/>
      <c r="I332" s="21">
        <v>36.1</v>
      </c>
      <c r="J332" s="24">
        <v>-10.5</v>
      </c>
      <c r="K332" s="21"/>
      <c r="L332" s="21"/>
    </row>
    <row r="333" spans="1:12" ht="17.25" customHeight="1" x14ac:dyDescent="0.2">
      <c r="A333" s="21">
        <v>332</v>
      </c>
      <c r="B333" s="22" t="s">
        <v>1441</v>
      </c>
      <c r="C333" s="22" t="s">
        <v>50</v>
      </c>
      <c r="D333" s="21" t="s">
        <v>28</v>
      </c>
      <c r="E333" s="21">
        <v>508.4</v>
      </c>
      <c r="F333" s="23">
        <v>0.6</v>
      </c>
      <c r="G333" s="23">
        <v>7.0000000000000007E-2</v>
      </c>
      <c r="H333" s="21"/>
      <c r="I333" s="21">
        <v>37</v>
      </c>
      <c r="J333" s="24">
        <v>-4.2</v>
      </c>
      <c r="K333" s="21"/>
      <c r="L333" s="21"/>
    </row>
    <row r="334" spans="1:12" ht="17.25" customHeight="1" x14ac:dyDescent="0.2">
      <c r="A334" s="21">
        <v>333</v>
      </c>
      <c r="B334" s="22" t="s">
        <v>250</v>
      </c>
      <c r="C334" s="22" t="s">
        <v>117</v>
      </c>
      <c r="D334" s="21" t="s">
        <v>28</v>
      </c>
      <c r="E334" s="21">
        <v>509</v>
      </c>
      <c r="F334" s="23">
        <v>0.57999999999999996</v>
      </c>
      <c r="G334" s="23">
        <v>0.15</v>
      </c>
      <c r="H334" s="21"/>
      <c r="I334" s="21">
        <v>178</v>
      </c>
      <c r="J334" s="24">
        <v>-4.9000000000000004</v>
      </c>
      <c r="K334" s="21"/>
      <c r="L334" s="21"/>
    </row>
    <row r="335" spans="1:12" ht="17.25" customHeight="1" x14ac:dyDescent="0.2">
      <c r="A335" s="21">
        <v>334</v>
      </c>
      <c r="B335" s="22" t="s">
        <v>888</v>
      </c>
      <c r="C335" s="22" t="s">
        <v>313</v>
      </c>
      <c r="D335" s="21" t="s">
        <v>78</v>
      </c>
      <c r="E335" s="21">
        <v>509.8</v>
      </c>
      <c r="F335" s="23">
        <v>0.51</v>
      </c>
      <c r="G335" s="23">
        <v>0.13</v>
      </c>
      <c r="H335" s="21">
        <v>193</v>
      </c>
      <c r="I335" s="21"/>
      <c r="J335" s="24">
        <v>-13.3</v>
      </c>
      <c r="K335" s="21"/>
      <c r="L335" s="21"/>
    </row>
    <row r="336" spans="1:12" ht="17.25" customHeight="1" x14ac:dyDescent="0.2">
      <c r="A336" s="21">
        <v>335</v>
      </c>
      <c r="B336" s="22" t="s">
        <v>468</v>
      </c>
      <c r="C336" s="22" t="s">
        <v>125</v>
      </c>
      <c r="D336" s="21" t="s">
        <v>28</v>
      </c>
      <c r="E336" s="21">
        <v>516.79999999999995</v>
      </c>
      <c r="F336" s="23">
        <v>0.57999999999999996</v>
      </c>
      <c r="G336" s="23">
        <v>0.02</v>
      </c>
      <c r="H336" s="21"/>
      <c r="I336" s="21">
        <v>111</v>
      </c>
      <c r="J336" s="24">
        <v>0.1</v>
      </c>
      <c r="K336" s="21"/>
      <c r="L336" s="21"/>
    </row>
    <row r="337" spans="1:12" ht="17.25" customHeight="1" x14ac:dyDescent="0.2">
      <c r="A337" s="21">
        <v>336</v>
      </c>
      <c r="B337" s="22" t="s">
        <v>470</v>
      </c>
      <c r="C337" s="22" t="s">
        <v>115</v>
      </c>
      <c r="D337" s="21" t="s">
        <v>69</v>
      </c>
      <c r="E337" s="21">
        <v>519.5</v>
      </c>
      <c r="F337" s="23">
        <v>0.49</v>
      </c>
      <c r="G337" s="23">
        <v>0.04</v>
      </c>
      <c r="H337" s="21"/>
      <c r="I337" s="21">
        <v>61</v>
      </c>
      <c r="J337" s="24">
        <v>-2.6</v>
      </c>
      <c r="K337" s="21"/>
      <c r="L337" s="21"/>
    </row>
    <row r="338" spans="1:12" ht="17.25" customHeight="1" x14ac:dyDescent="0.2">
      <c r="A338" s="21">
        <v>337</v>
      </c>
      <c r="B338" s="22" t="s">
        <v>687</v>
      </c>
      <c r="C338" s="22" t="s">
        <v>27</v>
      </c>
      <c r="D338" s="21" t="s">
        <v>688</v>
      </c>
      <c r="E338" s="21">
        <v>521.5</v>
      </c>
      <c r="F338" s="23">
        <v>0.56000000000000005</v>
      </c>
      <c r="G338" s="23">
        <v>0.16</v>
      </c>
      <c r="H338" s="21">
        <v>511</v>
      </c>
      <c r="I338" s="21"/>
      <c r="J338" s="24">
        <v>4.5999999999999996</v>
      </c>
      <c r="K338" s="21"/>
      <c r="L338" s="21"/>
    </row>
    <row r="339" spans="1:12" ht="17.25" customHeight="1" x14ac:dyDescent="0.2">
      <c r="A339" s="21">
        <v>338</v>
      </c>
      <c r="B339" s="22" t="s">
        <v>687</v>
      </c>
      <c r="C339" s="22" t="s">
        <v>27</v>
      </c>
      <c r="D339" s="21" t="s">
        <v>69</v>
      </c>
      <c r="E339" s="21">
        <v>521.5</v>
      </c>
      <c r="F339" s="23">
        <v>0.56000000000000005</v>
      </c>
      <c r="G339" s="23">
        <v>0.16</v>
      </c>
      <c r="H339" s="21"/>
      <c r="I339" s="21">
        <v>0</v>
      </c>
      <c r="J339" s="24">
        <v>-12.3</v>
      </c>
      <c r="K339" s="21"/>
      <c r="L339" s="21"/>
    </row>
    <row r="340" spans="1:12" ht="17.25" customHeight="1" x14ac:dyDescent="0.2">
      <c r="A340" s="21">
        <v>339</v>
      </c>
      <c r="B340" s="22" t="s">
        <v>72</v>
      </c>
      <c r="C340" s="22" t="s">
        <v>42</v>
      </c>
      <c r="D340" s="21" t="s">
        <v>16</v>
      </c>
      <c r="E340" s="21">
        <v>524</v>
      </c>
      <c r="F340" s="23">
        <v>0.6</v>
      </c>
      <c r="G340" s="23">
        <v>0.22</v>
      </c>
      <c r="H340" s="21">
        <v>221</v>
      </c>
      <c r="I340" s="21"/>
      <c r="J340" s="24">
        <v>-19.8</v>
      </c>
      <c r="K340" s="21"/>
      <c r="L340" s="21"/>
    </row>
    <row r="341" spans="1:12" ht="17.25" customHeight="1" x14ac:dyDescent="0.2">
      <c r="A341" s="21">
        <v>340</v>
      </c>
      <c r="B341" s="22" t="s">
        <v>985</v>
      </c>
      <c r="C341" s="22" t="s">
        <v>18</v>
      </c>
      <c r="D341" s="21" t="s">
        <v>25</v>
      </c>
      <c r="E341" s="21">
        <v>524.9</v>
      </c>
      <c r="F341" s="23">
        <v>0.49</v>
      </c>
      <c r="G341" s="23">
        <v>0.06</v>
      </c>
      <c r="H341" s="21">
        <v>441</v>
      </c>
      <c r="I341" s="21"/>
      <c r="J341" s="24">
        <v>2.5</v>
      </c>
      <c r="K341" s="21"/>
      <c r="L341" s="21"/>
    </row>
    <row r="342" spans="1:12" ht="17.25" customHeight="1" x14ac:dyDescent="0.2">
      <c r="A342" s="21">
        <v>341</v>
      </c>
      <c r="B342" s="22" t="s">
        <v>624</v>
      </c>
      <c r="C342" s="22" t="s">
        <v>211</v>
      </c>
      <c r="D342" s="21" t="s">
        <v>28</v>
      </c>
      <c r="E342" s="21">
        <v>530.79999999999995</v>
      </c>
      <c r="F342" s="23">
        <v>0.4</v>
      </c>
      <c r="G342" s="23">
        <v>0.02</v>
      </c>
      <c r="H342" s="21"/>
      <c r="I342" s="21">
        <v>64.099999999999994</v>
      </c>
      <c r="J342" s="24">
        <v>-6</v>
      </c>
      <c r="K342" s="21"/>
      <c r="L342" s="21"/>
    </row>
    <row r="343" spans="1:12" ht="17.25" customHeight="1" x14ac:dyDescent="0.2">
      <c r="A343" s="21">
        <v>342</v>
      </c>
      <c r="B343" s="22" t="s">
        <v>1442</v>
      </c>
      <c r="C343" s="22" t="s">
        <v>24</v>
      </c>
      <c r="D343" s="21" t="s">
        <v>28</v>
      </c>
      <c r="E343" s="21">
        <v>533.1</v>
      </c>
      <c r="F343" s="23">
        <v>0.64</v>
      </c>
      <c r="G343" s="23">
        <v>0.04</v>
      </c>
      <c r="H343" s="21"/>
      <c r="I343" s="21">
        <v>18.100000000000001</v>
      </c>
      <c r="J343" s="24">
        <v>-7.5</v>
      </c>
      <c r="K343" s="21"/>
      <c r="L343" s="21"/>
    </row>
    <row r="344" spans="1:12" ht="17.25" customHeight="1" x14ac:dyDescent="0.2">
      <c r="A344" s="21">
        <v>343</v>
      </c>
      <c r="B344" s="22" t="s">
        <v>347</v>
      </c>
      <c r="C344" s="22" t="s">
        <v>27</v>
      </c>
      <c r="D344" s="21" t="s">
        <v>69</v>
      </c>
      <c r="E344" s="21">
        <v>533.29999999999995</v>
      </c>
      <c r="F344" s="23">
        <v>0.6</v>
      </c>
      <c r="G344" s="23">
        <v>7.0000000000000007E-2</v>
      </c>
      <c r="H344" s="21"/>
      <c r="I344" s="21">
        <v>57</v>
      </c>
      <c r="J344" s="24">
        <v>0.4</v>
      </c>
      <c r="K344" s="21"/>
      <c r="L344" s="21"/>
    </row>
    <row r="345" spans="1:12" ht="17.25" customHeight="1" x14ac:dyDescent="0.2">
      <c r="A345" s="21">
        <v>344</v>
      </c>
      <c r="B345" s="22" t="s">
        <v>329</v>
      </c>
      <c r="C345" s="22" t="s">
        <v>117</v>
      </c>
      <c r="D345" s="21" t="s">
        <v>82</v>
      </c>
      <c r="E345" s="21">
        <v>533.70000000000005</v>
      </c>
      <c r="F345" s="23">
        <v>0.47</v>
      </c>
      <c r="G345" s="23">
        <v>0.13</v>
      </c>
      <c r="H345" s="21">
        <v>564</v>
      </c>
      <c r="I345" s="21"/>
      <c r="J345" s="24">
        <v>1.1000000000000001</v>
      </c>
      <c r="K345" s="21"/>
      <c r="L345" s="21"/>
    </row>
    <row r="346" spans="1:12" ht="17.25" customHeight="1" x14ac:dyDescent="0.2">
      <c r="A346" s="21">
        <v>345</v>
      </c>
      <c r="B346" s="22" t="s">
        <v>1443</v>
      </c>
      <c r="C346" s="22" t="s">
        <v>313</v>
      </c>
      <c r="D346" s="21" t="s">
        <v>69</v>
      </c>
      <c r="E346" s="21">
        <v>536.4</v>
      </c>
      <c r="F346" s="23">
        <v>0.62</v>
      </c>
      <c r="G346" s="23">
        <v>7.0000000000000007E-2</v>
      </c>
      <c r="H346" s="21"/>
      <c r="I346" s="21">
        <v>64</v>
      </c>
      <c r="J346" s="24">
        <v>-4.8</v>
      </c>
      <c r="K346" s="21"/>
      <c r="L346" s="21"/>
    </row>
    <row r="347" spans="1:12" ht="17.25" customHeight="1" x14ac:dyDescent="0.2">
      <c r="A347" s="21">
        <v>346</v>
      </c>
      <c r="B347" s="22" t="s">
        <v>1251</v>
      </c>
      <c r="C347" s="22" t="s">
        <v>48</v>
      </c>
      <c r="D347" s="21" t="s">
        <v>74</v>
      </c>
      <c r="E347" s="21">
        <v>538</v>
      </c>
      <c r="F347" s="23">
        <v>0.55000000000000004</v>
      </c>
      <c r="G347" s="23">
        <v>0.47</v>
      </c>
      <c r="H347" s="21">
        <v>446</v>
      </c>
      <c r="I347" s="21"/>
      <c r="J347" s="24">
        <v>5.7</v>
      </c>
      <c r="K347" s="21"/>
      <c r="L347" s="21"/>
    </row>
    <row r="348" spans="1:12" ht="17.25" customHeight="1" x14ac:dyDescent="0.2">
      <c r="A348" s="21">
        <v>347</v>
      </c>
      <c r="B348" s="22" t="s">
        <v>798</v>
      </c>
      <c r="C348" s="22" t="s">
        <v>60</v>
      </c>
      <c r="D348" s="21" t="s">
        <v>25</v>
      </c>
      <c r="E348" s="21">
        <v>541.9</v>
      </c>
      <c r="F348" s="23">
        <v>0.42</v>
      </c>
      <c r="G348" s="23">
        <v>0.13</v>
      </c>
      <c r="H348" s="21">
        <v>268</v>
      </c>
      <c r="I348" s="21"/>
      <c r="J348" s="24">
        <v>-5.8</v>
      </c>
      <c r="K348" s="21"/>
      <c r="L348" s="21"/>
    </row>
    <row r="349" spans="1:12" ht="17.25" customHeight="1" x14ac:dyDescent="0.2">
      <c r="A349" s="21">
        <v>348</v>
      </c>
      <c r="B349" s="22" t="s">
        <v>410</v>
      </c>
      <c r="C349" s="22" t="s">
        <v>36</v>
      </c>
      <c r="D349" s="21" t="s">
        <v>28</v>
      </c>
      <c r="E349" s="21">
        <v>546.79999999999995</v>
      </c>
      <c r="F349" s="23">
        <v>0.36</v>
      </c>
      <c r="G349" s="23">
        <v>0.02</v>
      </c>
      <c r="H349" s="21"/>
      <c r="I349" s="21">
        <v>115</v>
      </c>
      <c r="J349" s="24">
        <v>-2.7</v>
      </c>
      <c r="K349" s="21"/>
      <c r="L349" s="21"/>
    </row>
    <row r="350" spans="1:12" ht="17.25" customHeight="1" x14ac:dyDescent="0.2">
      <c r="A350" s="21">
        <v>349</v>
      </c>
      <c r="B350" s="22" t="s">
        <v>712</v>
      </c>
      <c r="C350" s="22" t="s">
        <v>12</v>
      </c>
      <c r="D350" s="21" t="s">
        <v>201</v>
      </c>
      <c r="E350" s="21">
        <v>553.4</v>
      </c>
      <c r="F350" s="23">
        <v>0.62</v>
      </c>
      <c r="G350" s="23">
        <v>0.04</v>
      </c>
      <c r="H350" s="21">
        <v>377</v>
      </c>
      <c r="I350" s="21"/>
      <c r="J350" s="24">
        <v>-5.3</v>
      </c>
      <c r="K350" s="21"/>
      <c r="L350" s="21"/>
    </row>
    <row r="351" spans="1:12" ht="17.25" customHeight="1" x14ac:dyDescent="0.2">
      <c r="A351" s="21">
        <v>350</v>
      </c>
      <c r="B351" s="22" t="s">
        <v>1378</v>
      </c>
      <c r="C351" s="22" t="s">
        <v>42</v>
      </c>
      <c r="D351" s="21" t="s">
        <v>25</v>
      </c>
      <c r="E351" s="21">
        <v>555</v>
      </c>
      <c r="F351" s="23">
        <v>0.36</v>
      </c>
      <c r="G351" s="23">
        <v>7.0000000000000007E-2</v>
      </c>
      <c r="H351" s="21">
        <v>497</v>
      </c>
      <c r="I351" s="21"/>
      <c r="J351" s="24">
        <v>-0.1</v>
      </c>
      <c r="K351" s="21"/>
      <c r="L351" s="21"/>
    </row>
    <row r="352" spans="1:12" ht="17.25" customHeight="1" x14ac:dyDescent="0.2">
      <c r="A352" s="21">
        <v>351</v>
      </c>
      <c r="B352" s="22" t="s">
        <v>1252</v>
      </c>
      <c r="C352" s="22" t="s">
        <v>313</v>
      </c>
      <c r="D352" s="21" t="s">
        <v>354</v>
      </c>
      <c r="E352" s="21">
        <v>570</v>
      </c>
      <c r="F352" s="23">
        <v>0.38</v>
      </c>
      <c r="G352" s="23">
        <v>0.04</v>
      </c>
      <c r="H352" s="21">
        <v>505</v>
      </c>
      <c r="I352" s="21"/>
      <c r="J352" s="24">
        <v>-6</v>
      </c>
      <c r="K352" s="21"/>
      <c r="L352" s="21"/>
    </row>
    <row r="353" spans="1:12" ht="17.25" customHeight="1" x14ac:dyDescent="0.2">
      <c r="A353" s="21">
        <v>352</v>
      </c>
      <c r="B353" s="22" t="s">
        <v>1253</v>
      </c>
      <c r="C353" s="22" t="s">
        <v>313</v>
      </c>
      <c r="D353" s="21" t="s">
        <v>40</v>
      </c>
      <c r="E353" s="21">
        <v>574.4</v>
      </c>
      <c r="F353" s="23">
        <v>0.33</v>
      </c>
      <c r="G353" s="23">
        <v>0.2</v>
      </c>
      <c r="H353" s="21">
        <v>403</v>
      </c>
      <c r="I353" s="21"/>
      <c r="J353" s="24">
        <v>-0.2</v>
      </c>
      <c r="K353" s="21"/>
      <c r="L353" s="21"/>
    </row>
    <row r="354" spans="1:12" ht="17.25" customHeight="1" x14ac:dyDescent="0.2">
      <c r="A354" s="21">
        <v>353</v>
      </c>
      <c r="B354" s="22" t="s">
        <v>842</v>
      </c>
      <c r="C354" s="22" t="s">
        <v>125</v>
      </c>
      <c r="D354" s="21" t="s">
        <v>280</v>
      </c>
      <c r="E354" s="21">
        <v>575.20000000000005</v>
      </c>
      <c r="F354" s="23">
        <v>0.47</v>
      </c>
      <c r="G354" s="23">
        <v>0.09</v>
      </c>
      <c r="H354" s="21">
        <v>527</v>
      </c>
      <c r="I354" s="21"/>
      <c r="J354" s="24">
        <v>-2.1</v>
      </c>
      <c r="K354" s="21"/>
      <c r="L354" s="21"/>
    </row>
    <row r="355" spans="1:12" ht="17.25" customHeight="1" x14ac:dyDescent="0.2">
      <c r="A355" s="21">
        <v>354</v>
      </c>
      <c r="B355" s="22" t="s">
        <v>253</v>
      </c>
      <c r="C355" s="22" t="s">
        <v>140</v>
      </c>
      <c r="D355" s="21" t="s">
        <v>1254</v>
      </c>
      <c r="E355" s="21">
        <v>590.4</v>
      </c>
      <c r="F355" s="23">
        <v>0.35</v>
      </c>
      <c r="G355" s="23">
        <v>0.06</v>
      </c>
      <c r="H355" s="21">
        <v>563</v>
      </c>
      <c r="I355" s="21"/>
      <c r="J355" s="24">
        <v>-1</v>
      </c>
      <c r="K355" s="21"/>
      <c r="L355" s="21"/>
    </row>
    <row r="356" spans="1:12" ht="17.25" customHeight="1" x14ac:dyDescent="0.2">
      <c r="A356" s="21">
        <v>355</v>
      </c>
      <c r="B356" s="22" t="s">
        <v>1444</v>
      </c>
      <c r="C356" s="21"/>
      <c r="D356" s="21" t="s">
        <v>28</v>
      </c>
      <c r="E356" s="21">
        <v>591.6</v>
      </c>
      <c r="F356" s="23">
        <v>0.38</v>
      </c>
      <c r="G356" s="23">
        <v>7.0000000000000007E-2</v>
      </c>
      <c r="H356" s="21"/>
      <c r="I356" s="21">
        <v>145</v>
      </c>
      <c r="J356" s="24">
        <v>4.2</v>
      </c>
      <c r="K356" s="21"/>
      <c r="L356" s="21"/>
    </row>
    <row r="357" spans="1:12" ht="17.25" customHeight="1" x14ac:dyDescent="0.2">
      <c r="A357" s="21">
        <v>356</v>
      </c>
      <c r="B357" s="22" t="s">
        <v>362</v>
      </c>
      <c r="C357" s="22" t="s">
        <v>57</v>
      </c>
      <c r="D357" s="21" t="s">
        <v>28</v>
      </c>
      <c r="E357" s="21">
        <v>592.79999999999995</v>
      </c>
      <c r="F357" s="23">
        <v>0.4</v>
      </c>
      <c r="G357" s="23">
        <v>0.04</v>
      </c>
      <c r="H357" s="21"/>
      <c r="I357" s="21">
        <v>176</v>
      </c>
      <c r="J357" s="24">
        <v>-2.7</v>
      </c>
      <c r="K357" s="21"/>
      <c r="L357" s="21"/>
    </row>
    <row r="358" spans="1:12" ht="17.25" customHeight="1" x14ac:dyDescent="0.2">
      <c r="A358" s="21">
        <v>357</v>
      </c>
      <c r="B358" s="22" t="s">
        <v>1445</v>
      </c>
      <c r="C358" s="22" t="s">
        <v>48</v>
      </c>
      <c r="D358" s="21" t="s">
        <v>28</v>
      </c>
      <c r="E358" s="21">
        <v>595.70000000000005</v>
      </c>
      <c r="F358" s="23">
        <v>0.36</v>
      </c>
      <c r="G358" s="23">
        <v>0.02</v>
      </c>
      <c r="H358" s="21"/>
      <c r="I358" s="21">
        <v>40</v>
      </c>
      <c r="J358" s="24">
        <v>-2.1</v>
      </c>
      <c r="K358" s="21"/>
      <c r="L358" s="21"/>
    </row>
    <row r="359" spans="1:12" ht="17.25" customHeight="1" x14ac:dyDescent="0.2">
      <c r="A359" s="21">
        <v>358</v>
      </c>
      <c r="B359" s="22" t="s">
        <v>436</v>
      </c>
      <c r="C359" s="22" t="s">
        <v>46</v>
      </c>
      <c r="D359" s="21" t="s">
        <v>201</v>
      </c>
      <c r="E359" s="21">
        <v>599.70000000000005</v>
      </c>
      <c r="F359" s="23">
        <v>0.28999999999999998</v>
      </c>
      <c r="G359" s="23">
        <v>0.04</v>
      </c>
      <c r="H359" s="21">
        <v>462</v>
      </c>
      <c r="I359" s="21"/>
      <c r="J359" s="24">
        <v>-4.5999999999999996</v>
      </c>
      <c r="K359" s="21"/>
      <c r="L359" s="21"/>
    </row>
    <row r="360" spans="1:12" ht="17.25" customHeight="1" x14ac:dyDescent="0.2">
      <c r="A360" s="21">
        <v>359</v>
      </c>
      <c r="B360" s="22" t="s">
        <v>338</v>
      </c>
      <c r="C360" s="22" t="s">
        <v>27</v>
      </c>
      <c r="D360" s="21" t="s">
        <v>28</v>
      </c>
      <c r="E360" s="21">
        <v>609.6</v>
      </c>
      <c r="F360" s="23">
        <v>0.51</v>
      </c>
      <c r="G360" s="23">
        <v>0.09</v>
      </c>
      <c r="H360" s="21"/>
      <c r="I360" s="21">
        <v>68.099999999999994</v>
      </c>
      <c r="J360" s="24">
        <v>1</v>
      </c>
      <c r="K360" s="21"/>
      <c r="L360" s="21"/>
    </row>
    <row r="361" spans="1:12" ht="17.25" customHeight="1" x14ac:dyDescent="0.2">
      <c r="A361" s="21">
        <v>360</v>
      </c>
      <c r="B361" s="22" t="s">
        <v>407</v>
      </c>
      <c r="C361" s="22" t="s">
        <v>64</v>
      </c>
      <c r="D361" s="21" t="s">
        <v>74</v>
      </c>
      <c r="E361" s="21">
        <v>611.70000000000005</v>
      </c>
      <c r="F361" s="23">
        <v>0.35</v>
      </c>
      <c r="G361" s="23">
        <v>0.22</v>
      </c>
      <c r="H361" s="21">
        <v>421</v>
      </c>
      <c r="I361" s="21"/>
      <c r="J361" s="24">
        <v>7.2</v>
      </c>
      <c r="K361" s="21"/>
      <c r="L361" s="21"/>
    </row>
    <row r="362" spans="1:12" ht="17.25" customHeight="1" x14ac:dyDescent="0.2">
      <c r="A362" s="21">
        <v>361</v>
      </c>
      <c r="B362" s="22" t="s">
        <v>217</v>
      </c>
      <c r="C362" s="22" t="s">
        <v>18</v>
      </c>
      <c r="D362" s="21" t="s">
        <v>865</v>
      </c>
      <c r="E362" s="21">
        <v>613.20000000000005</v>
      </c>
      <c r="F362" s="23">
        <v>0.28999999999999998</v>
      </c>
      <c r="G362" s="23">
        <v>0.02</v>
      </c>
      <c r="H362" s="21">
        <v>567</v>
      </c>
      <c r="I362" s="21"/>
      <c r="J362" s="24">
        <v>-6.2</v>
      </c>
      <c r="K362" s="21"/>
      <c r="L362" s="21"/>
    </row>
    <row r="363" spans="1:12" ht="17.25" customHeight="1" x14ac:dyDescent="0.2">
      <c r="A363" s="21">
        <v>362</v>
      </c>
      <c r="B363" s="22" t="s">
        <v>1446</v>
      </c>
      <c r="C363" s="22" t="s">
        <v>34</v>
      </c>
      <c r="D363" s="21" t="s">
        <v>69</v>
      </c>
      <c r="E363" s="21">
        <v>613.29999999999995</v>
      </c>
      <c r="F363" s="23">
        <v>0.26</v>
      </c>
      <c r="G363" s="23">
        <v>0.06</v>
      </c>
      <c r="H363" s="21"/>
      <c r="I363" s="21">
        <v>73.099999999999994</v>
      </c>
      <c r="J363" s="24">
        <v>-3.2</v>
      </c>
      <c r="K363" s="21"/>
      <c r="L363" s="21"/>
    </row>
    <row r="364" spans="1:12" ht="17.25" customHeight="1" x14ac:dyDescent="0.2">
      <c r="A364" s="21">
        <v>363</v>
      </c>
      <c r="B364" s="22" t="s">
        <v>1447</v>
      </c>
      <c r="C364" s="22" t="s">
        <v>48</v>
      </c>
      <c r="D364" s="21" t="s">
        <v>28</v>
      </c>
      <c r="E364" s="21">
        <v>613.6</v>
      </c>
      <c r="F364" s="23">
        <v>0.42</v>
      </c>
      <c r="G364" s="23">
        <v>0.04</v>
      </c>
      <c r="H364" s="21"/>
      <c r="I364" s="21">
        <v>16</v>
      </c>
      <c r="J364" s="24">
        <v>-6.9</v>
      </c>
      <c r="K364" s="21"/>
      <c r="L364" s="21"/>
    </row>
    <row r="365" spans="1:12" ht="17.25" customHeight="1" x14ac:dyDescent="0.2">
      <c r="A365" s="21">
        <v>364</v>
      </c>
      <c r="B365" s="22" t="s">
        <v>371</v>
      </c>
      <c r="C365" s="22" t="s">
        <v>66</v>
      </c>
      <c r="D365" s="21" t="s">
        <v>69</v>
      </c>
      <c r="E365" s="21">
        <v>614.1</v>
      </c>
      <c r="F365" s="23">
        <v>0.36</v>
      </c>
      <c r="G365" s="23">
        <v>0.09</v>
      </c>
      <c r="H365" s="21"/>
      <c r="I365" s="21">
        <v>73</v>
      </c>
      <c r="J365" s="24">
        <v>-3.2</v>
      </c>
      <c r="K365" s="21"/>
      <c r="L365" s="21"/>
    </row>
    <row r="366" spans="1:12" ht="17.25" customHeight="1" x14ac:dyDescent="0.2">
      <c r="A366" s="21">
        <v>365</v>
      </c>
      <c r="B366" s="22" t="s">
        <v>498</v>
      </c>
      <c r="C366" s="22" t="s">
        <v>232</v>
      </c>
      <c r="D366" s="21" t="s">
        <v>69</v>
      </c>
      <c r="E366" s="21">
        <v>614.4</v>
      </c>
      <c r="F366" s="23">
        <v>0.27</v>
      </c>
      <c r="G366" s="23">
        <v>7.0000000000000007E-2</v>
      </c>
      <c r="H366" s="21"/>
      <c r="I366" s="21">
        <v>61</v>
      </c>
      <c r="J366" s="24">
        <v>-1.4</v>
      </c>
      <c r="K366" s="21"/>
      <c r="L366" s="21"/>
    </row>
    <row r="367" spans="1:12" ht="17.25" customHeight="1" x14ac:dyDescent="0.2">
      <c r="A367" s="21">
        <v>366</v>
      </c>
      <c r="B367" s="22" t="s">
        <v>295</v>
      </c>
      <c r="C367" s="22" t="s">
        <v>60</v>
      </c>
      <c r="D367" s="21" t="s">
        <v>25</v>
      </c>
      <c r="E367" s="21">
        <v>622.9</v>
      </c>
      <c r="F367" s="23">
        <v>0.51</v>
      </c>
      <c r="G367" s="23">
        <v>0.09</v>
      </c>
      <c r="H367" s="21">
        <v>114</v>
      </c>
      <c r="I367" s="21"/>
      <c r="J367" s="24">
        <v>-17.7</v>
      </c>
      <c r="K367" s="21"/>
      <c r="L367" s="21"/>
    </row>
    <row r="368" spans="1:12" ht="17.25" customHeight="1" x14ac:dyDescent="0.2">
      <c r="A368" s="21">
        <v>367</v>
      </c>
      <c r="B368" s="22" t="s">
        <v>710</v>
      </c>
      <c r="C368" s="22" t="s">
        <v>313</v>
      </c>
      <c r="D368" s="21" t="s">
        <v>16</v>
      </c>
      <c r="E368" s="21">
        <v>623.5</v>
      </c>
      <c r="F368" s="23">
        <v>0.24</v>
      </c>
      <c r="G368" s="23">
        <v>0.06</v>
      </c>
      <c r="H368" s="21">
        <v>416</v>
      </c>
      <c r="I368" s="21"/>
      <c r="J368" s="24">
        <v>4.3</v>
      </c>
      <c r="K368" s="21"/>
      <c r="L368" s="21"/>
    </row>
    <row r="369" spans="1:12" ht="17.25" customHeight="1" x14ac:dyDescent="0.2">
      <c r="A369" s="21">
        <v>368</v>
      </c>
      <c r="B369" s="22" t="s">
        <v>304</v>
      </c>
      <c r="C369" s="22" t="s">
        <v>125</v>
      </c>
      <c r="D369" s="21" t="s">
        <v>28</v>
      </c>
      <c r="E369" s="21">
        <v>624.4</v>
      </c>
      <c r="F369" s="23">
        <v>0.38</v>
      </c>
      <c r="G369" s="23">
        <v>0</v>
      </c>
      <c r="H369" s="21"/>
      <c r="I369" s="21">
        <v>142.1</v>
      </c>
      <c r="J369" s="24">
        <v>-7.9</v>
      </c>
      <c r="K369" s="21"/>
      <c r="L369" s="21"/>
    </row>
    <row r="370" spans="1:12" ht="17.25" customHeight="1" x14ac:dyDescent="0.2">
      <c r="A370" s="21">
        <v>369</v>
      </c>
      <c r="B370" s="22" t="s">
        <v>546</v>
      </c>
      <c r="C370" s="22" t="s">
        <v>52</v>
      </c>
      <c r="D370" s="21" t="s">
        <v>69</v>
      </c>
      <c r="E370" s="21">
        <v>624.5</v>
      </c>
      <c r="F370" s="23">
        <v>0.22</v>
      </c>
      <c r="G370" s="23">
        <v>0.02</v>
      </c>
      <c r="H370" s="21"/>
      <c r="I370" s="21">
        <v>19.100000000000001</v>
      </c>
      <c r="J370" s="24">
        <v>-11.3</v>
      </c>
      <c r="K370" s="21"/>
      <c r="L370" s="21"/>
    </row>
    <row r="371" spans="1:12" ht="17.25" customHeight="1" x14ac:dyDescent="0.2">
      <c r="A371" s="21">
        <v>370</v>
      </c>
      <c r="B371" s="22" t="s">
        <v>494</v>
      </c>
      <c r="C371" s="22" t="s">
        <v>50</v>
      </c>
      <c r="D371" s="21" t="s">
        <v>28</v>
      </c>
      <c r="E371" s="21">
        <v>626</v>
      </c>
      <c r="F371" s="23">
        <v>0.38</v>
      </c>
      <c r="G371" s="23">
        <v>0.02</v>
      </c>
      <c r="H371" s="21"/>
      <c r="I371" s="21">
        <v>35</v>
      </c>
      <c r="J371" s="24">
        <v>-7.1</v>
      </c>
      <c r="K371" s="21"/>
      <c r="L371" s="21"/>
    </row>
    <row r="372" spans="1:12" ht="17.25" customHeight="1" x14ac:dyDescent="0.2">
      <c r="A372" s="21">
        <v>371</v>
      </c>
      <c r="B372" s="22" t="s">
        <v>130</v>
      </c>
      <c r="C372" s="22" t="s">
        <v>66</v>
      </c>
      <c r="D372" s="21" t="s">
        <v>25</v>
      </c>
      <c r="E372" s="21">
        <v>633</v>
      </c>
      <c r="F372" s="23">
        <v>0.2</v>
      </c>
      <c r="G372" s="23">
        <v>0.09</v>
      </c>
      <c r="H372" s="21">
        <v>589</v>
      </c>
      <c r="I372" s="21"/>
      <c r="J372" s="24">
        <v>5.2</v>
      </c>
      <c r="K372" s="21"/>
      <c r="L372" s="21"/>
    </row>
    <row r="373" spans="1:12" ht="17.25" customHeight="1" x14ac:dyDescent="0.2">
      <c r="A373" s="21">
        <v>372</v>
      </c>
      <c r="B373" s="22" t="s">
        <v>375</v>
      </c>
      <c r="C373" s="22" t="s">
        <v>21</v>
      </c>
      <c r="D373" s="21" t="s">
        <v>74</v>
      </c>
      <c r="E373" s="21">
        <v>633.9</v>
      </c>
      <c r="F373" s="23">
        <v>0.33</v>
      </c>
      <c r="G373" s="23">
        <v>0.31</v>
      </c>
      <c r="H373" s="21">
        <v>414</v>
      </c>
      <c r="I373" s="21"/>
      <c r="J373" s="24">
        <v>-0.1</v>
      </c>
      <c r="K373" s="21"/>
      <c r="L373" s="21"/>
    </row>
    <row r="374" spans="1:12" ht="17.25" customHeight="1" x14ac:dyDescent="0.2">
      <c r="A374" s="21">
        <v>373</v>
      </c>
      <c r="B374" s="22" t="s">
        <v>1255</v>
      </c>
      <c r="C374" s="22" t="s">
        <v>64</v>
      </c>
      <c r="D374" s="21" t="s">
        <v>62</v>
      </c>
      <c r="E374" s="21">
        <v>642.1</v>
      </c>
      <c r="F374" s="23">
        <v>0.27</v>
      </c>
      <c r="G374" s="23">
        <v>0.02</v>
      </c>
      <c r="H374" s="21">
        <v>66</v>
      </c>
      <c r="I374" s="21"/>
      <c r="J374" s="24">
        <v>-8.3000000000000007</v>
      </c>
      <c r="K374" s="21"/>
      <c r="L374" s="21"/>
    </row>
    <row r="375" spans="1:12" ht="17.25" customHeight="1" x14ac:dyDescent="0.2">
      <c r="A375" s="21">
        <v>374</v>
      </c>
      <c r="B375" s="22" t="s">
        <v>1256</v>
      </c>
      <c r="C375" s="22" t="s">
        <v>211</v>
      </c>
      <c r="D375" s="21" t="s">
        <v>16</v>
      </c>
      <c r="E375" s="21">
        <v>643.20000000000005</v>
      </c>
      <c r="F375" s="23">
        <v>0.33</v>
      </c>
      <c r="G375" s="23">
        <v>0.04</v>
      </c>
      <c r="H375" s="21">
        <v>27</v>
      </c>
      <c r="I375" s="21"/>
      <c r="J375" s="24">
        <v>-21.5</v>
      </c>
      <c r="K375" s="21"/>
      <c r="L375" s="21"/>
    </row>
    <row r="376" spans="1:12" ht="17.25" customHeight="1" x14ac:dyDescent="0.2">
      <c r="A376" s="21">
        <v>375</v>
      </c>
      <c r="B376" s="22" t="s">
        <v>1257</v>
      </c>
      <c r="C376" s="22" t="s">
        <v>48</v>
      </c>
      <c r="D376" s="21" t="s">
        <v>87</v>
      </c>
      <c r="E376" s="21">
        <v>644.79999999999995</v>
      </c>
      <c r="F376" s="23">
        <v>0.28999999999999998</v>
      </c>
      <c r="G376" s="23">
        <v>0.04</v>
      </c>
      <c r="H376" s="21">
        <v>136</v>
      </c>
      <c r="I376" s="21"/>
      <c r="J376" s="24">
        <v>-17.899999999999999</v>
      </c>
      <c r="K376" s="21"/>
      <c r="L376" s="21"/>
    </row>
    <row r="377" spans="1:12" ht="17.25" customHeight="1" x14ac:dyDescent="0.2">
      <c r="A377" s="21">
        <v>376</v>
      </c>
      <c r="B377" s="22" t="s">
        <v>476</v>
      </c>
      <c r="C377" s="22" t="s">
        <v>115</v>
      </c>
      <c r="D377" s="21" t="s">
        <v>429</v>
      </c>
      <c r="E377" s="21">
        <v>645.6</v>
      </c>
      <c r="F377" s="23">
        <v>0.18</v>
      </c>
      <c r="G377" s="23">
        <v>0.04</v>
      </c>
      <c r="H377" s="21">
        <v>402</v>
      </c>
      <c r="I377" s="21"/>
      <c r="J377" s="24">
        <v>-8.1999999999999993</v>
      </c>
      <c r="K377" s="21"/>
      <c r="L377" s="21"/>
    </row>
    <row r="378" spans="1:12" ht="17.25" customHeight="1" x14ac:dyDescent="0.2">
      <c r="A378" s="21">
        <v>377</v>
      </c>
      <c r="B378" s="22" t="s">
        <v>1258</v>
      </c>
      <c r="C378" s="22" t="s">
        <v>57</v>
      </c>
      <c r="D378" s="21" t="s">
        <v>25</v>
      </c>
      <c r="E378" s="21">
        <v>656</v>
      </c>
      <c r="F378" s="23">
        <v>0.27</v>
      </c>
      <c r="G378" s="23">
        <v>0.04</v>
      </c>
      <c r="H378" s="21">
        <v>428</v>
      </c>
      <c r="I378" s="21"/>
      <c r="J378" s="24">
        <v>2</v>
      </c>
      <c r="K378" s="21"/>
      <c r="L378" s="21"/>
    </row>
    <row r="379" spans="1:12" ht="17.25" customHeight="1" x14ac:dyDescent="0.2">
      <c r="A379" s="21">
        <v>378</v>
      </c>
      <c r="B379" s="22" t="s">
        <v>395</v>
      </c>
      <c r="C379" s="22" t="s">
        <v>52</v>
      </c>
      <c r="D379" s="21" t="s">
        <v>69</v>
      </c>
      <c r="E379" s="21">
        <v>656.9</v>
      </c>
      <c r="F379" s="23">
        <v>0.18</v>
      </c>
      <c r="G379" s="23">
        <v>0.04</v>
      </c>
      <c r="H379" s="21"/>
      <c r="I379" s="21">
        <v>25.1</v>
      </c>
      <c r="J379" s="24">
        <v>-15.7</v>
      </c>
      <c r="K379" s="21"/>
      <c r="L379" s="21"/>
    </row>
    <row r="380" spans="1:12" ht="17.25" customHeight="1" x14ac:dyDescent="0.2">
      <c r="A380" s="21">
        <v>379</v>
      </c>
      <c r="B380" s="22" t="s">
        <v>1448</v>
      </c>
      <c r="C380" s="22" t="s">
        <v>46</v>
      </c>
      <c r="D380" s="21" t="s">
        <v>28</v>
      </c>
      <c r="E380" s="21">
        <v>665.1</v>
      </c>
      <c r="F380" s="23">
        <v>0.2</v>
      </c>
      <c r="G380" s="23">
        <v>0</v>
      </c>
      <c r="H380" s="21"/>
      <c r="I380" s="21">
        <v>48.1</v>
      </c>
      <c r="J380" s="24">
        <v>0.6</v>
      </c>
      <c r="K380" s="21"/>
      <c r="L380" s="21"/>
    </row>
    <row r="381" spans="1:12" ht="17.25" customHeight="1" x14ac:dyDescent="0.2">
      <c r="A381" s="21">
        <v>380</v>
      </c>
      <c r="B381" s="22" t="s">
        <v>172</v>
      </c>
      <c r="C381" s="22" t="s">
        <v>15</v>
      </c>
      <c r="D381" s="21" t="s">
        <v>19</v>
      </c>
      <c r="E381" s="21">
        <v>665.6</v>
      </c>
      <c r="F381" s="23">
        <v>0.26</v>
      </c>
      <c r="G381" s="23">
        <v>0.04</v>
      </c>
      <c r="H381" s="21">
        <v>596</v>
      </c>
      <c r="I381" s="21"/>
      <c r="J381" s="24">
        <v>2.7</v>
      </c>
      <c r="K381" s="21"/>
      <c r="L381" s="21"/>
    </row>
    <row r="382" spans="1:12" ht="17.25" customHeight="1" x14ac:dyDescent="0.2">
      <c r="A382" s="21">
        <v>381</v>
      </c>
      <c r="B382" s="22" t="s">
        <v>179</v>
      </c>
      <c r="C382" s="22" t="s">
        <v>89</v>
      </c>
      <c r="D382" s="21" t="s">
        <v>25</v>
      </c>
      <c r="E382" s="21">
        <v>665.8</v>
      </c>
      <c r="F382" s="23">
        <v>0.18</v>
      </c>
      <c r="G382" s="23">
        <v>0.06</v>
      </c>
      <c r="H382" s="21">
        <v>222</v>
      </c>
      <c r="I382" s="21"/>
      <c r="J382" s="24">
        <v>-16.8</v>
      </c>
      <c r="K382" s="21"/>
      <c r="L382" s="21"/>
    </row>
    <row r="383" spans="1:12" ht="17.25" customHeight="1" x14ac:dyDescent="0.2">
      <c r="A383" s="21">
        <v>382</v>
      </c>
      <c r="B383" s="22" t="s">
        <v>174</v>
      </c>
      <c r="C383" s="22" t="s">
        <v>18</v>
      </c>
      <c r="D383" s="21" t="s">
        <v>28</v>
      </c>
      <c r="E383" s="21">
        <v>667</v>
      </c>
      <c r="F383" s="23">
        <v>0.27</v>
      </c>
      <c r="G383" s="23">
        <v>0.04</v>
      </c>
      <c r="H383" s="21"/>
      <c r="I383" s="21">
        <v>172.1</v>
      </c>
      <c r="J383" s="24">
        <v>2.5</v>
      </c>
      <c r="K383" s="21"/>
      <c r="L383" s="21"/>
    </row>
    <row r="384" spans="1:12" ht="17.25" customHeight="1" x14ac:dyDescent="0.2">
      <c r="A384" s="21">
        <v>383</v>
      </c>
      <c r="B384" s="22" t="s">
        <v>1449</v>
      </c>
      <c r="C384" s="22" t="s">
        <v>115</v>
      </c>
      <c r="D384" s="21" t="s">
        <v>28</v>
      </c>
      <c r="E384" s="21">
        <v>667.2</v>
      </c>
      <c r="F384" s="23">
        <v>0.24</v>
      </c>
      <c r="G384" s="23">
        <v>0.06</v>
      </c>
      <c r="H384" s="21"/>
      <c r="I384" s="21">
        <v>132</v>
      </c>
      <c r="J384" s="24">
        <v>-8.6</v>
      </c>
      <c r="K384" s="21"/>
      <c r="L384" s="21"/>
    </row>
    <row r="385" spans="1:12" ht="17.25" customHeight="1" x14ac:dyDescent="0.2">
      <c r="A385" s="21">
        <v>384</v>
      </c>
      <c r="B385" s="22" t="s">
        <v>359</v>
      </c>
      <c r="C385" s="22" t="s">
        <v>39</v>
      </c>
      <c r="D385" s="21" t="s">
        <v>206</v>
      </c>
      <c r="E385" s="21">
        <v>667.5</v>
      </c>
      <c r="F385" s="23">
        <v>0.15</v>
      </c>
      <c r="G385" s="23">
        <v>0.02</v>
      </c>
      <c r="H385" s="21">
        <v>541</v>
      </c>
      <c r="I385" s="21"/>
      <c r="J385" s="24">
        <v>-4.5</v>
      </c>
      <c r="K385" s="21"/>
      <c r="L385" s="21"/>
    </row>
    <row r="386" spans="1:12" ht="17.25" customHeight="1" x14ac:dyDescent="0.2">
      <c r="A386" s="21">
        <v>385</v>
      </c>
      <c r="B386" s="22" t="s">
        <v>1259</v>
      </c>
      <c r="C386" s="22" t="s">
        <v>132</v>
      </c>
      <c r="D386" s="21" t="s">
        <v>40</v>
      </c>
      <c r="E386" s="21">
        <v>668.7</v>
      </c>
      <c r="F386" s="23">
        <v>0.16</v>
      </c>
      <c r="G386" s="23">
        <v>0.09</v>
      </c>
      <c r="H386" s="21">
        <v>8</v>
      </c>
      <c r="I386" s="21"/>
      <c r="J386" s="24">
        <v>-13</v>
      </c>
      <c r="K386" s="21"/>
      <c r="L386" s="21"/>
    </row>
    <row r="387" spans="1:12" ht="17.25" customHeight="1" x14ac:dyDescent="0.2">
      <c r="A387" s="21">
        <v>386</v>
      </c>
      <c r="B387" s="22" t="s">
        <v>286</v>
      </c>
      <c r="C387" s="22" t="s">
        <v>125</v>
      </c>
      <c r="D387" s="21" t="s">
        <v>43</v>
      </c>
      <c r="E387" s="21">
        <v>674.8</v>
      </c>
      <c r="F387" s="23">
        <v>0.18</v>
      </c>
      <c r="G387" s="23">
        <v>0</v>
      </c>
      <c r="H387" s="21">
        <v>533</v>
      </c>
      <c r="I387" s="21"/>
      <c r="J387" s="24">
        <v>-0.7</v>
      </c>
      <c r="K387" s="21"/>
      <c r="L387" s="21"/>
    </row>
    <row r="388" spans="1:12" ht="17.25" customHeight="1" x14ac:dyDescent="0.2">
      <c r="A388" s="21">
        <v>387</v>
      </c>
      <c r="B388" s="22" t="s">
        <v>582</v>
      </c>
      <c r="C388" s="22" t="s">
        <v>66</v>
      </c>
      <c r="D388" s="21" t="s">
        <v>16</v>
      </c>
      <c r="E388" s="21">
        <v>675.5</v>
      </c>
      <c r="F388" s="23">
        <v>0.16</v>
      </c>
      <c r="G388" s="23">
        <v>0</v>
      </c>
      <c r="H388" s="21">
        <v>545</v>
      </c>
      <c r="I388" s="21"/>
      <c r="J388" s="24">
        <v>3.1</v>
      </c>
      <c r="K388" s="21"/>
      <c r="L388" s="21"/>
    </row>
    <row r="389" spans="1:12" ht="17.25" customHeight="1" x14ac:dyDescent="0.2">
      <c r="A389" s="21">
        <v>388</v>
      </c>
      <c r="B389" s="22" t="s">
        <v>1450</v>
      </c>
      <c r="C389" s="22" t="s">
        <v>48</v>
      </c>
      <c r="D389" s="21" t="s">
        <v>69</v>
      </c>
      <c r="E389" s="21">
        <v>679.2</v>
      </c>
      <c r="F389" s="23">
        <v>0.16</v>
      </c>
      <c r="G389" s="23">
        <v>0.02</v>
      </c>
      <c r="H389" s="21"/>
      <c r="I389" s="21">
        <v>72</v>
      </c>
      <c r="J389" s="24">
        <v>1.9</v>
      </c>
      <c r="K389" s="21"/>
      <c r="L389" s="21"/>
    </row>
    <row r="390" spans="1:12" ht="17.25" customHeight="1" x14ac:dyDescent="0.2">
      <c r="A390" s="21">
        <v>389</v>
      </c>
      <c r="B390" s="22" t="s">
        <v>562</v>
      </c>
      <c r="C390" s="22" t="s">
        <v>140</v>
      </c>
      <c r="D390" s="21" t="s">
        <v>69</v>
      </c>
      <c r="E390" s="21">
        <v>688.4</v>
      </c>
      <c r="F390" s="23">
        <v>0.11</v>
      </c>
      <c r="G390" s="23">
        <v>0</v>
      </c>
      <c r="H390" s="21"/>
      <c r="I390" s="21">
        <v>42</v>
      </c>
      <c r="J390" s="24">
        <v>-8.1</v>
      </c>
      <c r="K390" s="21"/>
      <c r="L390" s="21"/>
    </row>
    <row r="391" spans="1:12" ht="17.25" customHeight="1" x14ac:dyDescent="0.2">
      <c r="A391" s="21">
        <v>390</v>
      </c>
      <c r="B391" s="22" t="s">
        <v>637</v>
      </c>
      <c r="C391" s="22" t="s">
        <v>52</v>
      </c>
      <c r="D391" s="21" t="s">
        <v>28</v>
      </c>
      <c r="E391" s="21">
        <v>689.4</v>
      </c>
      <c r="F391" s="23">
        <v>0.16</v>
      </c>
      <c r="G391" s="23">
        <v>0</v>
      </c>
      <c r="H391" s="21"/>
      <c r="I391" s="21">
        <v>89.1</v>
      </c>
      <c r="J391" s="24">
        <v>-1.5</v>
      </c>
      <c r="K391" s="21"/>
      <c r="L391" s="21"/>
    </row>
    <row r="392" spans="1:12" ht="17.25" customHeight="1" x14ac:dyDescent="0.2">
      <c r="A392" s="21">
        <v>391</v>
      </c>
      <c r="B392" s="22" t="s">
        <v>573</v>
      </c>
      <c r="C392" s="22" t="s">
        <v>36</v>
      </c>
      <c r="D392" s="21" t="s">
        <v>74</v>
      </c>
      <c r="E392" s="21">
        <v>690.2</v>
      </c>
      <c r="F392" s="23">
        <v>0.2</v>
      </c>
      <c r="G392" s="23">
        <v>0.15</v>
      </c>
      <c r="H392" s="21">
        <v>337</v>
      </c>
      <c r="I392" s="21"/>
      <c r="J392" s="24">
        <v>-0.5</v>
      </c>
      <c r="K392" s="21"/>
      <c r="L392" s="21"/>
    </row>
    <row r="393" spans="1:12" ht="17.25" customHeight="1" x14ac:dyDescent="0.2">
      <c r="A393" s="21">
        <v>392</v>
      </c>
      <c r="B393" s="22" t="s">
        <v>663</v>
      </c>
      <c r="C393" s="22" t="s">
        <v>211</v>
      </c>
      <c r="D393" s="21" t="s">
        <v>87</v>
      </c>
      <c r="E393" s="21">
        <v>695.4</v>
      </c>
      <c r="F393" s="23">
        <v>0.18</v>
      </c>
      <c r="G393" s="23">
        <v>0.02</v>
      </c>
      <c r="H393" s="21">
        <v>337</v>
      </c>
      <c r="I393" s="21"/>
      <c r="J393" s="24">
        <v>-6.8</v>
      </c>
      <c r="K393" s="21"/>
      <c r="L393" s="21"/>
    </row>
    <row r="394" spans="1:12" ht="17.25" customHeight="1" x14ac:dyDescent="0.2">
      <c r="A394" s="21">
        <v>393</v>
      </c>
      <c r="B394" s="22" t="s">
        <v>146</v>
      </c>
      <c r="C394" s="22" t="s">
        <v>232</v>
      </c>
      <c r="D394" s="21" t="s">
        <v>28</v>
      </c>
      <c r="E394" s="21">
        <v>695.7</v>
      </c>
      <c r="F394" s="23">
        <v>0.09</v>
      </c>
      <c r="G394" s="23">
        <v>0</v>
      </c>
      <c r="H394" s="21"/>
      <c r="I394" s="21">
        <v>165.1</v>
      </c>
      <c r="J394" s="24">
        <v>-0.2</v>
      </c>
      <c r="K394" s="21"/>
      <c r="L394" s="21"/>
    </row>
    <row r="395" spans="1:12" ht="17.25" customHeight="1" x14ac:dyDescent="0.2">
      <c r="A395" s="21">
        <v>394</v>
      </c>
      <c r="B395" s="22" t="s">
        <v>983</v>
      </c>
      <c r="C395" s="22" t="s">
        <v>30</v>
      </c>
      <c r="D395" s="21" t="s">
        <v>82</v>
      </c>
      <c r="E395" s="21">
        <v>696.5</v>
      </c>
      <c r="F395" s="23">
        <v>0.09</v>
      </c>
      <c r="G395" s="23">
        <v>0.04</v>
      </c>
      <c r="H395" s="21">
        <v>294</v>
      </c>
      <c r="I395" s="21"/>
      <c r="J395" s="24">
        <v>-12.8</v>
      </c>
      <c r="K395" s="21"/>
      <c r="L395" s="21"/>
    </row>
    <row r="396" spans="1:12" ht="17.25" customHeight="1" x14ac:dyDescent="0.2">
      <c r="A396" s="21">
        <v>395</v>
      </c>
      <c r="B396" s="22" t="s">
        <v>225</v>
      </c>
      <c r="C396" s="22" t="s">
        <v>30</v>
      </c>
      <c r="D396" s="21" t="s">
        <v>28</v>
      </c>
      <c r="E396" s="21">
        <v>697.1</v>
      </c>
      <c r="F396" s="23">
        <v>0.15</v>
      </c>
      <c r="G396" s="23">
        <v>0</v>
      </c>
      <c r="H396" s="21"/>
      <c r="I396" s="21">
        <v>71</v>
      </c>
      <c r="J396" s="24">
        <v>-8.6</v>
      </c>
      <c r="K396" s="21"/>
      <c r="L396" s="21"/>
    </row>
    <row r="397" spans="1:12" ht="17.25" customHeight="1" x14ac:dyDescent="0.2">
      <c r="A397" s="21">
        <v>396</v>
      </c>
      <c r="B397" s="22" t="s">
        <v>648</v>
      </c>
      <c r="C397" s="22" t="s">
        <v>48</v>
      </c>
      <c r="D397" s="21" t="s">
        <v>82</v>
      </c>
      <c r="E397" s="21">
        <v>697.7</v>
      </c>
      <c r="F397" s="23">
        <v>0.13</v>
      </c>
      <c r="G397" s="23">
        <v>0.02</v>
      </c>
      <c r="H397" s="21">
        <v>112</v>
      </c>
      <c r="I397" s="21"/>
      <c r="J397" s="24">
        <v>-21.8</v>
      </c>
      <c r="K397" s="21"/>
      <c r="L397" s="21"/>
    </row>
    <row r="398" spans="1:12" ht="17.25" customHeight="1" x14ac:dyDescent="0.2">
      <c r="A398" s="21">
        <v>397</v>
      </c>
      <c r="B398" s="22" t="s">
        <v>241</v>
      </c>
      <c r="C398" s="22" t="s">
        <v>32</v>
      </c>
      <c r="D398" s="21" t="s">
        <v>25</v>
      </c>
      <c r="E398" s="21">
        <v>698</v>
      </c>
      <c r="F398" s="23">
        <v>0.13</v>
      </c>
      <c r="G398" s="23">
        <v>0.02</v>
      </c>
      <c r="H398" s="21">
        <v>425</v>
      </c>
      <c r="I398" s="21"/>
      <c r="J398" s="24">
        <v>1</v>
      </c>
      <c r="K398" s="21"/>
      <c r="L398" s="21"/>
    </row>
    <row r="399" spans="1:12" ht="17.25" customHeight="1" x14ac:dyDescent="0.2">
      <c r="A399" s="21">
        <v>398</v>
      </c>
      <c r="B399" s="22" t="s">
        <v>365</v>
      </c>
      <c r="C399" s="22" t="s">
        <v>52</v>
      </c>
      <c r="D399" s="21" t="s">
        <v>28</v>
      </c>
      <c r="E399" s="21">
        <v>698.1</v>
      </c>
      <c r="F399" s="23">
        <v>0.16</v>
      </c>
      <c r="G399" s="23">
        <v>0</v>
      </c>
      <c r="H399" s="21"/>
      <c r="I399" s="21">
        <v>176.1</v>
      </c>
      <c r="J399" s="24">
        <v>-6.9</v>
      </c>
      <c r="K399" s="21"/>
      <c r="L399" s="21"/>
    </row>
    <row r="400" spans="1:12" ht="17.25" customHeight="1" x14ac:dyDescent="0.2">
      <c r="A400" s="21">
        <v>399</v>
      </c>
      <c r="B400" s="22" t="s">
        <v>183</v>
      </c>
      <c r="C400" s="22" t="s">
        <v>18</v>
      </c>
      <c r="D400" s="21" t="s">
        <v>25</v>
      </c>
      <c r="E400" s="21">
        <v>698.8</v>
      </c>
      <c r="F400" s="23">
        <v>0.09</v>
      </c>
      <c r="G400" s="23">
        <v>0</v>
      </c>
      <c r="H400" s="21">
        <v>142</v>
      </c>
      <c r="I400" s="21"/>
      <c r="J400" s="24">
        <v>-20.3</v>
      </c>
      <c r="K400" s="21"/>
      <c r="L400" s="21"/>
    </row>
    <row r="401" spans="1:12" ht="17.25" customHeight="1" x14ac:dyDescent="0.2">
      <c r="A401" s="21">
        <v>400</v>
      </c>
      <c r="B401" s="22" t="s">
        <v>715</v>
      </c>
      <c r="C401" s="22" t="s">
        <v>55</v>
      </c>
      <c r="D401" s="21" t="s">
        <v>28</v>
      </c>
      <c r="E401" s="21">
        <v>699.7</v>
      </c>
      <c r="F401" s="23">
        <v>0.13</v>
      </c>
      <c r="G401" s="23">
        <v>0</v>
      </c>
      <c r="H401" s="21"/>
      <c r="I401" s="21">
        <v>106.1</v>
      </c>
      <c r="J401" s="24">
        <v>-3.3</v>
      </c>
      <c r="K401" s="21"/>
      <c r="L401" s="21"/>
    </row>
    <row r="402" spans="1:12" ht="17.25" customHeight="1" x14ac:dyDescent="0.2">
      <c r="A402" s="21">
        <v>401</v>
      </c>
      <c r="B402" s="22" t="s">
        <v>147</v>
      </c>
      <c r="C402" s="22" t="s">
        <v>52</v>
      </c>
      <c r="D402" s="21" t="s">
        <v>25</v>
      </c>
      <c r="E402" s="21">
        <v>699.7</v>
      </c>
      <c r="F402" s="23">
        <v>0.09</v>
      </c>
      <c r="G402" s="23">
        <v>0.02</v>
      </c>
      <c r="H402" s="21">
        <v>546</v>
      </c>
      <c r="I402" s="21"/>
      <c r="J402" s="24">
        <v>5.4</v>
      </c>
      <c r="K402" s="21"/>
      <c r="L402" s="21"/>
    </row>
    <row r="403" spans="1:12" ht="17.25" customHeight="1" x14ac:dyDescent="0.2">
      <c r="A403" s="21">
        <v>402</v>
      </c>
      <c r="B403" s="22" t="s">
        <v>1451</v>
      </c>
      <c r="C403" s="22" t="s">
        <v>115</v>
      </c>
      <c r="D403" s="21" t="s">
        <v>69</v>
      </c>
      <c r="E403" s="21">
        <v>699.9</v>
      </c>
      <c r="F403" s="23">
        <v>0.13</v>
      </c>
      <c r="G403" s="23">
        <v>0</v>
      </c>
      <c r="H403" s="21"/>
      <c r="I403" s="21">
        <v>60</v>
      </c>
      <c r="J403" s="24">
        <v>0.4</v>
      </c>
      <c r="K403" s="21"/>
      <c r="L403" s="21"/>
    </row>
    <row r="404" spans="1:12" ht="17.25" customHeight="1" x14ac:dyDescent="0.2">
      <c r="A404" s="21">
        <v>403</v>
      </c>
      <c r="B404" s="22" t="s">
        <v>448</v>
      </c>
      <c r="C404" s="22" t="s">
        <v>140</v>
      </c>
      <c r="D404" s="21" t="s">
        <v>69</v>
      </c>
      <c r="E404" s="21">
        <v>700</v>
      </c>
      <c r="F404" s="23">
        <v>0.2</v>
      </c>
      <c r="G404" s="23">
        <v>0</v>
      </c>
      <c r="H404" s="21"/>
      <c r="I404" s="21">
        <v>17.100000000000001</v>
      </c>
      <c r="J404" s="24">
        <v>-15.4</v>
      </c>
      <c r="K404" s="21"/>
      <c r="L404" s="21"/>
    </row>
    <row r="405" spans="1:12" ht="17.25" customHeight="1" x14ac:dyDescent="0.2">
      <c r="A405" s="21">
        <v>404</v>
      </c>
      <c r="B405" s="22" t="s">
        <v>1260</v>
      </c>
      <c r="C405" s="22" t="s">
        <v>232</v>
      </c>
      <c r="D405" s="21" t="s">
        <v>25</v>
      </c>
      <c r="E405" s="21">
        <v>707</v>
      </c>
      <c r="F405" s="23">
        <v>7.0000000000000007E-2</v>
      </c>
      <c r="G405" s="23">
        <v>0.02</v>
      </c>
      <c r="H405" s="21">
        <v>78</v>
      </c>
      <c r="I405" s="21"/>
      <c r="J405" s="24">
        <v>-20.399999999999999</v>
      </c>
      <c r="K405" s="21"/>
      <c r="L405" s="21"/>
    </row>
    <row r="406" spans="1:12" ht="17.25" customHeight="1" x14ac:dyDescent="0.2">
      <c r="A406" s="21">
        <v>405</v>
      </c>
      <c r="B406" s="22" t="s">
        <v>691</v>
      </c>
      <c r="C406" s="22" t="s">
        <v>232</v>
      </c>
      <c r="D406" s="21" t="s">
        <v>28</v>
      </c>
      <c r="E406" s="21">
        <v>707.3</v>
      </c>
      <c r="F406" s="23">
        <v>0.16</v>
      </c>
      <c r="G406" s="23">
        <v>0</v>
      </c>
      <c r="H406" s="21"/>
      <c r="I406" s="21">
        <v>52</v>
      </c>
      <c r="J406" s="24">
        <v>-5.9</v>
      </c>
      <c r="K406" s="21"/>
      <c r="L406" s="21"/>
    </row>
    <row r="407" spans="1:12" ht="17.25" customHeight="1" x14ac:dyDescent="0.2">
      <c r="A407" s="21">
        <v>406</v>
      </c>
      <c r="B407" s="22" t="s">
        <v>175</v>
      </c>
      <c r="C407" s="22" t="s">
        <v>12</v>
      </c>
      <c r="D407" s="21" t="s">
        <v>69</v>
      </c>
      <c r="E407" s="21">
        <v>707.4</v>
      </c>
      <c r="F407" s="23">
        <v>0.18</v>
      </c>
      <c r="G407" s="23">
        <v>0.02</v>
      </c>
      <c r="H407" s="21"/>
      <c r="I407" s="21">
        <v>57</v>
      </c>
      <c r="J407" s="24">
        <v>-6.4</v>
      </c>
      <c r="K407" s="21"/>
      <c r="L407" s="21"/>
    </row>
    <row r="408" spans="1:12" ht="17.25" customHeight="1" x14ac:dyDescent="0.2">
      <c r="A408" s="21">
        <v>407</v>
      </c>
      <c r="B408" s="22" t="s">
        <v>199</v>
      </c>
      <c r="C408" s="22" t="s">
        <v>52</v>
      </c>
      <c r="D408" s="21" t="s">
        <v>87</v>
      </c>
      <c r="E408" s="21">
        <v>707.4</v>
      </c>
      <c r="F408" s="23">
        <v>0.11</v>
      </c>
      <c r="G408" s="23">
        <v>0.02</v>
      </c>
      <c r="H408" s="21">
        <v>436</v>
      </c>
      <c r="I408" s="21"/>
      <c r="J408" s="24">
        <v>-4.9000000000000004</v>
      </c>
      <c r="K408" s="21"/>
      <c r="L408" s="21"/>
    </row>
    <row r="409" spans="1:12" ht="17.25" customHeight="1" x14ac:dyDescent="0.2">
      <c r="A409" s="21">
        <v>408</v>
      </c>
      <c r="B409" s="22" t="s">
        <v>827</v>
      </c>
      <c r="C409" s="22" t="s">
        <v>125</v>
      </c>
      <c r="D409" s="21" t="s">
        <v>479</v>
      </c>
      <c r="E409" s="21">
        <v>707.5</v>
      </c>
      <c r="F409" s="23">
        <v>0.09</v>
      </c>
      <c r="G409" s="23">
        <v>0.02</v>
      </c>
      <c r="H409" s="21">
        <v>386</v>
      </c>
      <c r="I409" s="21"/>
      <c r="J409" s="24">
        <v>-4.2</v>
      </c>
      <c r="K409" s="21"/>
      <c r="L409" s="21"/>
    </row>
    <row r="410" spans="1:12" ht="17.25" customHeight="1" x14ac:dyDescent="0.2">
      <c r="A410" s="21">
        <v>409</v>
      </c>
      <c r="B410" s="22" t="s">
        <v>827</v>
      </c>
      <c r="C410" s="22" t="s">
        <v>125</v>
      </c>
      <c r="D410" s="21" t="s">
        <v>69</v>
      </c>
      <c r="E410" s="21">
        <v>707.5</v>
      </c>
      <c r="F410" s="23">
        <v>0.09</v>
      </c>
      <c r="G410" s="23">
        <v>0.02</v>
      </c>
      <c r="H410" s="21"/>
      <c r="I410" s="21">
        <v>1</v>
      </c>
      <c r="J410" s="24">
        <v>-13.2</v>
      </c>
      <c r="K410" s="21"/>
      <c r="L410" s="21"/>
    </row>
    <row r="411" spans="1:12" ht="17.25" customHeight="1" x14ac:dyDescent="0.2">
      <c r="A411" s="21">
        <v>410</v>
      </c>
      <c r="B411" s="22" t="s">
        <v>643</v>
      </c>
      <c r="C411" s="22" t="s">
        <v>27</v>
      </c>
      <c r="D411" s="21" t="s">
        <v>28</v>
      </c>
      <c r="E411" s="21">
        <v>708.9</v>
      </c>
      <c r="F411" s="23">
        <v>7.0000000000000007E-2</v>
      </c>
      <c r="G411" s="23">
        <v>0.02</v>
      </c>
      <c r="H411" s="21"/>
      <c r="I411" s="21">
        <v>152</v>
      </c>
      <c r="J411" s="24">
        <v>-4.5</v>
      </c>
      <c r="K411" s="21"/>
      <c r="L411" s="21"/>
    </row>
    <row r="412" spans="1:12" ht="17.25" customHeight="1" x14ac:dyDescent="0.2">
      <c r="A412" s="21">
        <v>411</v>
      </c>
      <c r="B412" s="22" t="s">
        <v>459</v>
      </c>
      <c r="C412" s="22" t="s">
        <v>57</v>
      </c>
      <c r="D412" s="21" t="s">
        <v>82</v>
      </c>
      <c r="E412" s="21">
        <v>709.3</v>
      </c>
      <c r="F412" s="23">
        <v>7.0000000000000007E-2</v>
      </c>
      <c r="G412" s="23">
        <v>0</v>
      </c>
      <c r="H412" s="21">
        <v>411</v>
      </c>
      <c r="I412" s="21"/>
      <c r="J412" s="24">
        <v>-1.7</v>
      </c>
      <c r="K412" s="21"/>
      <c r="L412" s="21"/>
    </row>
    <row r="413" spans="1:12" ht="17.25" customHeight="1" x14ac:dyDescent="0.2">
      <c r="A413" s="21">
        <v>412</v>
      </c>
      <c r="B413" s="22" t="s">
        <v>259</v>
      </c>
      <c r="C413" s="22" t="s">
        <v>15</v>
      </c>
      <c r="D413" s="21" t="s">
        <v>87</v>
      </c>
      <c r="E413" s="21">
        <v>709.6</v>
      </c>
      <c r="F413" s="23">
        <v>7.0000000000000007E-2</v>
      </c>
      <c r="G413" s="23">
        <v>0</v>
      </c>
      <c r="H413" s="21">
        <v>586</v>
      </c>
      <c r="I413" s="21"/>
      <c r="J413" s="24">
        <v>-3.9</v>
      </c>
      <c r="K413" s="21"/>
      <c r="L413" s="21"/>
    </row>
    <row r="414" spans="1:12" ht="17.25" customHeight="1" x14ac:dyDescent="0.2">
      <c r="A414" s="21">
        <v>413</v>
      </c>
      <c r="B414" s="22" t="s">
        <v>325</v>
      </c>
      <c r="C414" s="22" t="s">
        <v>66</v>
      </c>
      <c r="D414" s="21" t="s">
        <v>74</v>
      </c>
      <c r="E414" s="21">
        <v>709.8</v>
      </c>
      <c r="F414" s="23">
        <v>7.0000000000000007E-2</v>
      </c>
      <c r="G414" s="23">
        <v>0.04</v>
      </c>
      <c r="H414" s="21">
        <v>347</v>
      </c>
      <c r="I414" s="21"/>
      <c r="J414" s="24">
        <v>-3</v>
      </c>
      <c r="K414" s="21"/>
      <c r="L414" s="21"/>
    </row>
    <row r="415" spans="1:12" ht="17.25" customHeight="1" x14ac:dyDescent="0.2">
      <c r="A415" s="21">
        <v>414</v>
      </c>
      <c r="B415" s="22" t="s">
        <v>1452</v>
      </c>
      <c r="C415" s="22" t="s">
        <v>117</v>
      </c>
      <c r="D415" s="21" t="s">
        <v>69</v>
      </c>
      <c r="E415" s="21">
        <v>709.9</v>
      </c>
      <c r="F415" s="23">
        <v>7.0000000000000007E-2</v>
      </c>
      <c r="G415" s="23">
        <v>0</v>
      </c>
      <c r="H415" s="21"/>
      <c r="I415" s="21">
        <v>4</v>
      </c>
      <c r="J415" s="24">
        <v>-12.3</v>
      </c>
      <c r="K415" s="21"/>
      <c r="L415" s="21"/>
    </row>
    <row r="416" spans="1:12" ht="17.25" customHeight="1" x14ac:dyDescent="0.2">
      <c r="A416" s="21">
        <v>415</v>
      </c>
      <c r="B416" s="22" t="s">
        <v>399</v>
      </c>
      <c r="C416" s="22" t="s">
        <v>125</v>
      </c>
      <c r="D416" s="21" t="s">
        <v>40</v>
      </c>
      <c r="E416" s="21">
        <v>710.2</v>
      </c>
      <c r="F416" s="23">
        <v>7.0000000000000007E-2</v>
      </c>
      <c r="G416" s="23">
        <v>0.06</v>
      </c>
      <c r="H416" s="21">
        <v>386</v>
      </c>
      <c r="I416" s="21"/>
      <c r="J416" s="24">
        <v>3.6</v>
      </c>
      <c r="K416" s="21"/>
      <c r="L416" s="21"/>
    </row>
    <row r="417" spans="1:12" ht="17.25" customHeight="1" x14ac:dyDescent="0.2">
      <c r="A417" s="21">
        <v>416</v>
      </c>
      <c r="B417" s="22" t="s">
        <v>449</v>
      </c>
      <c r="C417" s="22" t="s">
        <v>115</v>
      </c>
      <c r="D417" s="21" t="s">
        <v>25</v>
      </c>
      <c r="E417" s="21">
        <v>716.3</v>
      </c>
      <c r="F417" s="23">
        <v>0.11</v>
      </c>
      <c r="G417" s="23">
        <v>0</v>
      </c>
      <c r="H417" s="21">
        <v>583</v>
      </c>
      <c r="I417" s="21"/>
      <c r="J417" s="24">
        <v>-2.7</v>
      </c>
      <c r="K417" s="21"/>
      <c r="L417" s="21"/>
    </row>
    <row r="418" spans="1:12" ht="17.25" customHeight="1" x14ac:dyDescent="0.2">
      <c r="A418" s="21">
        <v>417</v>
      </c>
      <c r="B418" s="22" t="s">
        <v>297</v>
      </c>
      <c r="C418" s="21"/>
      <c r="D418" s="21" t="s">
        <v>28</v>
      </c>
      <c r="E418" s="21">
        <v>718.2</v>
      </c>
      <c r="F418" s="23">
        <v>0.06</v>
      </c>
      <c r="G418" s="23">
        <v>0.02</v>
      </c>
      <c r="H418" s="21"/>
      <c r="I418" s="21">
        <v>186.1</v>
      </c>
      <c r="J418" s="24">
        <v>6.7</v>
      </c>
      <c r="K418" s="21"/>
      <c r="L418" s="21"/>
    </row>
    <row r="419" spans="1:12" ht="17.25" customHeight="1" x14ac:dyDescent="0.2">
      <c r="A419" s="21">
        <v>418</v>
      </c>
      <c r="B419" s="22" t="s">
        <v>80</v>
      </c>
      <c r="C419" s="22" t="s">
        <v>52</v>
      </c>
      <c r="D419" s="21" t="s">
        <v>28</v>
      </c>
      <c r="E419" s="21">
        <v>719.1</v>
      </c>
      <c r="F419" s="23">
        <v>7.0000000000000007E-2</v>
      </c>
      <c r="G419" s="23">
        <v>0</v>
      </c>
      <c r="H419" s="21"/>
      <c r="I419" s="21">
        <v>64</v>
      </c>
      <c r="J419" s="24">
        <v>2</v>
      </c>
      <c r="K419" s="21"/>
      <c r="L419" s="21"/>
    </row>
    <row r="420" spans="1:12" ht="17.25" customHeight="1" x14ac:dyDescent="0.2">
      <c r="A420" s="21">
        <v>419</v>
      </c>
      <c r="B420" s="22" t="s">
        <v>212</v>
      </c>
      <c r="C420" s="22" t="s">
        <v>117</v>
      </c>
      <c r="D420" s="21" t="s">
        <v>16</v>
      </c>
      <c r="E420" s="21">
        <v>719.2</v>
      </c>
      <c r="F420" s="23">
        <v>0.11</v>
      </c>
      <c r="G420" s="23">
        <v>0.02</v>
      </c>
      <c r="H420" s="21">
        <v>315</v>
      </c>
      <c r="I420" s="21"/>
      <c r="J420" s="24">
        <v>-12</v>
      </c>
      <c r="K420" s="21"/>
      <c r="L420" s="21"/>
    </row>
    <row r="421" spans="1:12" ht="17.25" customHeight="1" x14ac:dyDescent="0.2">
      <c r="A421" s="21">
        <v>420</v>
      </c>
      <c r="B421" s="22" t="s">
        <v>1453</v>
      </c>
      <c r="C421" s="22" t="s">
        <v>89</v>
      </c>
      <c r="D421" s="21" t="s">
        <v>69</v>
      </c>
      <c r="E421" s="21">
        <v>719.2</v>
      </c>
      <c r="F421" s="23">
        <v>0.13</v>
      </c>
      <c r="G421" s="23">
        <v>0.02</v>
      </c>
      <c r="H421" s="21"/>
      <c r="I421" s="21">
        <v>39.1</v>
      </c>
      <c r="J421" s="24">
        <v>-12.6</v>
      </c>
      <c r="K421" s="21"/>
      <c r="L421" s="21"/>
    </row>
    <row r="422" spans="1:12" ht="17.25" customHeight="1" x14ac:dyDescent="0.2">
      <c r="A422" s="21">
        <v>421</v>
      </c>
      <c r="B422" s="22" t="s">
        <v>611</v>
      </c>
      <c r="C422" s="22" t="s">
        <v>48</v>
      </c>
      <c r="D422" s="21" t="s">
        <v>236</v>
      </c>
      <c r="E422" s="21">
        <v>719.2</v>
      </c>
      <c r="F422" s="23">
        <v>0.16</v>
      </c>
      <c r="G422" s="23">
        <v>0.04</v>
      </c>
      <c r="H422" s="21">
        <v>341</v>
      </c>
      <c r="I422" s="21"/>
      <c r="J422" s="24">
        <v>1.1000000000000001</v>
      </c>
      <c r="K422" s="21"/>
      <c r="L422" s="21"/>
    </row>
    <row r="423" spans="1:12" ht="17.25" customHeight="1" x14ac:dyDescent="0.2">
      <c r="A423" s="21">
        <v>422</v>
      </c>
      <c r="B423" s="22" t="s">
        <v>282</v>
      </c>
      <c r="C423" s="22" t="s">
        <v>46</v>
      </c>
      <c r="D423" s="21" t="s">
        <v>28</v>
      </c>
      <c r="E423" s="21">
        <v>719.3</v>
      </c>
      <c r="F423" s="23">
        <v>7.0000000000000007E-2</v>
      </c>
      <c r="G423" s="23">
        <v>0.02</v>
      </c>
      <c r="H423" s="21"/>
      <c r="I423" s="21">
        <v>162.1</v>
      </c>
      <c r="J423" s="24">
        <v>-5.4</v>
      </c>
      <c r="K423" s="21"/>
      <c r="L423" s="21"/>
    </row>
    <row r="424" spans="1:12" ht="17.25" customHeight="1" x14ac:dyDescent="0.2">
      <c r="A424" s="21">
        <v>423</v>
      </c>
      <c r="B424" s="22" t="s">
        <v>556</v>
      </c>
      <c r="C424" s="22" t="s">
        <v>66</v>
      </c>
      <c r="D424" s="21" t="s">
        <v>69</v>
      </c>
      <c r="E424" s="21">
        <v>719.8</v>
      </c>
      <c r="F424" s="23">
        <v>0.09</v>
      </c>
      <c r="G424" s="23">
        <v>0</v>
      </c>
      <c r="H424" s="21"/>
      <c r="I424" s="21">
        <v>73.099999999999994</v>
      </c>
      <c r="J424" s="24">
        <v>9</v>
      </c>
      <c r="K424" s="21"/>
      <c r="L424" s="21"/>
    </row>
    <row r="425" spans="1:12" ht="17.25" customHeight="1" x14ac:dyDescent="0.2">
      <c r="A425" s="21">
        <v>424</v>
      </c>
      <c r="B425" s="22" t="s">
        <v>739</v>
      </c>
      <c r="C425" s="22" t="s">
        <v>140</v>
      </c>
      <c r="D425" s="21" t="s">
        <v>28</v>
      </c>
      <c r="E425" s="21">
        <v>719.9</v>
      </c>
      <c r="F425" s="23">
        <v>7.0000000000000007E-2</v>
      </c>
      <c r="G425" s="23">
        <v>0</v>
      </c>
      <c r="H425" s="21"/>
      <c r="I425" s="21">
        <v>85.1</v>
      </c>
      <c r="J425" s="24">
        <v>0.6</v>
      </c>
      <c r="K425" s="21"/>
      <c r="L425" s="21"/>
    </row>
    <row r="426" spans="1:12" ht="17.25" customHeight="1" x14ac:dyDescent="0.2">
      <c r="A426" s="21">
        <v>425</v>
      </c>
      <c r="B426" s="22" t="s">
        <v>633</v>
      </c>
      <c r="C426" s="22" t="s">
        <v>46</v>
      </c>
      <c r="D426" s="21" t="s">
        <v>69</v>
      </c>
      <c r="E426" s="21">
        <v>720.1</v>
      </c>
      <c r="F426" s="23">
        <v>0.13</v>
      </c>
      <c r="G426" s="23">
        <v>0.02</v>
      </c>
      <c r="H426" s="21"/>
      <c r="I426" s="21">
        <v>48</v>
      </c>
      <c r="J426" s="24">
        <v>-10.7</v>
      </c>
      <c r="K426" s="21"/>
      <c r="L426" s="21"/>
    </row>
    <row r="427" spans="1:12" ht="17.25" customHeight="1" x14ac:dyDescent="0.2">
      <c r="A427" s="21">
        <v>426</v>
      </c>
      <c r="B427" s="22" t="s">
        <v>267</v>
      </c>
      <c r="C427" s="22" t="s">
        <v>24</v>
      </c>
      <c r="D427" s="21" t="s">
        <v>69</v>
      </c>
      <c r="E427" s="21">
        <v>720.4</v>
      </c>
      <c r="F427" s="23">
        <v>0.16</v>
      </c>
      <c r="G427" s="23">
        <v>0.02</v>
      </c>
      <c r="H427" s="21"/>
      <c r="I427" s="21">
        <v>64.099999999999994</v>
      </c>
      <c r="J427" s="24">
        <v>-2.6</v>
      </c>
      <c r="K427" s="21"/>
      <c r="L427" s="21"/>
    </row>
    <row r="428" spans="1:12" ht="17.25" customHeight="1" x14ac:dyDescent="0.2">
      <c r="A428" s="21">
        <v>427</v>
      </c>
      <c r="B428" s="22" t="s">
        <v>1454</v>
      </c>
      <c r="C428" s="22" t="s">
        <v>52</v>
      </c>
      <c r="D428" s="21" t="s">
        <v>69</v>
      </c>
      <c r="E428" s="21">
        <v>729</v>
      </c>
      <c r="F428" s="23">
        <v>7.0000000000000007E-2</v>
      </c>
      <c r="G428" s="23">
        <v>0</v>
      </c>
      <c r="H428" s="21"/>
      <c r="I428" s="21">
        <v>29</v>
      </c>
      <c r="J428" s="24">
        <v>-6</v>
      </c>
      <c r="K428" s="21"/>
      <c r="L428" s="21"/>
    </row>
    <row r="429" spans="1:12" ht="17.25" customHeight="1" x14ac:dyDescent="0.2">
      <c r="A429" s="21">
        <v>428</v>
      </c>
      <c r="B429" s="22" t="s">
        <v>847</v>
      </c>
      <c r="C429" s="22" t="s">
        <v>42</v>
      </c>
      <c r="D429" s="21" t="s">
        <v>69</v>
      </c>
      <c r="E429" s="21">
        <v>729.1</v>
      </c>
      <c r="F429" s="23">
        <v>0.04</v>
      </c>
      <c r="G429" s="23">
        <v>0</v>
      </c>
      <c r="H429" s="21"/>
      <c r="I429" s="21">
        <v>72.099999999999994</v>
      </c>
      <c r="J429" s="24">
        <v>-5.4</v>
      </c>
      <c r="K429" s="21"/>
      <c r="L429" s="21"/>
    </row>
    <row r="430" spans="1:12" ht="17.25" customHeight="1" x14ac:dyDescent="0.2">
      <c r="A430" s="21">
        <v>429</v>
      </c>
      <c r="B430" s="22" t="s">
        <v>308</v>
      </c>
      <c r="C430" s="22" t="s">
        <v>125</v>
      </c>
      <c r="D430" s="21" t="s">
        <v>69</v>
      </c>
      <c r="E430" s="21">
        <v>729.1</v>
      </c>
      <c r="F430" s="23">
        <v>0.11</v>
      </c>
      <c r="G430" s="23">
        <v>0</v>
      </c>
      <c r="H430" s="21"/>
      <c r="I430" s="21">
        <v>72</v>
      </c>
      <c r="J430" s="24">
        <v>-8.8000000000000007</v>
      </c>
      <c r="K430" s="21"/>
      <c r="L430" s="21"/>
    </row>
    <row r="431" spans="1:12" ht="17.25" customHeight="1" x14ac:dyDescent="0.2">
      <c r="A431" s="21">
        <v>430</v>
      </c>
      <c r="B431" s="22" t="s">
        <v>177</v>
      </c>
      <c r="C431" s="22" t="s">
        <v>30</v>
      </c>
      <c r="D431" s="21" t="s">
        <v>25</v>
      </c>
      <c r="E431" s="21">
        <v>729.2</v>
      </c>
      <c r="F431" s="23">
        <v>0.04</v>
      </c>
      <c r="G431" s="23">
        <v>0.02</v>
      </c>
      <c r="H431" s="21">
        <v>209</v>
      </c>
      <c r="I431" s="21"/>
      <c r="J431" s="24">
        <v>-14.1</v>
      </c>
      <c r="K431" s="21"/>
      <c r="L431" s="21"/>
    </row>
    <row r="432" spans="1:12" ht="17.25" customHeight="1" x14ac:dyDescent="0.2">
      <c r="A432" s="21">
        <v>431</v>
      </c>
      <c r="B432" s="22" t="s">
        <v>789</v>
      </c>
      <c r="C432" s="22" t="s">
        <v>21</v>
      </c>
      <c r="D432" s="21" t="s">
        <v>28</v>
      </c>
      <c r="E432" s="21">
        <v>729.3</v>
      </c>
      <c r="F432" s="23">
        <v>0.04</v>
      </c>
      <c r="G432" s="23">
        <v>0</v>
      </c>
      <c r="H432" s="21"/>
      <c r="I432" s="21">
        <v>132</v>
      </c>
      <c r="J432" s="24">
        <v>-0.1</v>
      </c>
      <c r="K432" s="21"/>
      <c r="L432" s="21"/>
    </row>
    <row r="433" spans="1:12" ht="17.25" customHeight="1" x14ac:dyDescent="0.2">
      <c r="A433" s="21">
        <v>432</v>
      </c>
      <c r="B433" s="22" t="s">
        <v>618</v>
      </c>
      <c r="C433" s="22" t="s">
        <v>232</v>
      </c>
      <c r="D433" s="21" t="s">
        <v>69</v>
      </c>
      <c r="E433" s="21">
        <v>729.3</v>
      </c>
      <c r="F433" s="23">
        <v>0.04</v>
      </c>
      <c r="G433" s="23">
        <v>0.02</v>
      </c>
      <c r="H433" s="21"/>
      <c r="I433" s="21">
        <v>76.099999999999994</v>
      </c>
      <c r="J433" s="24">
        <v>-3.8</v>
      </c>
      <c r="K433" s="21"/>
      <c r="L433" s="21"/>
    </row>
    <row r="434" spans="1:12" ht="17.25" customHeight="1" x14ac:dyDescent="0.2">
      <c r="A434" s="21">
        <v>433</v>
      </c>
      <c r="B434" s="22" t="s">
        <v>490</v>
      </c>
      <c r="C434" s="22" t="s">
        <v>42</v>
      </c>
      <c r="D434" s="21" t="s">
        <v>69</v>
      </c>
      <c r="E434" s="21">
        <v>729.7</v>
      </c>
      <c r="F434" s="23">
        <v>7.0000000000000007E-2</v>
      </c>
      <c r="G434" s="23">
        <v>0.02</v>
      </c>
      <c r="H434" s="21"/>
      <c r="I434" s="21">
        <v>77</v>
      </c>
      <c r="J434" s="24">
        <v>-0.4</v>
      </c>
      <c r="K434" s="21"/>
      <c r="L434" s="21"/>
    </row>
    <row r="435" spans="1:12" ht="17.25" customHeight="1" x14ac:dyDescent="0.2">
      <c r="A435" s="21">
        <v>434</v>
      </c>
      <c r="B435" s="22" t="s">
        <v>1261</v>
      </c>
      <c r="C435" s="22" t="s">
        <v>132</v>
      </c>
      <c r="D435" s="21" t="s">
        <v>87</v>
      </c>
      <c r="E435" s="21">
        <v>729.8</v>
      </c>
      <c r="F435" s="23">
        <v>0.04</v>
      </c>
      <c r="G435" s="23">
        <v>0</v>
      </c>
      <c r="H435" s="21">
        <v>274</v>
      </c>
      <c r="I435" s="21"/>
      <c r="J435" s="24">
        <v>-13.4</v>
      </c>
      <c r="K435" s="21"/>
      <c r="L435" s="21"/>
    </row>
    <row r="436" spans="1:12" ht="17.25" customHeight="1" x14ac:dyDescent="0.2">
      <c r="A436" s="21">
        <v>435</v>
      </c>
      <c r="B436" s="22" t="s">
        <v>872</v>
      </c>
      <c r="C436" s="22" t="s">
        <v>132</v>
      </c>
      <c r="D436" s="21" t="s">
        <v>793</v>
      </c>
      <c r="E436" s="21">
        <v>729.8</v>
      </c>
      <c r="F436" s="23">
        <v>0.04</v>
      </c>
      <c r="G436" s="23">
        <v>0</v>
      </c>
      <c r="H436" s="21">
        <v>92</v>
      </c>
      <c r="I436" s="21"/>
      <c r="J436" s="24">
        <v>-15.6</v>
      </c>
      <c r="K436" s="21"/>
      <c r="L436" s="21"/>
    </row>
    <row r="437" spans="1:12" ht="17.25" customHeight="1" x14ac:dyDescent="0.2">
      <c r="A437" s="21">
        <v>436</v>
      </c>
      <c r="B437" s="22" t="s">
        <v>1455</v>
      </c>
      <c r="C437" s="22" t="s">
        <v>125</v>
      </c>
      <c r="D437" s="21" t="s">
        <v>28</v>
      </c>
      <c r="E437" s="21">
        <v>729.9</v>
      </c>
      <c r="F437" s="23">
        <v>0.04</v>
      </c>
      <c r="G437" s="23">
        <v>0</v>
      </c>
      <c r="H437" s="21"/>
      <c r="I437" s="21">
        <v>39</v>
      </c>
      <c r="J437" s="24">
        <v>-7.5</v>
      </c>
      <c r="K437" s="21"/>
      <c r="L437" s="21"/>
    </row>
    <row r="438" spans="1:12" ht="17.25" customHeight="1" x14ac:dyDescent="0.2">
      <c r="A438" s="21">
        <v>437</v>
      </c>
      <c r="B438" s="22" t="s">
        <v>393</v>
      </c>
      <c r="C438" s="22" t="s">
        <v>46</v>
      </c>
      <c r="D438" s="21" t="s">
        <v>69</v>
      </c>
      <c r="E438" s="21">
        <v>730.1</v>
      </c>
      <c r="F438" s="23">
        <v>0.06</v>
      </c>
      <c r="G438" s="23">
        <v>0</v>
      </c>
      <c r="H438" s="21"/>
      <c r="I438" s="21">
        <v>64.099999999999994</v>
      </c>
      <c r="J438" s="24">
        <v>-8.8000000000000007</v>
      </c>
      <c r="K438" s="21"/>
      <c r="L438" s="21"/>
    </row>
    <row r="439" spans="1:12" ht="17.25" customHeight="1" x14ac:dyDescent="0.2">
      <c r="A439" s="21">
        <v>438</v>
      </c>
      <c r="B439" s="22" t="s">
        <v>327</v>
      </c>
      <c r="C439" s="22" t="s">
        <v>36</v>
      </c>
      <c r="D439" s="21" t="s">
        <v>19</v>
      </c>
      <c r="E439" s="21">
        <v>730.2</v>
      </c>
      <c r="F439" s="23">
        <v>0.18</v>
      </c>
      <c r="G439" s="23">
        <v>0.06</v>
      </c>
      <c r="H439" s="21">
        <v>191</v>
      </c>
      <c r="I439" s="21"/>
      <c r="J439" s="24">
        <v>-15.1</v>
      </c>
      <c r="K439" s="21"/>
      <c r="L439" s="21"/>
    </row>
    <row r="440" spans="1:12" ht="17.25" customHeight="1" x14ac:dyDescent="0.2">
      <c r="A440" s="21">
        <v>439</v>
      </c>
      <c r="B440" s="22" t="s">
        <v>1456</v>
      </c>
      <c r="C440" s="22" t="s">
        <v>140</v>
      </c>
      <c r="D440" s="21" t="s">
        <v>28</v>
      </c>
      <c r="E440" s="21">
        <v>730.3</v>
      </c>
      <c r="F440" s="23">
        <v>0.04</v>
      </c>
      <c r="G440" s="23">
        <v>0</v>
      </c>
      <c r="H440" s="21"/>
      <c r="I440" s="21">
        <v>64</v>
      </c>
      <c r="J440" s="24">
        <v>-8.8000000000000007</v>
      </c>
      <c r="K440" s="21"/>
      <c r="L440" s="21"/>
    </row>
    <row r="441" spans="1:12" ht="17.25" customHeight="1" x14ac:dyDescent="0.2">
      <c r="A441" s="21">
        <v>440</v>
      </c>
      <c r="B441" s="22" t="s">
        <v>1262</v>
      </c>
      <c r="C441" s="22" t="s">
        <v>12</v>
      </c>
      <c r="D441" s="21" t="s">
        <v>78</v>
      </c>
      <c r="E441" s="21">
        <v>730.3</v>
      </c>
      <c r="F441" s="23">
        <v>0.06</v>
      </c>
      <c r="G441" s="23">
        <v>0</v>
      </c>
      <c r="H441" s="21">
        <v>170</v>
      </c>
      <c r="I441" s="21"/>
      <c r="J441" s="24">
        <v>-11.4</v>
      </c>
      <c r="K441" s="21"/>
      <c r="L441" s="21"/>
    </row>
    <row r="442" spans="1:12" ht="17.25" customHeight="1" x14ac:dyDescent="0.2">
      <c r="A442" s="21">
        <v>441</v>
      </c>
      <c r="B442" s="22" t="s">
        <v>823</v>
      </c>
      <c r="C442" s="22" t="s">
        <v>34</v>
      </c>
      <c r="D442" s="21" t="s">
        <v>25</v>
      </c>
      <c r="E442" s="21">
        <v>730.4</v>
      </c>
      <c r="F442" s="23">
        <v>0.04</v>
      </c>
      <c r="G442" s="23">
        <v>0</v>
      </c>
      <c r="H442" s="21">
        <v>44</v>
      </c>
      <c r="I442" s="21"/>
      <c r="J442" s="24">
        <v>-22.2</v>
      </c>
      <c r="K442" s="21"/>
      <c r="L442" s="21"/>
    </row>
    <row r="443" spans="1:12" ht="17.25" customHeight="1" x14ac:dyDescent="0.2">
      <c r="A443" s="21">
        <v>442</v>
      </c>
      <c r="B443" s="22" t="s">
        <v>361</v>
      </c>
      <c r="C443" s="22" t="s">
        <v>39</v>
      </c>
      <c r="D443" s="21" t="s">
        <v>78</v>
      </c>
      <c r="E443" s="21">
        <v>730.7</v>
      </c>
      <c r="F443" s="23">
        <v>0.04</v>
      </c>
      <c r="G443" s="23">
        <v>0</v>
      </c>
      <c r="H443" s="21">
        <v>194</v>
      </c>
      <c r="I443" s="21"/>
      <c r="J443" s="24">
        <v>-10.199999999999999</v>
      </c>
      <c r="K443" s="21"/>
      <c r="L443" s="21"/>
    </row>
    <row r="444" spans="1:12" ht="17.25" customHeight="1" x14ac:dyDescent="0.2">
      <c r="A444" s="21">
        <v>443</v>
      </c>
      <c r="B444" s="22" t="s">
        <v>926</v>
      </c>
      <c r="C444" s="22" t="s">
        <v>117</v>
      </c>
      <c r="D444" s="21" t="s">
        <v>87</v>
      </c>
      <c r="E444" s="21">
        <v>730.7</v>
      </c>
      <c r="F444" s="23">
        <v>0.06</v>
      </c>
      <c r="G444" s="23">
        <v>0.02</v>
      </c>
      <c r="H444" s="21">
        <v>289</v>
      </c>
      <c r="I444" s="21"/>
      <c r="J444" s="24">
        <v>-9.1</v>
      </c>
      <c r="K444" s="21"/>
      <c r="L444" s="21"/>
    </row>
    <row r="445" spans="1:12" ht="17.25" customHeight="1" x14ac:dyDescent="0.2">
      <c r="A445" s="21">
        <v>444</v>
      </c>
      <c r="B445" s="22" t="s">
        <v>235</v>
      </c>
      <c r="C445" s="22" t="s">
        <v>66</v>
      </c>
      <c r="D445" s="21" t="s">
        <v>78</v>
      </c>
      <c r="E445" s="21">
        <v>739</v>
      </c>
      <c r="F445" s="23">
        <v>0.04</v>
      </c>
      <c r="G445" s="23">
        <v>0</v>
      </c>
      <c r="H445" s="21">
        <v>515</v>
      </c>
      <c r="I445" s="21"/>
      <c r="J445" s="24">
        <v>-0.8</v>
      </c>
      <c r="K445" s="21"/>
      <c r="L445" s="21"/>
    </row>
    <row r="446" spans="1:12" ht="17.25" customHeight="1" x14ac:dyDescent="0.2">
      <c r="A446" s="21">
        <v>445</v>
      </c>
      <c r="B446" s="22" t="s">
        <v>452</v>
      </c>
      <c r="C446" s="22" t="s">
        <v>30</v>
      </c>
      <c r="D446" s="21" t="s">
        <v>69</v>
      </c>
      <c r="E446" s="21">
        <v>740.1</v>
      </c>
      <c r="F446" s="23">
        <v>0.02</v>
      </c>
      <c r="G446" s="23">
        <v>0</v>
      </c>
      <c r="H446" s="21"/>
      <c r="I446" s="21">
        <v>53</v>
      </c>
      <c r="J446" s="24">
        <v>-2.9</v>
      </c>
      <c r="K446" s="21"/>
      <c r="L446" s="21"/>
    </row>
    <row r="447" spans="1:12" ht="17.25" customHeight="1" x14ac:dyDescent="0.2">
      <c r="A447" s="21">
        <v>446</v>
      </c>
      <c r="B447" s="22" t="s">
        <v>1457</v>
      </c>
      <c r="C447" s="22" t="s">
        <v>46</v>
      </c>
      <c r="D447" s="21" t="s">
        <v>28</v>
      </c>
      <c r="E447" s="21">
        <v>740.1</v>
      </c>
      <c r="F447" s="23">
        <v>0.09</v>
      </c>
      <c r="G447" s="23">
        <v>0.02</v>
      </c>
      <c r="H447" s="21"/>
      <c r="I447" s="21">
        <v>171</v>
      </c>
      <c r="J447" s="24">
        <v>3.1</v>
      </c>
      <c r="K447" s="21"/>
      <c r="L447" s="21"/>
    </row>
    <row r="448" spans="1:12" ht="17.25" customHeight="1" x14ac:dyDescent="0.2">
      <c r="A448" s="21">
        <v>447</v>
      </c>
      <c r="B448" s="22" t="s">
        <v>780</v>
      </c>
      <c r="C448" s="22" t="s">
        <v>57</v>
      </c>
      <c r="D448" s="21" t="s">
        <v>74</v>
      </c>
      <c r="E448" s="21">
        <v>740.1</v>
      </c>
      <c r="F448" s="23">
        <v>0.02</v>
      </c>
      <c r="G448" s="23">
        <v>0.02</v>
      </c>
      <c r="H448" s="21">
        <v>283</v>
      </c>
      <c r="I448" s="21"/>
      <c r="J448" s="24">
        <v>-9.4</v>
      </c>
      <c r="K448" s="21"/>
      <c r="L448" s="21"/>
    </row>
    <row r="449" spans="1:12" ht="17.25" customHeight="1" x14ac:dyDescent="0.2">
      <c r="A449" s="21">
        <v>448</v>
      </c>
      <c r="B449" s="22" t="s">
        <v>787</v>
      </c>
      <c r="C449" s="22" t="s">
        <v>55</v>
      </c>
      <c r="D449" s="21" t="s">
        <v>135</v>
      </c>
      <c r="E449" s="21">
        <v>740.1</v>
      </c>
      <c r="F449" s="23">
        <v>0.02</v>
      </c>
      <c r="G449" s="23">
        <v>0</v>
      </c>
      <c r="H449" s="21">
        <v>56</v>
      </c>
      <c r="I449" s="21"/>
      <c r="J449" s="24">
        <v>-20.7</v>
      </c>
      <c r="K449" s="21"/>
      <c r="L449" s="21"/>
    </row>
    <row r="450" spans="1:12" ht="17.25" customHeight="1" x14ac:dyDescent="0.2">
      <c r="A450" s="21">
        <v>449</v>
      </c>
      <c r="B450" s="22" t="s">
        <v>1263</v>
      </c>
      <c r="C450" s="22" t="s">
        <v>46</v>
      </c>
      <c r="D450" s="21" t="s">
        <v>25</v>
      </c>
      <c r="E450" s="21">
        <v>740.1</v>
      </c>
      <c r="F450" s="23">
        <v>0.02</v>
      </c>
      <c r="G450" s="23">
        <v>0</v>
      </c>
      <c r="H450" s="21">
        <v>159</v>
      </c>
      <c r="I450" s="21"/>
      <c r="J450" s="24">
        <v>-17.100000000000001</v>
      </c>
      <c r="K450" s="21"/>
      <c r="L450" s="21"/>
    </row>
    <row r="451" spans="1:12" ht="17.25" customHeight="1" x14ac:dyDescent="0.2">
      <c r="A451" s="21">
        <v>450</v>
      </c>
      <c r="B451" s="22" t="s">
        <v>578</v>
      </c>
      <c r="C451" s="22" t="s">
        <v>57</v>
      </c>
      <c r="D451" s="21" t="s">
        <v>1254</v>
      </c>
      <c r="E451" s="21">
        <v>740.2</v>
      </c>
      <c r="F451" s="23">
        <v>0.02</v>
      </c>
      <c r="G451" s="23">
        <v>0</v>
      </c>
      <c r="H451" s="21">
        <v>376</v>
      </c>
      <c r="I451" s="21"/>
      <c r="J451" s="24">
        <v>-9.8000000000000007</v>
      </c>
      <c r="K451" s="21"/>
      <c r="L451" s="21"/>
    </row>
    <row r="452" spans="1:12" ht="17.25" customHeight="1" x14ac:dyDescent="0.2">
      <c r="A452" s="21">
        <v>451</v>
      </c>
      <c r="B452" s="22" t="s">
        <v>578</v>
      </c>
      <c r="C452" s="22" t="s">
        <v>57</v>
      </c>
      <c r="D452" s="21" t="s">
        <v>69</v>
      </c>
      <c r="E452" s="21">
        <v>740.2</v>
      </c>
      <c r="F452" s="23">
        <v>0.02</v>
      </c>
      <c r="G452" s="23">
        <v>0</v>
      </c>
      <c r="H452" s="21"/>
      <c r="I452" s="21">
        <v>1</v>
      </c>
      <c r="J452" s="24">
        <v>-12.8</v>
      </c>
      <c r="K452" s="21"/>
      <c r="L452" s="21"/>
    </row>
    <row r="453" spans="1:12" ht="17.25" customHeight="1" x14ac:dyDescent="0.2">
      <c r="A453" s="21">
        <v>452</v>
      </c>
      <c r="B453" s="22" t="s">
        <v>575</v>
      </c>
      <c r="C453" s="22" t="s">
        <v>39</v>
      </c>
      <c r="D453" s="21" t="s">
        <v>25</v>
      </c>
      <c r="E453" s="21">
        <v>740.3</v>
      </c>
      <c r="F453" s="23">
        <v>0.02</v>
      </c>
      <c r="G453" s="23">
        <v>0</v>
      </c>
      <c r="H453" s="21">
        <v>78</v>
      </c>
      <c r="I453" s="21"/>
      <c r="J453" s="24">
        <v>-20.8</v>
      </c>
      <c r="K453" s="21"/>
      <c r="L453" s="21"/>
    </row>
    <row r="454" spans="1:12" ht="17.25" customHeight="1" x14ac:dyDescent="0.2">
      <c r="A454" s="21">
        <v>453</v>
      </c>
      <c r="B454" s="22" t="s">
        <v>548</v>
      </c>
      <c r="C454" s="22" t="s">
        <v>64</v>
      </c>
      <c r="D454" s="21" t="s">
        <v>69</v>
      </c>
      <c r="E454" s="21">
        <v>740.4</v>
      </c>
      <c r="F454" s="23">
        <v>0.11</v>
      </c>
      <c r="G454" s="23">
        <v>0</v>
      </c>
      <c r="H454" s="21"/>
      <c r="I454" s="21">
        <v>61</v>
      </c>
      <c r="J454" s="24">
        <v>-1.4</v>
      </c>
      <c r="K454" s="21"/>
      <c r="L454" s="21"/>
    </row>
    <row r="455" spans="1:12" ht="17.25" customHeight="1" x14ac:dyDescent="0.2">
      <c r="A455" s="21">
        <v>454</v>
      </c>
      <c r="B455" s="22" t="s">
        <v>226</v>
      </c>
      <c r="C455" s="22" t="s">
        <v>15</v>
      </c>
      <c r="D455" s="21" t="s">
        <v>82</v>
      </c>
      <c r="E455" s="21">
        <v>740.4</v>
      </c>
      <c r="F455" s="23">
        <v>0.02</v>
      </c>
      <c r="G455" s="23">
        <v>0</v>
      </c>
      <c r="H455" s="21">
        <v>534</v>
      </c>
      <c r="I455" s="21"/>
      <c r="J455" s="24">
        <v>2.4</v>
      </c>
      <c r="K455" s="21"/>
      <c r="L455" s="21"/>
    </row>
    <row r="456" spans="1:12" ht="17.25" customHeight="1" x14ac:dyDescent="0.2">
      <c r="A456" s="21">
        <v>455</v>
      </c>
      <c r="B456" s="22" t="s">
        <v>480</v>
      </c>
      <c r="C456" s="22" t="s">
        <v>42</v>
      </c>
      <c r="D456" s="21" t="s">
        <v>69</v>
      </c>
      <c r="E456" s="21">
        <v>740.5</v>
      </c>
      <c r="F456" s="23">
        <v>0.02</v>
      </c>
      <c r="G456" s="23">
        <v>0</v>
      </c>
      <c r="H456" s="21"/>
      <c r="I456" s="21">
        <v>21</v>
      </c>
      <c r="J456" s="24">
        <v>-10</v>
      </c>
      <c r="K456" s="21"/>
      <c r="L456" s="21"/>
    </row>
    <row r="457" spans="1:12" ht="17.25" customHeight="1" x14ac:dyDescent="0.2">
      <c r="A457" s="21">
        <v>456</v>
      </c>
      <c r="B457" s="22" t="s">
        <v>577</v>
      </c>
      <c r="C457" s="22" t="s">
        <v>89</v>
      </c>
      <c r="D457" s="21" t="s">
        <v>16</v>
      </c>
      <c r="E457" s="21">
        <v>740.6</v>
      </c>
      <c r="F457" s="23">
        <v>0.02</v>
      </c>
      <c r="G457" s="23">
        <v>0</v>
      </c>
      <c r="H457" s="21">
        <v>428</v>
      </c>
      <c r="I457" s="21"/>
      <c r="J457" s="24">
        <v>-2</v>
      </c>
      <c r="K457" s="21"/>
      <c r="L457" s="21"/>
    </row>
    <row r="458" spans="1:12" ht="17.25" customHeight="1" x14ac:dyDescent="0.2">
      <c r="A458" s="21">
        <v>457</v>
      </c>
      <c r="B458" s="22" t="s">
        <v>252</v>
      </c>
      <c r="C458" s="22" t="s">
        <v>132</v>
      </c>
      <c r="D458" s="21" t="s">
        <v>25</v>
      </c>
      <c r="E458" s="21">
        <v>740.6</v>
      </c>
      <c r="F458" s="23">
        <v>0.02</v>
      </c>
      <c r="G458" s="23">
        <v>0</v>
      </c>
      <c r="H458" s="21">
        <v>364</v>
      </c>
      <c r="I458" s="21"/>
      <c r="J458" s="24">
        <v>-10</v>
      </c>
      <c r="K458" s="21"/>
      <c r="L458" s="21"/>
    </row>
    <row r="459" spans="1:12" ht="17.25" customHeight="1" x14ac:dyDescent="0.2">
      <c r="A459" s="21">
        <v>458</v>
      </c>
      <c r="B459" s="22" t="s">
        <v>320</v>
      </c>
      <c r="C459" s="22" t="s">
        <v>55</v>
      </c>
      <c r="D459" s="21" t="s">
        <v>74</v>
      </c>
      <c r="E459" s="21">
        <v>740.6</v>
      </c>
      <c r="F459" s="23">
        <v>0.02</v>
      </c>
      <c r="G459" s="23">
        <v>0.02</v>
      </c>
      <c r="H459" s="21">
        <v>452</v>
      </c>
      <c r="I459" s="21"/>
      <c r="J459" s="24">
        <v>1</v>
      </c>
      <c r="K459" s="21"/>
      <c r="L459" s="21"/>
    </row>
    <row r="460" spans="1:12" ht="17.25" customHeight="1" x14ac:dyDescent="0.2">
      <c r="A460" s="21">
        <v>459</v>
      </c>
      <c r="B460" s="22" t="s">
        <v>326</v>
      </c>
      <c r="C460" s="22" t="s">
        <v>39</v>
      </c>
      <c r="D460" s="21" t="s">
        <v>19</v>
      </c>
      <c r="E460" s="21">
        <v>740.6</v>
      </c>
      <c r="F460" s="23">
        <v>0.02</v>
      </c>
      <c r="G460" s="23">
        <v>0</v>
      </c>
      <c r="H460" s="21">
        <v>506</v>
      </c>
      <c r="I460" s="21"/>
      <c r="J460" s="24">
        <v>-3.7</v>
      </c>
      <c r="K460" s="21"/>
      <c r="L460" s="21"/>
    </row>
    <row r="461" spans="1:12" ht="17.25" customHeight="1" x14ac:dyDescent="0.2">
      <c r="A461" s="21">
        <v>460</v>
      </c>
      <c r="B461" s="22" t="s">
        <v>782</v>
      </c>
      <c r="C461" s="22" t="s">
        <v>55</v>
      </c>
      <c r="D461" s="21" t="s">
        <v>28</v>
      </c>
      <c r="E461" s="21">
        <v>740.7</v>
      </c>
      <c r="F461" s="23">
        <v>0.04</v>
      </c>
      <c r="G461" s="23">
        <v>0</v>
      </c>
      <c r="H461" s="21"/>
      <c r="I461" s="21">
        <v>125</v>
      </c>
      <c r="J461" s="24">
        <v>2.4</v>
      </c>
      <c r="K461" s="21"/>
      <c r="L461" s="21"/>
    </row>
    <row r="462" spans="1:12" ht="17.25" customHeight="1" x14ac:dyDescent="0.2">
      <c r="A462" s="21">
        <v>461</v>
      </c>
      <c r="B462" s="22" t="s">
        <v>390</v>
      </c>
      <c r="C462" s="22" t="s">
        <v>64</v>
      </c>
      <c r="D462" s="21" t="s">
        <v>74</v>
      </c>
      <c r="E462" s="21">
        <v>740.7</v>
      </c>
      <c r="F462" s="23">
        <v>0.04</v>
      </c>
      <c r="G462" s="23">
        <v>0.04</v>
      </c>
      <c r="H462" s="21">
        <v>103</v>
      </c>
      <c r="I462" s="21"/>
      <c r="J462" s="24">
        <v>-5.0999999999999996</v>
      </c>
      <c r="K462" s="21"/>
      <c r="L462" s="21"/>
    </row>
    <row r="463" spans="1:12" ht="17.25" customHeight="1" x14ac:dyDescent="0.2">
      <c r="A463" s="21">
        <v>462</v>
      </c>
      <c r="B463" s="22" t="s">
        <v>672</v>
      </c>
      <c r="C463" s="22" t="s">
        <v>115</v>
      </c>
      <c r="D463" s="21" t="s">
        <v>69</v>
      </c>
      <c r="E463" s="21">
        <v>740.7</v>
      </c>
      <c r="F463" s="23">
        <v>0.02</v>
      </c>
      <c r="G463" s="23">
        <v>0</v>
      </c>
      <c r="H463" s="21"/>
      <c r="I463" s="21">
        <v>88</v>
      </c>
      <c r="J463" s="24">
        <v>-5.6</v>
      </c>
      <c r="K463" s="21"/>
      <c r="L463" s="21"/>
    </row>
    <row r="464" spans="1:12" ht="17.25" customHeight="1" x14ac:dyDescent="0.2">
      <c r="A464" s="21">
        <v>463</v>
      </c>
      <c r="B464" s="22" t="s">
        <v>1458</v>
      </c>
      <c r="C464" s="22" t="s">
        <v>89</v>
      </c>
      <c r="D464" s="21" t="s">
        <v>28</v>
      </c>
      <c r="E464" s="21">
        <v>740.7</v>
      </c>
      <c r="F464" s="23">
        <v>0.02</v>
      </c>
      <c r="G464" s="23">
        <v>0.02</v>
      </c>
      <c r="H464" s="21"/>
      <c r="I464" s="21">
        <v>98</v>
      </c>
      <c r="J464" s="24">
        <v>-18.8</v>
      </c>
      <c r="K464" s="21"/>
      <c r="L464" s="21"/>
    </row>
    <row r="465" spans="1:12" ht="17.25" customHeight="1" x14ac:dyDescent="0.2">
      <c r="A465" s="21">
        <v>464</v>
      </c>
      <c r="B465" s="22" t="s">
        <v>616</v>
      </c>
      <c r="C465" s="22" t="s">
        <v>60</v>
      </c>
      <c r="D465" s="21" t="s">
        <v>19</v>
      </c>
      <c r="E465" s="21">
        <v>740.7</v>
      </c>
      <c r="F465" s="23">
        <v>0.02</v>
      </c>
      <c r="G465" s="23">
        <v>0</v>
      </c>
      <c r="H465" s="21">
        <v>654</v>
      </c>
      <c r="I465" s="21"/>
      <c r="J465" s="24">
        <v>4</v>
      </c>
      <c r="K465" s="21"/>
      <c r="L465" s="21"/>
    </row>
    <row r="466" spans="1:12" ht="17.25" customHeight="1" x14ac:dyDescent="0.2">
      <c r="A466" s="21">
        <v>465</v>
      </c>
      <c r="B466" s="22" t="s">
        <v>1459</v>
      </c>
      <c r="C466" s="22" t="s">
        <v>211</v>
      </c>
      <c r="D466" s="21" t="s">
        <v>69</v>
      </c>
      <c r="E466" s="21">
        <v>740.7</v>
      </c>
      <c r="F466" s="23">
        <v>7.0000000000000007E-2</v>
      </c>
      <c r="G466" s="23">
        <v>0</v>
      </c>
      <c r="H466" s="21"/>
      <c r="I466" s="21">
        <v>73</v>
      </c>
      <c r="J466" s="24">
        <v>4</v>
      </c>
      <c r="K466" s="21"/>
      <c r="L466" s="21"/>
    </row>
    <row r="467" spans="1:12" ht="17.25" customHeight="1" x14ac:dyDescent="0.2">
      <c r="A467" s="21">
        <v>466</v>
      </c>
      <c r="B467" s="22" t="s">
        <v>1460</v>
      </c>
      <c r="C467" s="22" t="s">
        <v>60</v>
      </c>
      <c r="D467" s="21" t="s">
        <v>69</v>
      </c>
      <c r="E467" s="21">
        <v>740.9</v>
      </c>
      <c r="F467" s="23">
        <v>0.02</v>
      </c>
      <c r="G467" s="23">
        <v>0</v>
      </c>
      <c r="H467" s="21"/>
      <c r="I467" s="21">
        <v>76</v>
      </c>
      <c r="J467" s="24">
        <v>-7.9</v>
      </c>
      <c r="K467" s="21"/>
      <c r="L467" s="21"/>
    </row>
    <row r="468" spans="1:12" ht="17.25" customHeight="1" x14ac:dyDescent="0.2">
      <c r="A468" s="21">
        <v>467</v>
      </c>
      <c r="B468" s="22" t="s">
        <v>1461</v>
      </c>
      <c r="C468" s="22" t="s">
        <v>52</v>
      </c>
      <c r="D468" s="21" t="s">
        <v>69</v>
      </c>
      <c r="E468" s="21">
        <v>740.9</v>
      </c>
      <c r="F468" s="23">
        <v>0.02</v>
      </c>
      <c r="G468" s="23">
        <v>0</v>
      </c>
      <c r="H468" s="21"/>
      <c r="I468" s="21">
        <v>3</v>
      </c>
      <c r="J468" s="24">
        <v>-12.7</v>
      </c>
      <c r="K468" s="21"/>
      <c r="L468" s="21"/>
    </row>
    <row r="469" spans="1:12" ht="17.25" customHeight="1" x14ac:dyDescent="0.2">
      <c r="A469" s="21">
        <v>468</v>
      </c>
      <c r="B469" s="22" t="s">
        <v>1462</v>
      </c>
      <c r="C469" s="22" t="s">
        <v>30</v>
      </c>
      <c r="D469" s="21" t="s">
        <v>28</v>
      </c>
      <c r="E469" s="21">
        <v>740.9</v>
      </c>
      <c r="F469" s="23">
        <v>0.11</v>
      </c>
      <c r="G469" s="23">
        <v>0.02</v>
      </c>
      <c r="H469" s="21"/>
      <c r="I469" s="21">
        <v>21.1</v>
      </c>
      <c r="J469" s="24">
        <v>-1</v>
      </c>
      <c r="K469" s="21"/>
      <c r="L469" s="21"/>
    </row>
    <row r="470" spans="1:12" ht="17.25" customHeight="1" x14ac:dyDescent="0.2">
      <c r="A470" s="21">
        <v>469</v>
      </c>
      <c r="B470" s="22" t="s">
        <v>148</v>
      </c>
      <c r="C470" s="22" t="s">
        <v>42</v>
      </c>
      <c r="D470" s="21" t="s">
        <v>28</v>
      </c>
      <c r="E470" s="21">
        <v>740.9</v>
      </c>
      <c r="F470" s="23">
        <v>0.04</v>
      </c>
      <c r="G470" s="23">
        <v>0</v>
      </c>
      <c r="H470" s="21"/>
      <c r="I470" s="21">
        <v>166</v>
      </c>
      <c r="J470" s="24">
        <v>-1.6</v>
      </c>
      <c r="K470" s="21"/>
      <c r="L470" s="21"/>
    </row>
    <row r="471" spans="1:12" ht="17.25" customHeight="1" x14ac:dyDescent="0.2">
      <c r="A471" s="21">
        <v>470</v>
      </c>
      <c r="B471" s="22" t="s">
        <v>708</v>
      </c>
      <c r="C471" s="22" t="s">
        <v>64</v>
      </c>
      <c r="D471" s="21" t="s">
        <v>69</v>
      </c>
      <c r="E471" s="21">
        <v>740.9</v>
      </c>
      <c r="F471" s="23">
        <v>0.04</v>
      </c>
      <c r="G471" s="23">
        <v>0</v>
      </c>
      <c r="H471" s="21"/>
      <c r="I471" s="21">
        <v>10.1</v>
      </c>
      <c r="J471" s="24">
        <v>-8.8000000000000007</v>
      </c>
      <c r="K471" s="21"/>
      <c r="L471" s="21"/>
    </row>
    <row r="472" spans="1:12" ht="17.25" customHeight="1" x14ac:dyDescent="0.2">
      <c r="A472" s="21">
        <v>471</v>
      </c>
      <c r="B472" s="22" t="s">
        <v>665</v>
      </c>
      <c r="C472" s="22" t="s">
        <v>125</v>
      </c>
      <c r="D472" s="21" t="s">
        <v>25</v>
      </c>
      <c r="E472" s="21">
        <v>740.9</v>
      </c>
      <c r="F472" s="23">
        <v>0.02</v>
      </c>
      <c r="G472" s="23">
        <v>0</v>
      </c>
      <c r="H472" s="21">
        <v>181</v>
      </c>
      <c r="I472" s="21"/>
      <c r="J472" s="24">
        <v>-13.7</v>
      </c>
      <c r="K472" s="21"/>
      <c r="L472" s="21"/>
    </row>
    <row r="473" spans="1:12" ht="17.25" customHeight="1" x14ac:dyDescent="0.2">
      <c r="A473" s="21">
        <v>472</v>
      </c>
      <c r="B473" s="22" t="s">
        <v>251</v>
      </c>
      <c r="C473" s="22" t="s">
        <v>18</v>
      </c>
      <c r="D473" s="21" t="s">
        <v>69</v>
      </c>
      <c r="E473" s="21">
        <v>740.9</v>
      </c>
      <c r="F473" s="23">
        <v>0.02</v>
      </c>
      <c r="G473" s="23">
        <v>0</v>
      </c>
      <c r="H473" s="21"/>
      <c r="I473" s="21">
        <v>62</v>
      </c>
      <c r="J473" s="24">
        <v>-3.4</v>
      </c>
      <c r="K473" s="21"/>
      <c r="L473" s="21"/>
    </row>
    <row r="474" spans="1:12" ht="17.25" customHeight="1" x14ac:dyDescent="0.2">
      <c r="A474" s="21">
        <v>473</v>
      </c>
      <c r="B474" s="22" t="s">
        <v>424</v>
      </c>
      <c r="C474" s="22" t="s">
        <v>18</v>
      </c>
      <c r="D474" s="21" t="s">
        <v>69</v>
      </c>
      <c r="E474" s="21">
        <v>741</v>
      </c>
      <c r="F474" s="23">
        <v>0.02</v>
      </c>
      <c r="G474" s="23">
        <v>0</v>
      </c>
      <c r="H474" s="21"/>
      <c r="I474" s="21">
        <v>61</v>
      </c>
      <c r="J474" s="24">
        <v>-2.1</v>
      </c>
      <c r="K474" s="21"/>
      <c r="L474" s="21"/>
    </row>
    <row r="475" spans="1:12" ht="17.25" customHeight="1" x14ac:dyDescent="0.2">
      <c r="A475" s="21">
        <v>474</v>
      </c>
      <c r="B475" s="22" t="s">
        <v>1463</v>
      </c>
      <c r="C475" s="22" t="s">
        <v>60</v>
      </c>
      <c r="D475" s="21" t="s">
        <v>69</v>
      </c>
      <c r="E475" s="21">
        <v>741</v>
      </c>
      <c r="F475" s="23">
        <v>0.09</v>
      </c>
      <c r="G475" s="23">
        <v>0</v>
      </c>
      <c r="H475" s="21"/>
      <c r="I475" s="21">
        <v>47</v>
      </c>
      <c r="J475" s="24">
        <v>-6.9</v>
      </c>
      <c r="K475" s="21"/>
      <c r="L475" s="21"/>
    </row>
    <row r="476" spans="1:12" ht="17.25" customHeight="1" x14ac:dyDescent="0.2">
      <c r="A476" s="21">
        <v>475</v>
      </c>
      <c r="B476" s="22" t="s">
        <v>1464</v>
      </c>
      <c r="C476" s="22" t="s">
        <v>42</v>
      </c>
      <c r="D476" s="21" t="s">
        <v>28</v>
      </c>
      <c r="E476" s="21"/>
      <c r="F476" s="21"/>
      <c r="G476" s="21"/>
      <c r="H476" s="21"/>
      <c r="I476" s="21">
        <v>104.1</v>
      </c>
      <c r="J476" s="24">
        <v>8.5</v>
      </c>
      <c r="K476" s="21"/>
      <c r="L476" s="21"/>
    </row>
    <row r="477" spans="1:12" ht="17.25" customHeight="1" x14ac:dyDescent="0.2">
      <c r="A477" s="21">
        <v>476</v>
      </c>
      <c r="B477" s="22" t="s">
        <v>1465</v>
      </c>
      <c r="C477" s="21"/>
      <c r="D477" s="21" t="s">
        <v>28</v>
      </c>
      <c r="E477" s="21"/>
      <c r="F477" s="21"/>
      <c r="G477" s="21"/>
      <c r="H477" s="21"/>
      <c r="I477" s="21">
        <v>112.1</v>
      </c>
      <c r="J477" s="24">
        <v>5.8</v>
      </c>
      <c r="K477" s="21"/>
      <c r="L477" s="21"/>
    </row>
    <row r="478" spans="1:12" ht="17.25" customHeight="1" x14ac:dyDescent="0.2">
      <c r="A478" s="21">
        <v>477</v>
      </c>
      <c r="B478" s="22" t="s">
        <v>1466</v>
      </c>
      <c r="C478" s="22" t="s">
        <v>12</v>
      </c>
      <c r="D478" s="21" t="s">
        <v>28</v>
      </c>
      <c r="E478" s="21"/>
      <c r="F478" s="21"/>
      <c r="G478" s="21"/>
      <c r="H478" s="21"/>
      <c r="I478" s="21">
        <v>76</v>
      </c>
      <c r="J478" s="24">
        <v>4.8</v>
      </c>
      <c r="K478" s="21"/>
      <c r="L478" s="21"/>
    </row>
    <row r="479" spans="1:12" ht="17.25" customHeight="1" x14ac:dyDescent="0.2">
      <c r="A479" s="21">
        <v>478</v>
      </c>
      <c r="B479" s="22" t="s">
        <v>613</v>
      </c>
      <c r="C479" s="22" t="s">
        <v>21</v>
      </c>
      <c r="D479" s="21" t="s">
        <v>69</v>
      </c>
      <c r="E479" s="21"/>
      <c r="F479" s="21"/>
      <c r="G479" s="21"/>
      <c r="H479" s="21"/>
      <c r="I479" s="21">
        <v>74</v>
      </c>
      <c r="J479" s="24">
        <v>4.5999999999999996</v>
      </c>
      <c r="K479" s="21"/>
      <c r="L479" s="21"/>
    </row>
    <row r="480" spans="1:12" ht="17.25" customHeight="1" x14ac:dyDescent="0.2">
      <c r="A480" s="21">
        <v>479</v>
      </c>
      <c r="B480" s="22" t="s">
        <v>100</v>
      </c>
      <c r="C480" s="22" t="s">
        <v>27</v>
      </c>
      <c r="D480" s="21" t="s">
        <v>28</v>
      </c>
      <c r="E480" s="21"/>
      <c r="F480" s="21"/>
      <c r="G480" s="21"/>
      <c r="H480" s="21"/>
      <c r="I480" s="21">
        <v>78.099999999999994</v>
      </c>
      <c r="J480" s="24">
        <v>3.4</v>
      </c>
      <c r="K480" s="21"/>
      <c r="L480" s="21"/>
    </row>
    <row r="481" spans="1:12" ht="17.25" customHeight="1" x14ac:dyDescent="0.2">
      <c r="A481" s="21">
        <v>480</v>
      </c>
      <c r="B481" s="22" t="s">
        <v>339</v>
      </c>
      <c r="C481" s="22" t="s">
        <v>64</v>
      </c>
      <c r="D481" s="21" t="s">
        <v>28</v>
      </c>
      <c r="E481" s="21"/>
      <c r="F481" s="21"/>
      <c r="G481" s="21"/>
      <c r="H481" s="21"/>
      <c r="I481" s="21">
        <v>159</v>
      </c>
      <c r="J481" s="24">
        <v>3</v>
      </c>
      <c r="K481" s="21"/>
      <c r="L481" s="21"/>
    </row>
    <row r="482" spans="1:12" ht="17.25" customHeight="1" x14ac:dyDescent="0.2">
      <c r="A482" s="21">
        <v>481</v>
      </c>
      <c r="B482" s="22" t="s">
        <v>270</v>
      </c>
      <c r="C482" s="22" t="s">
        <v>15</v>
      </c>
      <c r="D482" s="21" t="s">
        <v>28</v>
      </c>
      <c r="E482" s="21"/>
      <c r="F482" s="21"/>
      <c r="G482" s="21"/>
      <c r="H482" s="21"/>
      <c r="I482" s="21">
        <v>78.099999999999994</v>
      </c>
      <c r="J482" s="24">
        <v>2.6</v>
      </c>
      <c r="K482" s="21"/>
      <c r="L482" s="21"/>
    </row>
    <row r="483" spans="1:12" ht="17.25" customHeight="1" x14ac:dyDescent="0.2">
      <c r="A483" s="21">
        <v>482</v>
      </c>
      <c r="B483" s="22" t="s">
        <v>342</v>
      </c>
      <c r="C483" s="22" t="s">
        <v>30</v>
      </c>
      <c r="D483" s="21" t="s">
        <v>28</v>
      </c>
      <c r="E483" s="21"/>
      <c r="F483" s="21"/>
      <c r="G483" s="21"/>
      <c r="H483" s="21"/>
      <c r="I483" s="21">
        <v>171.1</v>
      </c>
      <c r="J483" s="24">
        <v>2.5</v>
      </c>
      <c r="K483" s="21"/>
      <c r="L483" s="21"/>
    </row>
    <row r="484" spans="1:12" ht="17.25" customHeight="1" x14ac:dyDescent="0.2">
      <c r="A484" s="21">
        <v>483</v>
      </c>
      <c r="B484" s="22" t="s">
        <v>322</v>
      </c>
      <c r="C484" s="22" t="s">
        <v>140</v>
      </c>
      <c r="D484" s="21" t="s">
        <v>40</v>
      </c>
      <c r="E484" s="21"/>
      <c r="F484" s="21"/>
      <c r="G484" s="21"/>
      <c r="H484" s="21">
        <v>327</v>
      </c>
      <c r="I484" s="21"/>
      <c r="J484" s="24">
        <v>2.2000000000000002</v>
      </c>
      <c r="K484" s="21"/>
      <c r="L484" s="21"/>
    </row>
    <row r="485" spans="1:12" ht="17.25" customHeight="1" x14ac:dyDescent="0.2">
      <c r="A485" s="21">
        <v>484</v>
      </c>
      <c r="B485" s="22" t="s">
        <v>306</v>
      </c>
      <c r="C485" s="22" t="s">
        <v>125</v>
      </c>
      <c r="D485" s="21" t="s">
        <v>16</v>
      </c>
      <c r="E485" s="21"/>
      <c r="F485" s="23">
        <v>0.02</v>
      </c>
      <c r="G485" s="23">
        <v>0</v>
      </c>
      <c r="H485" s="21">
        <v>567</v>
      </c>
      <c r="I485" s="21"/>
      <c r="J485" s="24">
        <v>1.8</v>
      </c>
      <c r="K485" s="21"/>
      <c r="L485" s="21"/>
    </row>
    <row r="486" spans="1:12" ht="17.25" customHeight="1" x14ac:dyDescent="0.2">
      <c r="A486" s="21">
        <v>485</v>
      </c>
      <c r="B486" s="22" t="s">
        <v>802</v>
      </c>
      <c r="C486" s="22" t="s">
        <v>18</v>
      </c>
      <c r="D486" s="21" t="s">
        <v>28</v>
      </c>
      <c r="E486" s="21"/>
      <c r="F486" s="21"/>
      <c r="G486" s="21"/>
      <c r="H486" s="21"/>
      <c r="I486" s="21">
        <v>112.1</v>
      </c>
      <c r="J486" s="24">
        <v>1.5</v>
      </c>
      <c r="K486" s="21"/>
      <c r="L486" s="21"/>
    </row>
    <row r="487" spans="1:12" ht="17.25" customHeight="1" x14ac:dyDescent="0.2">
      <c r="A487" s="21">
        <v>486</v>
      </c>
      <c r="B487" s="22" t="s">
        <v>266</v>
      </c>
      <c r="C487" s="22" t="s">
        <v>34</v>
      </c>
      <c r="D487" s="21" t="s">
        <v>82</v>
      </c>
      <c r="E487" s="21"/>
      <c r="F487" s="21"/>
      <c r="G487" s="21"/>
      <c r="H487" s="21">
        <v>609</v>
      </c>
      <c r="I487" s="21"/>
      <c r="J487" s="24">
        <v>1.5</v>
      </c>
      <c r="K487" s="21"/>
      <c r="L487" s="21"/>
    </row>
    <row r="488" spans="1:12" ht="17.25" customHeight="1" x14ac:dyDescent="0.2">
      <c r="A488" s="21">
        <v>487</v>
      </c>
      <c r="B488" s="22" t="s">
        <v>1264</v>
      </c>
      <c r="C488" s="22" t="s">
        <v>211</v>
      </c>
      <c r="D488" s="21" t="s">
        <v>62</v>
      </c>
      <c r="E488" s="21"/>
      <c r="F488" s="21"/>
      <c r="G488" s="21"/>
      <c r="H488" s="21">
        <v>390</v>
      </c>
      <c r="I488" s="21"/>
      <c r="J488" s="24">
        <v>1.1000000000000001</v>
      </c>
      <c r="K488" s="21"/>
      <c r="L488" s="21"/>
    </row>
    <row r="489" spans="1:12" ht="17.25" customHeight="1" x14ac:dyDescent="0.2">
      <c r="A489" s="21">
        <v>488</v>
      </c>
      <c r="B489" s="22" t="s">
        <v>857</v>
      </c>
      <c r="C489" s="22" t="s">
        <v>32</v>
      </c>
      <c r="D489" s="21" t="s">
        <v>69</v>
      </c>
      <c r="E489" s="21"/>
      <c r="F489" s="21"/>
      <c r="G489" s="21"/>
      <c r="H489" s="21"/>
      <c r="I489" s="21">
        <v>69.099999999999994</v>
      </c>
      <c r="J489" s="24">
        <v>1</v>
      </c>
      <c r="K489" s="21"/>
      <c r="L489" s="21"/>
    </row>
    <row r="490" spans="1:12" ht="17.25" customHeight="1" x14ac:dyDescent="0.2">
      <c r="A490" s="21">
        <v>489</v>
      </c>
      <c r="B490" s="22" t="s">
        <v>239</v>
      </c>
      <c r="C490" s="22" t="s">
        <v>66</v>
      </c>
      <c r="D490" s="21" t="s">
        <v>69</v>
      </c>
      <c r="E490" s="21"/>
      <c r="F490" s="21"/>
      <c r="G490" s="21"/>
      <c r="H490" s="21"/>
      <c r="I490" s="21">
        <v>65</v>
      </c>
      <c r="J490" s="24">
        <v>0.8</v>
      </c>
      <c r="K490" s="21"/>
      <c r="L490" s="21"/>
    </row>
    <row r="491" spans="1:12" ht="17.25" customHeight="1" x14ac:dyDescent="0.2">
      <c r="A491" s="21">
        <v>490</v>
      </c>
      <c r="B491" s="22" t="s">
        <v>337</v>
      </c>
      <c r="C491" s="22" t="s">
        <v>313</v>
      </c>
      <c r="D491" s="21" t="s">
        <v>16</v>
      </c>
      <c r="E491" s="21"/>
      <c r="F491" s="21"/>
      <c r="G491" s="21"/>
      <c r="H491" s="21">
        <v>470</v>
      </c>
      <c r="I491" s="21"/>
      <c r="J491" s="24">
        <v>0.7</v>
      </c>
      <c r="K491" s="21"/>
      <c r="L491" s="21"/>
    </row>
    <row r="492" spans="1:12" ht="17.25" customHeight="1" x14ac:dyDescent="0.2">
      <c r="A492" s="21">
        <v>491</v>
      </c>
      <c r="B492" s="22" t="s">
        <v>301</v>
      </c>
      <c r="C492" s="22" t="s">
        <v>89</v>
      </c>
      <c r="D492" s="21" t="s">
        <v>28</v>
      </c>
      <c r="E492" s="21"/>
      <c r="F492" s="21"/>
      <c r="G492" s="21"/>
      <c r="H492" s="21"/>
      <c r="I492" s="21">
        <v>131.1</v>
      </c>
      <c r="J492" s="24">
        <v>0.7</v>
      </c>
      <c r="K492" s="21"/>
      <c r="L492" s="21"/>
    </row>
    <row r="493" spans="1:12" ht="17.25" customHeight="1" x14ac:dyDescent="0.2">
      <c r="A493" s="21">
        <v>492</v>
      </c>
      <c r="B493" s="22" t="s">
        <v>1467</v>
      </c>
      <c r="C493" s="22" t="s">
        <v>50</v>
      </c>
      <c r="D493" s="21" t="s">
        <v>28</v>
      </c>
      <c r="E493" s="21"/>
      <c r="F493" s="21"/>
      <c r="G493" s="21"/>
      <c r="H493" s="21"/>
      <c r="I493" s="21">
        <v>53.1</v>
      </c>
      <c r="J493" s="24">
        <v>0.6</v>
      </c>
      <c r="K493" s="21"/>
      <c r="L493" s="21"/>
    </row>
    <row r="494" spans="1:12" ht="17.25" customHeight="1" x14ac:dyDescent="0.2">
      <c r="A494" s="21">
        <v>493</v>
      </c>
      <c r="B494" s="22" t="s">
        <v>491</v>
      </c>
      <c r="C494" s="22" t="s">
        <v>115</v>
      </c>
      <c r="D494" s="21" t="s">
        <v>74</v>
      </c>
      <c r="E494" s="21"/>
      <c r="F494" s="21"/>
      <c r="G494" s="21"/>
      <c r="H494" s="21">
        <v>389</v>
      </c>
      <c r="I494" s="21"/>
      <c r="J494" s="24">
        <v>0.5</v>
      </c>
      <c r="K494" s="21"/>
      <c r="L494" s="21"/>
    </row>
    <row r="495" spans="1:12" ht="17.25" customHeight="1" x14ac:dyDescent="0.2">
      <c r="A495" s="21">
        <v>494</v>
      </c>
      <c r="B495" s="22" t="s">
        <v>1468</v>
      </c>
      <c r="C495" s="22" t="s">
        <v>211</v>
      </c>
      <c r="D495" s="21" t="s">
        <v>28</v>
      </c>
      <c r="E495" s="21"/>
      <c r="F495" s="21"/>
      <c r="G495" s="21"/>
      <c r="H495" s="21"/>
      <c r="I495" s="21">
        <v>110</v>
      </c>
      <c r="J495" s="24">
        <v>0.3</v>
      </c>
      <c r="K495" s="21"/>
      <c r="L495" s="21"/>
    </row>
    <row r="496" spans="1:12" ht="17.25" customHeight="1" x14ac:dyDescent="0.2">
      <c r="A496" s="21">
        <v>495</v>
      </c>
      <c r="B496" s="22" t="s">
        <v>835</v>
      </c>
      <c r="C496" s="22" t="s">
        <v>42</v>
      </c>
      <c r="D496" s="21" t="s">
        <v>25</v>
      </c>
      <c r="E496" s="21"/>
      <c r="F496" s="21"/>
      <c r="G496" s="21"/>
      <c r="H496" s="21">
        <v>438</v>
      </c>
      <c r="I496" s="21"/>
      <c r="J496" s="24">
        <v>0.3</v>
      </c>
      <c r="K496" s="21"/>
      <c r="L496" s="21"/>
    </row>
    <row r="497" spans="1:12" ht="17.25" customHeight="1" x14ac:dyDescent="0.2">
      <c r="A497" s="21">
        <v>496</v>
      </c>
      <c r="B497" s="22" t="s">
        <v>1469</v>
      </c>
      <c r="C497" s="22" t="s">
        <v>313</v>
      </c>
      <c r="D497" s="21" t="s">
        <v>28</v>
      </c>
      <c r="E497" s="21"/>
      <c r="F497" s="21"/>
      <c r="G497" s="21"/>
      <c r="H497" s="21"/>
      <c r="I497" s="21">
        <v>92</v>
      </c>
      <c r="J497" s="24">
        <v>0.1</v>
      </c>
      <c r="K497" s="21"/>
      <c r="L497" s="21"/>
    </row>
    <row r="498" spans="1:12" ht="17.25" customHeight="1" x14ac:dyDescent="0.2">
      <c r="A498" s="21">
        <v>497</v>
      </c>
      <c r="B498" s="22" t="s">
        <v>1470</v>
      </c>
      <c r="C498" s="22" t="s">
        <v>60</v>
      </c>
      <c r="D498" s="21" t="s">
        <v>69</v>
      </c>
      <c r="E498" s="21"/>
      <c r="F498" s="21"/>
      <c r="G498" s="21"/>
      <c r="H498" s="21"/>
      <c r="I498" s="21">
        <v>62</v>
      </c>
      <c r="J498" s="24">
        <v>0</v>
      </c>
      <c r="K498" s="21"/>
      <c r="L498" s="21"/>
    </row>
    <row r="499" spans="1:12" ht="17.25" customHeight="1" x14ac:dyDescent="0.2">
      <c r="A499" s="21">
        <v>498</v>
      </c>
      <c r="B499" s="22" t="s">
        <v>68</v>
      </c>
      <c r="C499" s="22" t="s">
        <v>21</v>
      </c>
      <c r="D499" s="21" t="s">
        <v>69</v>
      </c>
      <c r="E499" s="21"/>
      <c r="F499" s="21"/>
      <c r="G499" s="21"/>
      <c r="H499" s="21"/>
      <c r="I499" s="21">
        <v>47</v>
      </c>
      <c r="J499" s="24">
        <v>0</v>
      </c>
      <c r="K499" s="21"/>
      <c r="L499" s="21"/>
    </row>
    <row r="500" spans="1:12" ht="17.25" customHeight="1" x14ac:dyDescent="0.2">
      <c r="A500" s="21">
        <v>499</v>
      </c>
      <c r="B500" s="22" t="s">
        <v>670</v>
      </c>
      <c r="C500" s="22" t="s">
        <v>55</v>
      </c>
      <c r="D500" s="21" t="s">
        <v>69</v>
      </c>
      <c r="E500" s="21"/>
      <c r="F500" s="21"/>
      <c r="G500" s="21"/>
      <c r="H500" s="21"/>
      <c r="I500" s="21">
        <v>50.1</v>
      </c>
      <c r="J500" s="24">
        <v>0</v>
      </c>
      <c r="K500" s="21"/>
      <c r="L500" s="21"/>
    </row>
    <row r="501" spans="1:12" ht="17.25" customHeight="1" x14ac:dyDescent="0.2">
      <c r="A501" s="21">
        <v>500</v>
      </c>
      <c r="B501" s="22" t="s">
        <v>1022</v>
      </c>
      <c r="C501" s="22" t="s">
        <v>60</v>
      </c>
      <c r="D501" s="21" t="s">
        <v>69</v>
      </c>
      <c r="E501" s="21"/>
      <c r="F501" s="21"/>
      <c r="G501" s="21"/>
      <c r="H501" s="21"/>
      <c r="I501" s="21">
        <v>78.099999999999994</v>
      </c>
      <c r="J501" s="24">
        <v>-0.2</v>
      </c>
      <c r="K501" s="21"/>
      <c r="L501" s="21"/>
    </row>
    <row r="502" spans="1:12" ht="17.25" customHeight="1" x14ac:dyDescent="0.2">
      <c r="A502" s="21">
        <v>501</v>
      </c>
      <c r="B502" s="22" t="s">
        <v>746</v>
      </c>
      <c r="C502" s="22" t="s">
        <v>27</v>
      </c>
      <c r="D502" s="21" t="s">
        <v>688</v>
      </c>
      <c r="E502" s="21"/>
      <c r="F502" s="23">
        <v>0.02</v>
      </c>
      <c r="G502" s="23">
        <v>0.02</v>
      </c>
      <c r="H502" s="21">
        <v>437</v>
      </c>
      <c r="I502" s="21"/>
      <c r="J502" s="24">
        <v>-0.3</v>
      </c>
      <c r="K502" s="21"/>
      <c r="L502" s="21"/>
    </row>
    <row r="503" spans="1:12" ht="17.25" customHeight="1" x14ac:dyDescent="0.2">
      <c r="A503" s="21">
        <v>502</v>
      </c>
      <c r="B503" s="22" t="s">
        <v>551</v>
      </c>
      <c r="C503" s="22" t="s">
        <v>57</v>
      </c>
      <c r="D503" s="21" t="s">
        <v>28</v>
      </c>
      <c r="E503" s="21"/>
      <c r="F503" s="21"/>
      <c r="G503" s="21"/>
      <c r="H503" s="21"/>
      <c r="I503" s="21">
        <v>99</v>
      </c>
      <c r="J503" s="24">
        <v>-0.4</v>
      </c>
      <c r="K503" s="21"/>
      <c r="L503" s="21"/>
    </row>
    <row r="504" spans="1:12" ht="17.25" customHeight="1" x14ac:dyDescent="0.2">
      <c r="A504" s="21">
        <v>503</v>
      </c>
      <c r="B504" s="22" t="s">
        <v>501</v>
      </c>
      <c r="C504" s="22" t="s">
        <v>140</v>
      </c>
      <c r="D504" s="21" t="s">
        <v>74</v>
      </c>
      <c r="E504" s="21"/>
      <c r="F504" s="21"/>
      <c r="G504" s="21"/>
      <c r="H504" s="21">
        <v>337</v>
      </c>
      <c r="I504" s="21"/>
      <c r="J504" s="24">
        <v>-0.6</v>
      </c>
      <c r="K504" s="21"/>
      <c r="L504" s="21"/>
    </row>
    <row r="505" spans="1:12" ht="17.25" customHeight="1" x14ac:dyDescent="0.2">
      <c r="A505" s="21">
        <v>504</v>
      </c>
      <c r="B505" s="22" t="s">
        <v>811</v>
      </c>
      <c r="C505" s="22" t="s">
        <v>66</v>
      </c>
      <c r="D505" s="21" t="s">
        <v>28</v>
      </c>
      <c r="E505" s="21"/>
      <c r="F505" s="21"/>
      <c r="G505" s="21"/>
      <c r="H505" s="21"/>
      <c r="I505" s="21">
        <v>76</v>
      </c>
      <c r="J505" s="24">
        <v>-0.6</v>
      </c>
      <c r="K505" s="21"/>
      <c r="L505" s="21"/>
    </row>
    <row r="506" spans="1:12" ht="17.25" customHeight="1" x14ac:dyDescent="0.2">
      <c r="A506" s="21">
        <v>505</v>
      </c>
      <c r="B506" s="22" t="s">
        <v>419</v>
      </c>
      <c r="C506" s="22" t="s">
        <v>24</v>
      </c>
      <c r="D506" s="21" t="s">
        <v>28</v>
      </c>
      <c r="E506" s="21"/>
      <c r="F506" s="21"/>
      <c r="G506" s="21"/>
      <c r="H506" s="21"/>
      <c r="I506" s="21">
        <v>68</v>
      </c>
      <c r="J506" s="24">
        <v>-0.7</v>
      </c>
      <c r="K506" s="21"/>
      <c r="L506" s="21"/>
    </row>
    <row r="507" spans="1:12" ht="17.25" customHeight="1" x14ac:dyDescent="0.2">
      <c r="A507" s="21">
        <v>506</v>
      </c>
      <c r="B507" s="22" t="s">
        <v>332</v>
      </c>
      <c r="C507" s="22" t="s">
        <v>36</v>
      </c>
      <c r="D507" s="21" t="s">
        <v>25</v>
      </c>
      <c r="E507" s="21"/>
      <c r="F507" s="21"/>
      <c r="G507" s="21"/>
      <c r="H507" s="21">
        <v>558</v>
      </c>
      <c r="I507" s="21"/>
      <c r="J507" s="24">
        <v>-0.8</v>
      </c>
      <c r="K507" s="21"/>
      <c r="L507" s="21"/>
    </row>
    <row r="508" spans="1:12" ht="17.25" customHeight="1" x14ac:dyDescent="0.2">
      <c r="A508" s="21">
        <v>507</v>
      </c>
      <c r="B508" s="22" t="s">
        <v>1471</v>
      </c>
      <c r="C508" s="22" t="s">
        <v>313</v>
      </c>
      <c r="D508" s="21" t="s">
        <v>238</v>
      </c>
      <c r="E508" s="21"/>
      <c r="F508" s="21"/>
      <c r="G508" s="21"/>
      <c r="H508" s="21"/>
      <c r="I508" s="21">
        <v>51</v>
      </c>
      <c r="J508" s="24">
        <v>-1.1000000000000001</v>
      </c>
      <c r="K508" s="21"/>
      <c r="L508" s="21"/>
    </row>
    <row r="509" spans="1:12" ht="17.25" customHeight="1" x14ac:dyDescent="0.2">
      <c r="A509" s="21">
        <v>508</v>
      </c>
      <c r="B509" s="22" t="s">
        <v>299</v>
      </c>
      <c r="C509" s="22" t="s">
        <v>36</v>
      </c>
      <c r="D509" s="21" t="s">
        <v>40</v>
      </c>
      <c r="E509" s="21"/>
      <c r="F509" s="21"/>
      <c r="G509" s="21"/>
      <c r="H509" s="21">
        <v>433</v>
      </c>
      <c r="I509" s="21"/>
      <c r="J509" s="24">
        <v>-1.2</v>
      </c>
      <c r="K509" s="21"/>
      <c r="L509" s="21"/>
    </row>
    <row r="510" spans="1:12" ht="17.25" customHeight="1" x14ac:dyDescent="0.2">
      <c r="A510" s="21">
        <v>509</v>
      </c>
      <c r="B510" s="22" t="s">
        <v>1472</v>
      </c>
      <c r="C510" s="22" t="s">
        <v>42</v>
      </c>
      <c r="D510" s="21" t="s">
        <v>69</v>
      </c>
      <c r="E510" s="21"/>
      <c r="F510" s="21"/>
      <c r="G510" s="21"/>
      <c r="H510" s="21"/>
      <c r="I510" s="21">
        <v>50</v>
      </c>
      <c r="J510" s="24">
        <v>-1.2</v>
      </c>
      <c r="K510" s="21"/>
      <c r="L510" s="21"/>
    </row>
    <row r="511" spans="1:12" ht="17.25" customHeight="1" x14ac:dyDescent="0.2">
      <c r="A511" s="21">
        <v>510</v>
      </c>
      <c r="B511" s="22" t="s">
        <v>743</v>
      </c>
      <c r="C511" s="22" t="s">
        <v>50</v>
      </c>
      <c r="D511" s="21" t="s">
        <v>69</v>
      </c>
      <c r="E511" s="21"/>
      <c r="F511" s="21"/>
      <c r="G511" s="21"/>
      <c r="H511" s="21"/>
      <c r="I511" s="21">
        <v>71.099999999999994</v>
      </c>
      <c r="J511" s="24">
        <v>-1.2</v>
      </c>
      <c r="K511" s="21"/>
      <c r="L511" s="21"/>
    </row>
    <row r="512" spans="1:12" ht="17.25" customHeight="1" x14ac:dyDescent="0.2">
      <c r="A512" s="21">
        <v>511</v>
      </c>
      <c r="B512" s="22" t="s">
        <v>288</v>
      </c>
      <c r="C512" s="22" t="s">
        <v>12</v>
      </c>
      <c r="D512" s="21" t="s">
        <v>69</v>
      </c>
      <c r="E512" s="21"/>
      <c r="F512" s="21"/>
      <c r="G512" s="21"/>
      <c r="H512" s="21"/>
      <c r="I512" s="21">
        <v>59.1</v>
      </c>
      <c r="J512" s="24">
        <v>-1.3</v>
      </c>
      <c r="K512" s="21"/>
      <c r="L512" s="21"/>
    </row>
    <row r="513" spans="1:12" ht="17.25" customHeight="1" x14ac:dyDescent="0.2">
      <c r="A513" s="21">
        <v>512</v>
      </c>
      <c r="B513" s="22" t="s">
        <v>1473</v>
      </c>
      <c r="C513" s="22" t="s">
        <v>39</v>
      </c>
      <c r="D513" s="21" t="s">
        <v>69</v>
      </c>
      <c r="E513" s="21"/>
      <c r="F513" s="21"/>
      <c r="G513" s="21"/>
      <c r="H513" s="21"/>
      <c r="I513" s="21">
        <v>66.099999999999994</v>
      </c>
      <c r="J513" s="24">
        <v>-1.3</v>
      </c>
      <c r="K513" s="21"/>
      <c r="L513" s="21"/>
    </row>
    <row r="514" spans="1:12" ht="17.25" customHeight="1" x14ac:dyDescent="0.2">
      <c r="A514" s="21">
        <v>513</v>
      </c>
      <c r="B514" s="22" t="s">
        <v>451</v>
      </c>
      <c r="C514" s="22" t="s">
        <v>64</v>
      </c>
      <c r="D514" s="21" t="s">
        <v>28</v>
      </c>
      <c r="E514" s="21"/>
      <c r="F514" s="21"/>
      <c r="G514" s="21"/>
      <c r="H514" s="21"/>
      <c r="I514" s="21">
        <v>37</v>
      </c>
      <c r="J514" s="24">
        <v>-1.6</v>
      </c>
      <c r="K514" s="21"/>
      <c r="L514" s="21"/>
    </row>
    <row r="515" spans="1:12" ht="17.25" customHeight="1" x14ac:dyDescent="0.2">
      <c r="A515" s="21">
        <v>514</v>
      </c>
      <c r="B515" s="22" t="s">
        <v>509</v>
      </c>
      <c r="C515" s="22" t="s">
        <v>64</v>
      </c>
      <c r="D515" s="21" t="s">
        <v>69</v>
      </c>
      <c r="E515" s="21"/>
      <c r="F515" s="21"/>
      <c r="G515" s="21"/>
      <c r="H515" s="21"/>
      <c r="I515" s="21">
        <v>46</v>
      </c>
      <c r="J515" s="24">
        <v>-1.7</v>
      </c>
      <c r="K515" s="21"/>
      <c r="L515" s="21"/>
    </row>
    <row r="516" spans="1:12" ht="17.25" customHeight="1" x14ac:dyDescent="0.2">
      <c r="A516" s="21">
        <v>515</v>
      </c>
      <c r="B516" s="22" t="s">
        <v>1474</v>
      </c>
      <c r="C516" s="22" t="s">
        <v>50</v>
      </c>
      <c r="D516" s="21" t="s">
        <v>69</v>
      </c>
      <c r="E516" s="21"/>
      <c r="F516" s="21"/>
      <c r="G516" s="21"/>
      <c r="H516" s="21"/>
      <c r="I516" s="21">
        <v>68</v>
      </c>
      <c r="J516" s="24">
        <v>-1.7</v>
      </c>
      <c r="K516" s="21"/>
      <c r="L516" s="21"/>
    </row>
    <row r="517" spans="1:12" ht="17.25" customHeight="1" x14ac:dyDescent="0.2">
      <c r="A517" s="21">
        <v>516</v>
      </c>
      <c r="B517" s="22" t="s">
        <v>586</v>
      </c>
      <c r="C517" s="22" t="s">
        <v>66</v>
      </c>
      <c r="D517" s="21" t="s">
        <v>939</v>
      </c>
      <c r="E517" s="21"/>
      <c r="F517" s="21"/>
      <c r="G517" s="21"/>
      <c r="H517" s="21">
        <v>341</v>
      </c>
      <c r="I517" s="21"/>
      <c r="J517" s="24">
        <v>-1.7</v>
      </c>
      <c r="K517" s="21"/>
      <c r="L517" s="21"/>
    </row>
    <row r="518" spans="1:12" ht="17.25" customHeight="1" x14ac:dyDescent="0.2">
      <c r="A518" s="21">
        <v>517</v>
      </c>
      <c r="B518" s="22" t="s">
        <v>852</v>
      </c>
      <c r="C518" s="21"/>
      <c r="D518" s="21" t="s">
        <v>43</v>
      </c>
      <c r="E518" s="21"/>
      <c r="F518" s="21"/>
      <c r="G518" s="21"/>
      <c r="H518" s="21">
        <v>463</v>
      </c>
      <c r="I518" s="21"/>
      <c r="J518" s="24">
        <v>-1.8</v>
      </c>
      <c r="K518" s="21"/>
      <c r="L518" s="21"/>
    </row>
    <row r="519" spans="1:12" ht="17.25" customHeight="1" x14ac:dyDescent="0.2">
      <c r="A519" s="21">
        <v>518</v>
      </c>
      <c r="B519" s="22" t="s">
        <v>91</v>
      </c>
      <c r="C519" s="22" t="s">
        <v>50</v>
      </c>
      <c r="D519" s="21" t="s">
        <v>28</v>
      </c>
      <c r="E519" s="21"/>
      <c r="F519" s="21"/>
      <c r="G519" s="21"/>
      <c r="H519" s="21"/>
      <c r="I519" s="21">
        <v>48</v>
      </c>
      <c r="J519" s="24">
        <v>-1.8</v>
      </c>
      <c r="K519" s="21"/>
      <c r="L519" s="21"/>
    </row>
    <row r="520" spans="1:12" ht="17.25" customHeight="1" x14ac:dyDescent="0.2">
      <c r="A520" s="21">
        <v>519</v>
      </c>
      <c r="B520" s="22" t="s">
        <v>693</v>
      </c>
      <c r="C520" s="22" t="s">
        <v>36</v>
      </c>
      <c r="D520" s="21" t="s">
        <v>28</v>
      </c>
      <c r="E520" s="21"/>
      <c r="F520" s="21"/>
      <c r="G520" s="21"/>
      <c r="H520" s="21"/>
      <c r="I520" s="21">
        <v>56</v>
      </c>
      <c r="J520" s="24">
        <v>-2</v>
      </c>
      <c r="K520" s="21"/>
      <c r="L520" s="21"/>
    </row>
    <row r="521" spans="1:12" ht="17.25" customHeight="1" x14ac:dyDescent="0.2">
      <c r="A521" s="21">
        <v>520</v>
      </c>
      <c r="B521" s="22" t="s">
        <v>1475</v>
      </c>
      <c r="C521" s="22" t="s">
        <v>55</v>
      </c>
      <c r="D521" s="21" t="s">
        <v>28</v>
      </c>
      <c r="E521" s="21"/>
      <c r="F521" s="21"/>
      <c r="G521" s="21"/>
      <c r="H521" s="21"/>
      <c r="I521" s="21">
        <v>15</v>
      </c>
      <c r="J521" s="24">
        <v>-2</v>
      </c>
      <c r="K521" s="21"/>
      <c r="L521" s="21"/>
    </row>
    <row r="522" spans="1:12" ht="17.25" customHeight="1" x14ac:dyDescent="0.2">
      <c r="A522" s="21">
        <v>521</v>
      </c>
      <c r="B522" s="22" t="s">
        <v>380</v>
      </c>
      <c r="C522" s="22" t="s">
        <v>50</v>
      </c>
      <c r="D522" s="21" t="s">
        <v>25</v>
      </c>
      <c r="E522" s="21"/>
      <c r="F522" s="21"/>
      <c r="G522" s="21"/>
      <c r="H522" s="21">
        <v>381</v>
      </c>
      <c r="I522" s="21"/>
      <c r="J522" s="24">
        <v>-2</v>
      </c>
      <c r="K522" s="21"/>
      <c r="L522" s="21"/>
    </row>
    <row r="523" spans="1:12" ht="17.25" customHeight="1" x14ac:dyDescent="0.2">
      <c r="A523" s="21">
        <v>522</v>
      </c>
      <c r="B523" s="22" t="s">
        <v>1476</v>
      </c>
      <c r="C523" s="22" t="s">
        <v>132</v>
      </c>
      <c r="D523" s="21" t="s">
        <v>28</v>
      </c>
      <c r="E523" s="21"/>
      <c r="F523" s="21"/>
      <c r="G523" s="21"/>
      <c r="H523" s="21"/>
      <c r="I523" s="21">
        <v>23</v>
      </c>
      <c r="J523" s="24">
        <v>-2.1</v>
      </c>
      <c r="K523" s="21"/>
      <c r="L523" s="21"/>
    </row>
    <row r="524" spans="1:12" ht="17.25" customHeight="1" x14ac:dyDescent="0.2">
      <c r="A524" s="21">
        <v>523</v>
      </c>
      <c r="B524" s="22" t="s">
        <v>669</v>
      </c>
      <c r="C524" s="22" t="s">
        <v>32</v>
      </c>
      <c r="D524" s="21" t="s">
        <v>69</v>
      </c>
      <c r="E524" s="21"/>
      <c r="F524" s="21"/>
      <c r="G524" s="21"/>
      <c r="H524" s="21"/>
      <c r="I524" s="21">
        <v>67</v>
      </c>
      <c r="J524" s="24">
        <v>-2.1</v>
      </c>
      <c r="K524" s="21"/>
      <c r="L524" s="21"/>
    </row>
    <row r="525" spans="1:12" ht="17.25" customHeight="1" x14ac:dyDescent="0.2">
      <c r="A525" s="21">
        <v>524</v>
      </c>
      <c r="B525" s="22" t="s">
        <v>1477</v>
      </c>
      <c r="C525" s="22" t="s">
        <v>115</v>
      </c>
      <c r="D525" s="21" t="s">
        <v>28</v>
      </c>
      <c r="E525" s="21"/>
      <c r="F525" s="21"/>
      <c r="G525" s="21"/>
      <c r="H525" s="21"/>
      <c r="I525" s="21">
        <v>95.1</v>
      </c>
      <c r="J525" s="24">
        <v>-2.2000000000000002</v>
      </c>
      <c r="K525" s="21"/>
      <c r="L525" s="21"/>
    </row>
    <row r="526" spans="1:12" ht="17.25" customHeight="1" x14ac:dyDescent="0.2">
      <c r="A526" s="21">
        <v>525</v>
      </c>
      <c r="B526" s="22" t="s">
        <v>263</v>
      </c>
      <c r="C526" s="22" t="s">
        <v>21</v>
      </c>
      <c r="D526" s="21" t="s">
        <v>28</v>
      </c>
      <c r="E526" s="21"/>
      <c r="F526" s="21"/>
      <c r="G526" s="21"/>
      <c r="H526" s="21"/>
      <c r="I526" s="21">
        <v>44.1</v>
      </c>
      <c r="J526" s="24">
        <v>-2.2999999999999998</v>
      </c>
      <c r="K526" s="21"/>
      <c r="L526" s="21"/>
    </row>
    <row r="527" spans="1:12" ht="17.25" customHeight="1" x14ac:dyDescent="0.2">
      <c r="A527" s="21">
        <v>526</v>
      </c>
      <c r="B527" s="22" t="s">
        <v>1478</v>
      </c>
      <c r="C527" s="22" t="s">
        <v>18</v>
      </c>
      <c r="D527" s="21" t="s">
        <v>28</v>
      </c>
      <c r="E527" s="21"/>
      <c r="F527" s="21"/>
      <c r="G527" s="21"/>
      <c r="H527" s="21"/>
      <c r="I527" s="21">
        <v>76</v>
      </c>
      <c r="J527" s="24">
        <v>-2.2999999999999998</v>
      </c>
      <c r="K527" s="21"/>
      <c r="L527" s="21"/>
    </row>
    <row r="528" spans="1:12" ht="17.25" customHeight="1" x14ac:dyDescent="0.2">
      <c r="A528" s="21">
        <v>527</v>
      </c>
      <c r="B528" s="22" t="s">
        <v>1479</v>
      </c>
      <c r="C528" s="22" t="s">
        <v>50</v>
      </c>
      <c r="D528" s="21" t="s">
        <v>69</v>
      </c>
      <c r="E528" s="21"/>
      <c r="F528" s="21"/>
      <c r="G528" s="21"/>
      <c r="H528" s="21"/>
      <c r="I528" s="21">
        <v>50.1</v>
      </c>
      <c r="J528" s="24">
        <v>-2.2999999999999998</v>
      </c>
      <c r="K528" s="21"/>
      <c r="L528" s="21"/>
    </row>
    <row r="529" spans="1:12" ht="17.25" customHeight="1" x14ac:dyDescent="0.2">
      <c r="A529" s="21">
        <v>528</v>
      </c>
      <c r="B529" s="22" t="s">
        <v>1480</v>
      </c>
      <c r="C529" s="22" t="s">
        <v>313</v>
      </c>
      <c r="D529" s="21" t="s">
        <v>69</v>
      </c>
      <c r="E529" s="21"/>
      <c r="F529" s="21"/>
      <c r="G529" s="21"/>
      <c r="H529" s="21"/>
      <c r="I529" s="21">
        <v>101</v>
      </c>
      <c r="J529" s="24">
        <v>-2.4</v>
      </c>
      <c r="K529" s="21"/>
      <c r="L529" s="21"/>
    </row>
    <row r="530" spans="1:12" ht="17.25" customHeight="1" x14ac:dyDescent="0.2">
      <c r="A530" s="21">
        <v>529</v>
      </c>
      <c r="B530" s="22" t="s">
        <v>796</v>
      </c>
      <c r="C530" s="22" t="s">
        <v>64</v>
      </c>
      <c r="D530" s="21" t="s">
        <v>69</v>
      </c>
      <c r="E530" s="21"/>
      <c r="F530" s="21"/>
      <c r="G530" s="21"/>
      <c r="H530" s="21"/>
      <c r="I530" s="21">
        <v>58</v>
      </c>
      <c r="J530" s="24">
        <v>-2.5</v>
      </c>
      <c r="K530" s="21"/>
      <c r="L530" s="21"/>
    </row>
    <row r="531" spans="1:12" ht="17.25" customHeight="1" x14ac:dyDescent="0.2">
      <c r="A531" s="21">
        <v>530</v>
      </c>
      <c r="B531" s="22" t="s">
        <v>1481</v>
      </c>
      <c r="C531" s="22" t="s">
        <v>30</v>
      </c>
      <c r="D531" s="21" t="s">
        <v>69</v>
      </c>
      <c r="E531" s="21"/>
      <c r="F531" s="21"/>
      <c r="G531" s="21"/>
      <c r="H531" s="21"/>
      <c r="I531" s="21">
        <v>34.1</v>
      </c>
      <c r="J531" s="24">
        <v>-2.6</v>
      </c>
      <c r="K531" s="21"/>
      <c r="L531" s="21"/>
    </row>
    <row r="532" spans="1:12" ht="17.25" customHeight="1" x14ac:dyDescent="0.2">
      <c r="A532" s="21">
        <v>531</v>
      </c>
      <c r="B532" s="22" t="s">
        <v>883</v>
      </c>
      <c r="C532" s="22" t="s">
        <v>125</v>
      </c>
      <c r="D532" s="21" t="s">
        <v>135</v>
      </c>
      <c r="E532" s="21"/>
      <c r="F532" s="21"/>
      <c r="G532" s="21"/>
      <c r="H532" s="21">
        <v>514</v>
      </c>
      <c r="I532" s="21"/>
      <c r="J532" s="24">
        <v>-2.7</v>
      </c>
      <c r="K532" s="21"/>
      <c r="L532" s="21"/>
    </row>
    <row r="533" spans="1:12" ht="17.25" customHeight="1" x14ac:dyDescent="0.2">
      <c r="A533" s="21">
        <v>532</v>
      </c>
      <c r="B533" s="22" t="s">
        <v>439</v>
      </c>
      <c r="C533" s="22" t="s">
        <v>15</v>
      </c>
      <c r="D533" s="21" t="s">
        <v>238</v>
      </c>
      <c r="E533" s="21"/>
      <c r="F533" s="21"/>
      <c r="G533" s="21"/>
      <c r="H533" s="21"/>
      <c r="I533" s="21">
        <v>64</v>
      </c>
      <c r="J533" s="24">
        <v>-2.7</v>
      </c>
      <c r="K533" s="21"/>
      <c r="L533" s="21"/>
    </row>
    <row r="534" spans="1:12" ht="17.25" customHeight="1" x14ac:dyDescent="0.2">
      <c r="A534" s="21">
        <v>533</v>
      </c>
      <c r="B534" s="22" t="s">
        <v>495</v>
      </c>
      <c r="C534" s="22" t="s">
        <v>115</v>
      </c>
      <c r="D534" s="21" t="s">
        <v>28</v>
      </c>
      <c r="E534" s="21"/>
      <c r="F534" s="21"/>
      <c r="G534" s="21"/>
      <c r="H534" s="21"/>
      <c r="I534" s="21">
        <v>151.1</v>
      </c>
      <c r="J534" s="24">
        <v>-2.8</v>
      </c>
      <c r="K534" s="21"/>
      <c r="L534" s="21"/>
    </row>
    <row r="535" spans="1:12" ht="17.25" customHeight="1" x14ac:dyDescent="0.2">
      <c r="A535" s="21">
        <v>534</v>
      </c>
      <c r="B535" s="22" t="s">
        <v>602</v>
      </c>
      <c r="C535" s="22" t="s">
        <v>48</v>
      </c>
      <c r="D535" s="21" t="s">
        <v>69</v>
      </c>
      <c r="E535" s="21"/>
      <c r="F535" s="21"/>
      <c r="G535" s="21"/>
      <c r="H535" s="21"/>
      <c r="I535" s="21">
        <v>67</v>
      </c>
      <c r="J535" s="24">
        <v>-2.8</v>
      </c>
      <c r="K535" s="21"/>
      <c r="L535" s="21"/>
    </row>
    <row r="536" spans="1:12" ht="17.25" customHeight="1" x14ac:dyDescent="0.2">
      <c r="A536" s="21">
        <v>535</v>
      </c>
      <c r="B536" s="22" t="s">
        <v>237</v>
      </c>
      <c r="C536" s="22" t="s">
        <v>39</v>
      </c>
      <c r="D536" s="21" t="s">
        <v>69</v>
      </c>
      <c r="E536" s="21"/>
      <c r="F536" s="21"/>
      <c r="G536" s="21"/>
      <c r="H536" s="21"/>
      <c r="I536" s="21">
        <v>66</v>
      </c>
      <c r="J536" s="24">
        <v>-2.8</v>
      </c>
      <c r="K536" s="21"/>
      <c r="L536" s="21"/>
    </row>
    <row r="537" spans="1:12" ht="17.25" customHeight="1" x14ac:dyDescent="0.2">
      <c r="A537" s="21">
        <v>536</v>
      </c>
      <c r="B537" s="22" t="s">
        <v>1482</v>
      </c>
      <c r="C537" s="22" t="s">
        <v>50</v>
      </c>
      <c r="D537" s="21" t="s">
        <v>28</v>
      </c>
      <c r="E537" s="21"/>
      <c r="F537" s="21"/>
      <c r="G537" s="21"/>
      <c r="H537" s="21"/>
      <c r="I537" s="21">
        <v>7.1</v>
      </c>
      <c r="J537" s="24">
        <v>-2.9</v>
      </c>
      <c r="K537" s="21"/>
      <c r="L537" s="21"/>
    </row>
    <row r="538" spans="1:12" ht="17.25" customHeight="1" x14ac:dyDescent="0.2">
      <c r="A538" s="21">
        <v>537</v>
      </c>
      <c r="B538" s="22" t="s">
        <v>605</v>
      </c>
      <c r="C538" s="22" t="s">
        <v>313</v>
      </c>
      <c r="D538" s="21" t="s">
        <v>28</v>
      </c>
      <c r="E538" s="21"/>
      <c r="F538" s="21"/>
      <c r="G538" s="21"/>
      <c r="H538" s="21"/>
      <c r="I538" s="21">
        <v>142.1</v>
      </c>
      <c r="J538" s="24">
        <v>-2.9</v>
      </c>
      <c r="K538" s="21"/>
      <c r="L538" s="21"/>
    </row>
    <row r="539" spans="1:12" ht="17.25" customHeight="1" x14ac:dyDescent="0.2">
      <c r="A539" s="21">
        <v>538</v>
      </c>
      <c r="B539" s="22" t="s">
        <v>1483</v>
      </c>
      <c r="C539" s="22" t="s">
        <v>115</v>
      </c>
      <c r="D539" s="21" t="s">
        <v>28</v>
      </c>
      <c r="E539" s="21"/>
      <c r="F539" s="21"/>
      <c r="G539" s="21"/>
      <c r="H539" s="21"/>
      <c r="I539" s="21">
        <v>61</v>
      </c>
      <c r="J539" s="24">
        <v>-3</v>
      </c>
      <c r="K539" s="21"/>
      <c r="L539" s="21"/>
    </row>
    <row r="540" spans="1:12" ht="17.25" customHeight="1" x14ac:dyDescent="0.2">
      <c r="A540" s="21">
        <v>539</v>
      </c>
      <c r="B540" s="22" t="s">
        <v>579</v>
      </c>
      <c r="C540" s="22" t="s">
        <v>64</v>
      </c>
      <c r="D540" s="21" t="s">
        <v>69</v>
      </c>
      <c r="E540" s="21"/>
      <c r="F540" s="21"/>
      <c r="G540" s="21"/>
      <c r="H540" s="21"/>
      <c r="I540" s="21">
        <v>66</v>
      </c>
      <c r="J540" s="24">
        <v>-3.1</v>
      </c>
      <c r="K540" s="21"/>
      <c r="L540" s="21"/>
    </row>
    <row r="541" spans="1:12" ht="17.25" customHeight="1" x14ac:dyDescent="0.2">
      <c r="A541" s="21">
        <v>540</v>
      </c>
      <c r="B541" s="22" t="s">
        <v>775</v>
      </c>
      <c r="C541" s="22" t="s">
        <v>42</v>
      </c>
      <c r="D541" s="21" t="s">
        <v>74</v>
      </c>
      <c r="E541" s="21"/>
      <c r="F541" s="21"/>
      <c r="G541" s="21"/>
      <c r="H541" s="21">
        <v>174</v>
      </c>
      <c r="I541" s="21"/>
      <c r="J541" s="24">
        <v>-3.3</v>
      </c>
      <c r="K541" s="21"/>
      <c r="L541" s="21"/>
    </row>
    <row r="542" spans="1:12" ht="17.25" customHeight="1" x14ac:dyDescent="0.2">
      <c r="A542" s="21">
        <v>541</v>
      </c>
      <c r="B542" s="22" t="s">
        <v>394</v>
      </c>
      <c r="C542" s="22" t="s">
        <v>232</v>
      </c>
      <c r="D542" s="21" t="s">
        <v>16</v>
      </c>
      <c r="E542" s="21"/>
      <c r="F542" s="21"/>
      <c r="G542" s="21"/>
      <c r="H542" s="21">
        <v>503</v>
      </c>
      <c r="I542" s="21"/>
      <c r="J542" s="24">
        <v>-3.5</v>
      </c>
      <c r="K542" s="21"/>
      <c r="L542" s="21"/>
    </row>
    <row r="543" spans="1:12" ht="17.25" customHeight="1" x14ac:dyDescent="0.2">
      <c r="A543" s="21">
        <v>542</v>
      </c>
      <c r="B543" s="22" t="s">
        <v>256</v>
      </c>
      <c r="C543" s="22" t="s">
        <v>66</v>
      </c>
      <c r="D543" s="21" t="s">
        <v>28</v>
      </c>
      <c r="E543" s="21"/>
      <c r="F543" s="21"/>
      <c r="G543" s="21"/>
      <c r="H543" s="21"/>
      <c r="I543" s="21">
        <v>72</v>
      </c>
      <c r="J543" s="24">
        <v>-3.5</v>
      </c>
      <c r="K543" s="21"/>
      <c r="L543" s="21"/>
    </row>
    <row r="544" spans="1:12" ht="17.25" customHeight="1" x14ac:dyDescent="0.2">
      <c r="A544" s="21">
        <v>543</v>
      </c>
      <c r="B544" s="22" t="s">
        <v>786</v>
      </c>
      <c r="C544" s="22" t="s">
        <v>117</v>
      </c>
      <c r="D544" s="21" t="s">
        <v>201</v>
      </c>
      <c r="E544" s="21"/>
      <c r="F544" s="21"/>
      <c r="G544" s="21"/>
      <c r="H544" s="21">
        <v>459</v>
      </c>
      <c r="I544" s="21"/>
      <c r="J544" s="24">
        <v>-3.5</v>
      </c>
      <c r="K544" s="21"/>
      <c r="L544" s="21"/>
    </row>
    <row r="545" spans="1:12" ht="17.25" customHeight="1" x14ac:dyDescent="0.2">
      <c r="A545" s="21">
        <v>544</v>
      </c>
      <c r="B545" s="22" t="s">
        <v>454</v>
      </c>
      <c r="C545" s="22" t="s">
        <v>27</v>
      </c>
      <c r="D545" s="21" t="s">
        <v>25</v>
      </c>
      <c r="E545" s="21"/>
      <c r="F545" s="23">
        <v>0.04</v>
      </c>
      <c r="G545" s="23">
        <v>0</v>
      </c>
      <c r="H545" s="21">
        <v>383</v>
      </c>
      <c r="I545" s="21"/>
      <c r="J545" s="24">
        <v>-3.5</v>
      </c>
      <c r="K545" s="21"/>
      <c r="L545" s="21"/>
    </row>
    <row r="546" spans="1:12" ht="17.25" customHeight="1" x14ac:dyDescent="0.2">
      <c r="A546" s="21">
        <v>545</v>
      </c>
      <c r="B546" s="22" t="s">
        <v>610</v>
      </c>
      <c r="C546" s="22" t="s">
        <v>211</v>
      </c>
      <c r="D546" s="21" t="s">
        <v>69</v>
      </c>
      <c r="E546" s="21"/>
      <c r="F546" s="23">
        <v>0.04</v>
      </c>
      <c r="G546" s="23">
        <v>0</v>
      </c>
      <c r="H546" s="21"/>
      <c r="I546" s="21">
        <v>60</v>
      </c>
      <c r="J546" s="24">
        <v>-3.6</v>
      </c>
      <c r="K546" s="21"/>
      <c r="L546" s="21"/>
    </row>
    <row r="547" spans="1:12" ht="17.25" customHeight="1" x14ac:dyDescent="0.2">
      <c r="A547" s="21">
        <v>546</v>
      </c>
      <c r="B547" s="22" t="s">
        <v>401</v>
      </c>
      <c r="C547" s="22" t="s">
        <v>50</v>
      </c>
      <c r="D547" s="21" t="s">
        <v>28</v>
      </c>
      <c r="E547" s="21"/>
      <c r="F547" s="21"/>
      <c r="G547" s="21"/>
      <c r="H547" s="21"/>
      <c r="I547" s="21">
        <v>32</v>
      </c>
      <c r="J547" s="24">
        <v>-3.7</v>
      </c>
      <c r="K547" s="21"/>
      <c r="L547" s="21"/>
    </row>
    <row r="548" spans="1:12" ht="17.25" customHeight="1" x14ac:dyDescent="0.2">
      <c r="A548" s="21">
        <v>547</v>
      </c>
      <c r="B548" s="22" t="s">
        <v>1484</v>
      </c>
      <c r="C548" s="22" t="s">
        <v>36</v>
      </c>
      <c r="D548" s="21" t="s">
        <v>28</v>
      </c>
      <c r="E548" s="21"/>
      <c r="F548" s="21"/>
      <c r="G548" s="21"/>
      <c r="H548" s="21"/>
      <c r="I548" s="21">
        <v>44</v>
      </c>
      <c r="J548" s="24">
        <v>-3.7</v>
      </c>
      <c r="K548" s="21"/>
      <c r="L548" s="21"/>
    </row>
    <row r="549" spans="1:12" ht="17.25" customHeight="1" x14ac:dyDescent="0.2">
      <c r="A549" s="21">
        <v>548</v>
      </c>
      <c r="B549" s="22" t="s">
        <v>1485</v>
      </c>
      <c r="C549" s="22" t="s">
        <v>140</v>
      </c>
      <c r="D549" s="21" t="s">
        <v>28</v>
      </c>
      <c r="E549" s="21"/>
      <c r="F549" s="21"/>
      <c r="G549" s="21"/>
      <c r="H549" s="21"/>
      <c r="I549" s="21">
        <v>34</v>
      </c>
      <c r="J549" s="24">
        <v>-3.7</v>
      </c>
      <c r="K549" s="21"/>
      <c r="L549" s="21"/>
    </row>
    <row r="550" spans="1:12" ht="17.25" customHeight="1" x14ac:dyDescent="0.2">
      <c r="A550" s="21">
        <v>549</v>
      </c>
      <c r="B550" s="22" t="s">
        <v>431</v>
      </c>
      <c r="C550" s="22" t="s">
        <v>60</v>
      </c>
      <c r="D550" s="21" t="s">
        <v>40</v>
      </c>
      <c r="E550" s="21"/>
      <c r="F550" s="21"/>
      <c r="G550" s="21"/>
      <c r="H550" s="21">
        <v>290</v>
      </c>
      <c r="I550" s="21"/>
      <c r="J550" s="24">
        <v>-3.7</v>
      </c>
      <c r="K550" s="21"/>
      <c r="L550" s="21"/>
    </row>
    <row r="551" spans="1:12" ht="17.25" customHeight="1" x14ac:dyDescent="0.2">
      <c r="A551" s="21">
        <v>550</v>
      </c>
      <c r="B551" s="22" t="s">
        <v>503</v>
      </c>
      <c r="C551" s="21"/>
      <c r="D551" s="21" t="s">
        <v>25</v>
      </c>
      <c r="E551" s="21"/>
      <c r="F551" s="21"/>
      <c r="G551" s="21"/>
      <c r="H551" s="21">
        <v>474</v>
      </c>
      <c r="I551" s="21"/>
      <c r="J551" s="24">
        <v>-3.7</v>
      </c>
      <c r="K551" s="21"/>
      <c r="L551" s="21"/>
    </row>
    <row r="552" spans="1:12" ht="17.25" customHeight="1" x14ac:dyDescent="0.2">
      <c r="A552" s="21">
        <v>551</v>
      </c>
      <c r="B552" s="22" t="s">
        <v>1486</v>
      </c>
      <c r="C552" s="22" t="s">
        <v>211</v>
      </c>
      <c r="D552" s="21" t="s">
        <v>69</v>
      </c>
      <c r="E552" s="21"/>
      <c r="F552" s="21"/>
      <c r="G552" s="21"/>
      <c r="H552" s="21"/>
      <c r="I552" s="21">
        <v>71</v>
      </c>
      <c r="J552" s="24">
        <v>-3.8</v>
      </c>
      <c r="K552" s="21"/>
      <c r="L552" s="21"/>
    </row>
    <row r="553" spans="1:12" ht="17.25" customHeight="1" x14ac:dyDescent="0.2">
      <c r="A553" s="21">
        <v>552</v>
      </c>
      <c r="B553" s="22" t="s">
        <v>599</v>
      </c>
      <c r="C553" s="22" t="s">
        <v>211</v>
      </c>
      <c r="D553" s="21" t="s">
        <v>69</v>
      </c>
      <c r="E553" s="21"/>
      <c r="F553" s="21"/>
      <c r="G553" s="21"/>
      <c r="H553" s="21"/>
      <c r="I553" s="21">
        <v>50</v>
      </c>
      <c r="J553" s="24">
        <v>-3.9</v>
      </c>
      <c r="K553" s="21"/>
      <c r="L553" s="21"/>
    </row>
    <row r="554" spans="1:12" ht="17.25" customHeight="1" x14ac:dyDescent="0.2">
      <c r="A554" s="21">
        <v>553</v>
      </c>
      <c r="B554" s="22" t="s">
        <v>530</v>
      </c>
      <c r="C554" s="22" t="s">
        <v>15</v>
      </c>
      <c r="D554" s="21" t="s">
        <v>69</v>
      </c>
      <c r="E554" s="21"/>
      <c r="F554" s="23">
        <v>0.02</v>
      </c>
      <c r="G554" s="23">
        <v>0.02</v>
      </c>
      <c r="H554" s="21"/>
      <c r="I554" s="21">
        <v>65</v>
      </c>
      <c r="J554" s="24">
        <v>-3.9</v>
      </c>
      <c r="K554" s="21"/>
      <c r="L554" s="21"/>
    </row>
    <row r="555" spans="1:12" ht="17.25" customHeight="1" x14ac:dyDescent="0.2">
      <c r="A555" s="21">
        <v>554</v>
      </c>
      <c r="B555" s="22" t="s">
        <v>405</v>
      </c>
      <c r="C555" s="22" t="s">
        <v>32</v>
      </c>
      <c r="D555" s="21" t="s">
        <v>69</v>
      </c>
      <c r="E555" s="21"/>
      <c r="F555" s="21"/>
      <c r="G555" s="21"/>
      <c r="H555" s="21"/>
      <c r="I555" s="21">
        <v>60</v>
      </c>
      <c r="J555" s="24">
        <v>-4.2</v>
      </c>
      <c r="K555" s="21"/>
      <c r="L555" s="21"/>
    </row>
    <row r="556" spans="1:12" ht="17.25" customHeight="1" x14ac:dyDescent="0.2">
      <c r="A556" s="21">
        <v>555</v>
      </c>
      <c r="B556" s="22" t="s">
        <v>421</v>
      </c>
      <c r="C556" s="22" t="s">
        <v>36</v>
      </c>
      <c r="D556" s="21" t="s">
        <v>69</v>
      </c>
      <c r="E556" s="21"/>
      <c r="F556" s="21"/>
      <c r="G556" s="21"/>
      <c r="H556" s="21"/>
      <c r="I556" s="21">
        <v>68</v>
      </c>
      <c r="J556" s="24">
        <v>-4.2</v>
      </c>
      <c r="K556" s="21"/>
      <c r="L556" s="21"/>
    </row>
    <row r="557" spans="1:12" ht="17.25" customHeight="1" x14ac:dyDescent="0.2">
      <c r="A557" s="21">
        <v>556</v>
      </c>
      <c r="B557" s="22" t="s">
        <v>397</v>
      </c>
      <c r="C557" s="22" t="s">
        <v>18</v>
      </c>
      <c r="D557" s="21" t="s">
        <v>74</v>
      </c>
      <c r="E557" s="21"/>
      <c r="F557" s="21"/>
      <c r="G557" s="21"/>
      <c r="H557" s="21">
        <v>283</v>
      </c>
      <c r="I557" s="21"/>
      <c r="J557" s="24">
        <v>-4.2</v>
      </c>
      <c r="K557" s="21"/>
      <c r="L557" s="21"/>
    </row>
    <row r="558" spans="1:12" ht="17.25" customHeight="1" x14ac:dyDescent="0.2">
      <c r="A558" s="21">
        <v>557</v>
      </c>
      <c r="B558" s="22" t="s">
        <v>717</v>
      </c>
      <c r="C558" s="22" t="s">
        <v>66</v>
      </c>
      <c r="D558" s="21" t="s">
        <v>28</v>
      </c>
      <c r="E558" s="21"/>
      <c r="F558" s="21"/>
      <c r="G558" s="21"/>
      <c r="H558" s="21"/>
      <c r="I558" s="21">
        <v>133.1</v>
      </c>
      <c r="J558" s="24">
        <v>-4.3</v>
      </c>
      <c r="K558" s="21"/>
      <c r="L558" s="21"/>
    </row>
    <row r="559" spans="1:12" ht="17.25" customHeight="1" x14ac:dyDescent="0.2">
      <c r="A559" s="21">
        <v>558</v>
      </c>
      <c r="B559" s="22" t="s">
        <v>366</v>
      </c>
      <c r="C559" s="22" t="s">
        <v>48</v>
      </c>
      <c r="D559" s="21" t="s">
        <v>254</v>
      </c>
      <c r="E559" s="21"/>
      <c r="F559" s="21"/>
      <c r="G559" s="21"/>
      <c r="H559" s="21">
        <v>459</v>
      </c>
      <c r="I559" s="21"/>
      <c r="J559" s="24">
        <v>-4.3</v>
      </c>
      <c r="K559" s="21"/>
      <c r="L559" s="21"/>
    </row>
    <row r="560" spans="1:12" ht="17.25" customHeight="1" x14ac:dyDescent="0.2">
      <c r="A560" s="21">
        <v>559</v>
      </c>
      <c r="B560" s="22" t="s">
        <v>1487</v>
      </c>
      <c r="C560" s="22" t="s">
        <v>60</v>
      </c>
      <c r="D560" s="21" t="s">
        <v>28</v>
      </c>
      <c r="E560" s="21"/>
      <c r="F560" s="21"/>
      <c r="G560" s="21"/>
      <c r="H560" s="21"/>
      <c r="I560" s="21">
        <v>81</v>
      </c>
      <c r="J560" s="24">
        <v>-4.3</v>
      </c>
      <c r="K560" s="21"/>
      <c r="L560" s="21"/>
    </row>
    <row r="561" spans="1:12" ht="17.25" customHeight="1" x14ac:dyDescent="0.2">
      <c r="A561" s="21">
        <v>560</v>
      </c>
      <c r="B561" s="22" t="s">
        <v>1488</v>
      </c>
      <c r="C561" s="22" t="s">
        <v>21</v>
      </c>
      <c r="D561" s="21" t="s">
        <v>28</v>
      </c>
      <c r="E561" s="21"/>
      <c r="F561" s="21"/>
      <c r="G561" s="21"/>
      <c r="H561" s="21"/>
      <c r="I561" s="21">
        <v>88.1</v>
      </c>
      <c r="J561" s="24">
        <v>-4.4000000000000004</v>
      </c>
      <c r="K561" s="21"/>
      <c r="L561" s="21"/>
    </row>
    <row r="562" spans="1:12" ht="17.25" customHeight="1" x14ac:dyDescent="0.2">
      <c r="A562" s="21">
        <v>561</v>
      </c>
      <c r="B562" s="22" t="s">
        <v>277</v>
      </c>
      <c r="C562" s="22" t="s">
        <v>57</v>
      </c>
      <c r="D562" s="21" t="s">
        <v>74</v>
      </c>
      <c r="E562" s="21"/>
      <c r="F562" s="21"/>
      <c r="G562" s="21"/>
      <c r="H562" s="21">
        <v>332</v>
      </c>
      <c r="I562" s="21"/>
      <c r="J562" s="24">
        <v>-4.4000000000000004</v>
      </c>
      <c r="K562" s="21"/>
      <c r="L562" s="21"/>
    </row>
    <row r="563" spans="1:12" ht="17.25" customHeight="1" x14ac:dyDescent="0.2">
      <c r="A563" s="21">
        <v>562</v>
      </c>
      <c r="B563" s="22" t="s">
        <v>349</v>
      </c>
      <c r="C563" s="21"/>
      <c r="D563" s="21" t="s">
        <v>13</v>
      </c>
      <c r="E563" s="21"/>
      <c r="F563" s="21"/>
      <c r="G563" s="21"/>
      <c r="H563" s="21">
        <v>551</v>
      </c>
      <c r="I563" s="21"/>
      <c r="J563" s="24">
        <v>-4.4000000000000004</v>
      </c>
      <c r="K563" s="21"/>
      <c r="L563" s="21"/>
    </row>
    <row r="564" spans="1:12" ht="17.25" customHeight="1" x14ac:dyDescent="0.2">
      <c r="A564" s="21">
        <v>563</v>
      </c>
      <c r="B564" s="22" t="s">
        <v>456</v>
      </c>
      <c r="C564" s="21"/>
      <c r="D564" s="21" t="s">
        <v>25</v>
      </c>
      <c r="E564" s="21"/>
      <c r="F564" s="21"/>
      <c r="G564" s="21"/>
      <c r="H564" s="21">
        <v>449</v>
      </c>
      <c r="I564" s="21"/>
      <c r="J564" s="24">
        <v>-4.5</v>
      </c>
      <c r="K564" s="21"/>
      <c r="L564" s="21"/>
    </row>
    <row r="565" spans="1:12" ht="17.25" customHeight="1" x14ac:dyDescent="0.2">
      <c r="A565" s="21">
        <v>564</v>
      </c>
      <c r="B565" s="22" t="s">
        <v>1489</v>
      </c>
      <c r="C565" s="21"/>
      <c r="D565" s="21" t="s">
        <v>28</v>
      </c>
      <c r="E565" s="21"/>
      <c r="F565" s="21"/>
      <c r="G565" s="21"/>
      <c r="H565" s="21"/>
      <c r="I565" s="21">
        <v>6.1</v>
      </c>
      <c r="J565" s="24">
        <v>-4.5</v>
      </c>
      <c r="K565" s="21"/>
      <c r="L565" s="21"/>
    </row>
    <row r="566" spans="1:12" ht="17.25" customHeight="1" x14ac:dyDescent="0.2">
      <c r="A566" s="21">
        <v>565</v>
      </c>
      <c r="B566" s="22" t="s">
        <v>1490</v>
      </c>
      <c r="C566" s="22" t="s">
        <v>50</v>
      </c>
      <c r="D566" s="21" t="s">
        <v>69</v>
      </c>
      <c r="E566" s="21"/>
      <c r="F566" s="21"/>
      <c r="G566" s="21"/>
      <c r="H566" s="21"/>
      <c r="I566" s="21">
        <v>32</v>
      </c>
      <c r="J566" s="24">
        <v>-4.5999999999999996</v>
      </c>
      <c r="K566" s="21"/>
      <c r="L566" s="21"/>
    </row>
    <row r="567" spans="1:12" ht="17.25" customHeight="1" x14ac:dyDescent="0.2">
      <c r="A567" s="21">
        <v>566</v>
      </c>
      <c r="B567" s="22" t="s">
        <v>860</v>
      </c>
      <c r="C567" s="22" t="s">
        <v>18</v>
      </c>
      <c r="D567" s="21" t="s">
        <v>69</v>
      </c>
      <c r="E567" s="21"/>
      <c r="F567" s="21"/>
      <c r="G567" s="21"/>
      <c r="H567" s="21"/>
      <c r="I567" s="21">
        <v>56.1</v>
      </c>
      <c r="J567" s="24">
        <v>-4.5999999999999996</v>
      </c>
      <c r="K567" s="21"/>
      <c r="L567" s="21"/>
    </row>
    <row r="568" spans="1:12" ht="17.25" customHeight="1" x14ac:dyDescent="0.2">
      <c r="A568" s="21">
        <v>567</v>
      </c>
      <c r="B568" s="22" t="s">
        <v>482</v>
      </c>
      <c r="C568" s="22" t="s">
        <v>18</v>
      </c>
      <c r="D568" s="21" t="s">
        <v>28</v>
      </c>
      <c r="E568" s="21"/>
      <c r="F568" s="21"/>
      <c r="G568" s="21"/>
      <c r="H568" s="21"/>
      <c r="I568" s="21">
        <v>125</v>
      </c>
      <c r="J568" s="24">
        <v>-4.5999999999999996</v>
      </c>
      <c r="K568" s="21"/>
      <c r="L568" s="21"/>
    </row>
    <row r="569" spans="1:12" ht="17.25" customHeight="1" x14ac:dyDescent="0.2">
      <c r="A569" s="21">
        <v>568</v>
      </c>
      <c r="B569" s="22" t="s">
        <v>1491</v>
      </c>
      <c r="C569" s="21"/>
      <c r="D569" s="21" t="s">
        <v>28</v>
      </c>
      <c r="E569" s="21"/>
      <c r="F569" s="21"/>
      <c r="G569" s="21"/>
      <c r="H569" s="21"/>
      <c r="I569" s="21">
        <v>36</v>
      </c>
      <c r="J569" s="24">
        <v>-4.5999999999999996</v>
      </c>
      <c r="K569" s="21"/>
      <c r="L569" s="21"/>
    </row>
    <row r="570" spans="1:12" ht="17.25" customHeight="1" x14ac:dyDescent="0.2">
      <c r="A570" s="21">
        <v>569</v>
      </c>
      <c r="B570" s="22" t="s">
        <v>352</v>
      </c>
      <c r="C570" s="22" t="s">
        <v>12</v>
      </c>
      <c r="D570" s="21" t="s">
        <v>28</v>
      </c>
      <c r="E570" s="21"/>
      <c r="F570" s="21"/>
      <c r="G570" s="21"/>
      <c r="H570" s="21"/>
      <c r="I570" s="21">
        <v>42</v>
      </c>
      <c r="J570" s="24">
        <v>-4.5999999999999996</v>
      </c>
      <c r="K570" s="21"/>
      <c r="L570" s="21"/>
    </row>
    <row r="571" spans="1:12" ht="17.25" customHeight="1" x14ac:dyDescent="0.2">
      <c r="A571" s="21">
        <v>570</v>
      </c>
      <c r="B571" s="22" t="s">
        <v>928</v>
      </c>
      <c r="C571" s="22" t="s">
        <v>42</v>
      </c>
      <c r="D571" s="21" t="s">
        <v>25</v>
      </c>
      <c r="E571" s="21"/>
      <c r="F571" s="21"/>
      <c r="G571" s="21"/>
      <c r="H571" s="21">
        <v>299</v>
      </c>
      <c r="I571" s="21"/>
      <c r="J571" s="24">
        <v>-4.5999999999999996</v>
      </c>
      <c r="K571" s="21"/>
      <c r="L571" s="21"/>
    </row>
    <row r="572" spans="1:12" ht="17.25" customHeight="1" x14ac:dyDescent="0.2">
      <c r="A572" s="21">
        <v>571</v>
      </c>
      <c r="B572" s="22" t="s">
        <v>1492</v>
      </c>
      <c r="C572" s="22" t="s">
        <v>132</v>
      </c>
      <c r="D572" s="21" t="s">
        <v>28</v>
      </c>
      <c r="E572" s="21"/>
      <c r="F572" s="21"/>
      <c r="G572" s="21"/>
      <c r="H572" s="21"/>
      <c r="I572" s="21">
        <v>130.1</v>
      </c>
      <c r="J572" s="24">
        <v>-4.7</v>
      </c>
      <c r="K572" s="21"/>
      <c r="L572" s="21"/>
    </row>
    <row r="573" spans="1:12" ht="17.25" customHeight="1" x14ac:dyDescent="0.2">
      <c r="A573" s="21">
        <v>572</v>
      </c>
      <c r="B573" s="22" t="s">
        <v>1123</v>
      </c>
      <c r="C573" s="22" t="s">
        <v>27</v>
      </c>
      <c r="D573" s="21" t="s">
        <v>28</v>
      </c>
      <c r="E573" s="21"/>
      <c r="F573" s="21"/>
      <c r="G573" s="21"/>
      <c r="H573" s="21"/>
      <c r="I573" s="21">
        <v>49</v>
      </c>
      <c r="J573" s="24">
        <v>-4.7</v>
      </c>
      <c r="K573" s="21"/>
      <c r="L573" s="21"/>
    </row>
    <row r="574" spans="1:12" ht="17.25" customHeight="1" x14ac:dyDescent="0.2">
      <c r="A574" s="21">
        <v>573</v>
      </c>
      <c r="B574" s="22" t="s">
        <v>484</v>
      </c>
      <c r="C574" s="22" t="s">
        <v>39</v>
      </c>
      <c r="D574" s="21" t="s">
        <v>238</v>
      </c>
      <c r="E574" s="21"/>
      <c r="F574" s="21"/>
      <c r="G574" s="21"/>
      <c r="H574" s="21"/>
      <c r="I574" s="21">
        <v>35.1</v>
      </c>
      <c r="J574" s="24">
        <v>-4.7</v>
      </c>
      <c r="K574" s="21"/>
      <c r="L574" s="21"/>
    </row>
    <row r="575" spans="1:12" ht="17.25" customHeight="1" x14ac:dyDescent="0.2">
      <c r="A575" s="21">
        <v>574</v>
      </c>
      <c r="B575" s="22" t="s">
        <v>1493</v>
      </c>
      <c r="C575" s="22" t="s">
        <v>117</v>
      </c>
      <c r="D575" s="21" t="s">
        <v>69</v>
      </c>
      <c r="E575" s="21"/>
      <c r="F575" s="21"/>
      <c r="G575" s="21"/>
      <c r="H575" s="21"/>
      <c r="I575" s="21">
        <v>49.1</v>
      </c>
      <c r="J575" s="24">
        <v>-4.9000000000000004</v>
      </c>
      <c r="K575" s="21"/>
      <c r="L575" s="21"/>
    </row>
    <row r="576" spans="1:12" ht="17.25" customHeight="1" x14ac:dyDescent="0.2">
      <c r="A576" s="21">
        <v>575</v>
      </c>
      <c r="B576" s="22" t="s">
        <v>508</v>
      </c>
      <c r="C576" s="22" t="s">
        <v>66</v>
      </c>
      <c r="D576" s="21" t="s">
        <v>82</v>
      </c>
      <c r="E576" s="21"/>
      <c r="F576" s="21"/>
      <c r="G576" s="21"/>
      <c r="H576" s="21">
        <v>490</v>
      </c>
      <c r="I576" s="21"/>
      <c r="J576" s="24">
        <v>-4.9000000000000004</v>
      </c>
      <c r="K576" s="21"/>
      <c r="L576" s="21"/>
    </row>
    <row r="577" spans="1:12" ht="17.25" customHeight="1" x14ac:dyDescent="0.2">
      <c r="A577" s="21">
        <v>576</v>
      </c>
      <c r="B577" s="22" t="s">
        <v>190</v>
      </c>
      <c r="C577" s="22" t="s">
        <v>24</v>
      </c>
      <c r="D577" s="21" t="s">
        <v>238</v>
      </c>
      <c r="E577" s="21"/>
      <c r="F577" s="21"/>
      <c r="G577" s="21"/>
      <c r="H577" s="21"/>
      <c r="I577" s="21">
        <v>50.1</v>
      </c>
      <c r="J577" s="24">
        <v>-5</v>
      </c>
      <c r="K577" s="21"/>
      <c r="L577" s="21"/>
    </row>
    <row r="578" spans="1:12" ht="17.25" customHeight="1" x14ac:dyDescent="0.2">
      <c r="A578" s="21">
        <v>577</v>
      </c>
      <c r="B578" s="22" t="s">
        <v>737</v>
      </c>
      <c r="C578" s="22" t="s">
        <v>46</v>
      </c>
      <c r="D578" s="21" t="s">
        <v>74</v>
      </c>
      <c r="E578" s="21"/>
      <c r="F578" s="21"/>
      <c r="G578" s="21"/>
      <c r="H578" s="21">
        <v>110</v>
      </c>
      <c r="I578" s="21"/>
      <c r="J578" s="24">
        <v>-5</v>
      </c>
      <c r="K578" s="21"/>
      <c r="L578" s="21"/>
    </row>
    <row r="579" spans="1:12" ht="17.25" customHeight="1" x14ac:dyDescent="0.2">
      <c r="A579" s="21">
        <v>578</v>
      </c>
      <c r="B579" s="22" t="s">
        <v>833</v>
      </c>
      <c r="C579" s="22" t="s">
        <v>52</v>
      </c>
      <c r="D579" s="21" t="s">
        <v>25</v>
      </c>
      <c r="E579" s="21"/>
      <c r="F579" s="21"/>
      <c r="G579" s="21"/>
      <c r="H579" s="21">
        <v>469</v>
      </c>
      <c r="I579" s="21"/>
      <c r="J579" s="24">
        <v>-5</v>
      </c>
      <c r="K579" s="21"/>
      <c r="L579" s="21"/>
    </row>
    <row r="580" spans="1:12" ht="17.25" customHeight="1" x14ac:dyDescent="0.2">
      <c r="A580" s="21">
        <v>579</v>
      </c>
      <c r="B580" s="22" t="s">
        <v>1494</v>
      </c>
      <c r="C580" s="22" t="s">
        <v>66</v>
      </c>
      <c r="D580" s="21" t="s">
        <v>238</v>
      </c>
      <c r="E580" s="21"/>
      <c r="F580" s="21"/>
      <c r="G580" s="21"/>
      <c r="H580" s="21"/>
      <c r="I580" s="21">
        <v>43</v>
      </c>
      <c r="J580" s="24">
        <v>-5</v>
      </c>
      <c r="K580" s="21"/>
      <c r="L580" s="21"/>
    </row>
    <row r="581" spans="1:12" ht="17.25" customHeight="1" x14ac:dyDescent="0.2">
      <c r="A581" s="21">
        <v>580</v>
      </c>
      <c r="B581" s="22" t="s">
        <v>640</v>
      </c>
      <c r="C581" s="22" t="s">
        <v>39</v>
      </c>
      <c r="D581" s="21" t="s">
        <v>74</v>
      </c>
      <c r="E581" s="21"/>
      <c r="F581" s="21"/>
      <c r="G581" s="21"/>
      <c r="H581" s="21">
        <v>140</v>
      </c>
      <c r="I581" s="21"/>
      <c r="J581" s="24">
        <v>-5.0999999999999996</v>
      </c>
      <c r="K581" s="21"/>
      <c r="L581" s="21"/>
    </row>
    <row r="582" spans="1:12" ht="17.25" customHeight="1" x14ac:dyDescent="0.2">
      <c r="A582" s="21">
        <v>581</v>
      </c>
      <c r="B582" s="22" t="s">
        <v>1495</v>
      </c>
      <c r="C582" s="22" t="s">
        <v>39</v>
      </c>
      <c r="D582" s="21" t="s">
        <v>28</v>
      </c>
      <c r="E582" s="21"/>
      <c r="F582" s="23">
        <v>0.02</v>
      </c>
      <c r="G582" s="23">
        <v>0</v>
      </c>
      <c r="H582" s="21"/>
      <c r="I582" s="21">
        <v>5.0999999999999996</v>
      </c>
      <c r="J582" s="24">
        <v>-5.0999999999999996</v>
      </c>
      <c r="K582" s="21"/>
      <c r="L582" s="21"/>
    </row>
    <row r="583" spans="1:12" ht="17.25" customHeight="1" x14ac:dyDescent="0.2">
      <c r="A583" s="21">
        <v>582</v>
      </c>
      <c r="B583" s="22" t="s">
        <v>444</v>
      </c>
      <c r="C583" s="21"/>
      <c r="D583" s="21" t="s">
        <v>28</v>
      </c>
      <c r="E583" s="21"/>
      <c r="F583" s="21"/>
      <c r="G583" s="21"/>
      <c r="H583" s="21"/>
      <c r="I583" s="21">
        <v>85</v>
      </c>
      <c r="J583" s="24">
        <v>-5.2</v>
      </c>
      <c r="K583" s="21"/>
      <c r="L583" s="21"/>
    </row>
    <row r="584" spans="1:12" ht="17.25" customHeight="1" x14ac:dyDescent="0.2">
      <c r="A584" s="21">
        <v>583</v>
      </c>
      <c r="B584" s="22" t="s">
        <v>1496</v>
      </c>
      <c r="C584" s="22" t="s">
        <v>34</v>
      </c>
      <c r="D584" s="21" t="s">
        <v>69</v>
      </c>
      <c r="E584" s="21"/>
      <c r="F584" s="21"/>
      <c r="G584" s="21"/>
      <c r="H584" s="21"/>
      <c r="I584" s="21">
        <v>25</v>
      </c>
      <c r="J584" s="24">
        <v>-5.2</v>
      </c>
      <c r="K584" s="21"/>
      <c r="L584" s="21"/>
    </row>
    <row r="585" spans="1:12" ht="17.25" customHeight="1" x14ac:dyDescent="0.2">
      <c r="A585" s="21">
        <v>584</v>
      </c>
      <c r="B585" s="22" t="s">
        <v>834</v>
      </c>
      <c r="C585" s="22" t="s">
        <v>21</v>
      </c>
      <c r="D585" s="21" t="s">
        <v>201</v>
      </c>
      <c r="E585" s="21"/>
      <c r="F585" s="21"/>
      <c r="G585" s="21"/>
      <c r="H585" s="21">
        <v>484</v>
      </c>
      <c r="I585" s="21"/>
      <c r="J585" s="24">
        <v>-5.2</v>
      </c>
      <c r="K585" s="21"/>
      <c r="L585" s="21"/>
    </row>
    <row r="586" spans="1:12" ht="17.25" customHeight="1" x14ac:dyDescent="0.2">
      <c r="A586" s="21">
        <v>585</v>
      </c>
      <c r="B586" s="22" t="s">
        <v>1827</v>
      </c>
      <c r="C586" s="22" t="s">
        <v>211</v>
      </c>
      <c r="D586" s="21" t="s">
        <v>16</v>
      </c>
      <c r="E586" s="21"/>
      <c r="F586" s="21"/>
      <c r="G586" s="21"/>
      <c r="H586" s="21">
        <v>294</v>
      </c>
      <c r="I586" s="21"/>
      <c r="J586" s="24">
        <v>-5.3</v>
      </c>
      <c r="K586" s="21"/>
      <c r="L586" s="21"/>
    </row>
    <row r="587" spans="1:12" ht="17.25" customHeight="1" x14ac:dyDescent="0.2">
      <c r="A587" s="21">
        <v>586</v>
      </c>
      <c r="B587" s="22" t="s">
        <v>310</v>
      </c>
      <c r="C587" s="22" t="s">
        <v>89</v>
      </c>
      <c r="D587" s="21" t="s">
        <v>28</v>
      </c>
      <c r="E587" s="21"/>
      <c r="F587" s="21"/>
      <c r="G587" s="21"/>
      <c r="H587" s="21"/>
      <c r="I587" s="21">
        <v>141.1</v>
      </c>
      <c r="J587" s="24">
        <v>-5.3</v>
      </c>
      <c r="K587" s="21"/>
      <c r="L587" s="21"/>
    </row>
    <row r="588" spans="1:12" ht="17.25" customHeight="1" x14ac:dyDescent="0.2">
      <c r="A588" s="21">
        <v>587</v>
      </c>
      <c r="B588" s="22" t="s">
        <v>533</v>
      </c>
      <c r="C588" s="22" t="s">
        <v>125</v>
      </c>
      <c r="D588" s="21" t="s">
        <v>28</v>
      </c>
      <c r="E588" s="21"/>
      <c r="F588" s="21"/>
      <c r="G588" s="21"/>
      <c r="H588" s="21"/>
      <c r="I588" s="21">
        <v>53</v>
      </c>
      <c r="J588" s="24">
        <v>-5.3</v>
      </c>
      <c r="K588" s="21"/>
      <c r="L588" s="21"/>
    </row>
    <row r="589" spans="1:12" ht="17.25" customHeight="1" x14ac:dyDescent="0.2">
      <c r="A589" s="21">
        <v>588</v>
      </c>
      <c r="B589" s="22" t="s">
        <v>442</v>
      </c>
      <c r="C589" s="22" t="s">
        <v>46</v>
      </c>
      <c r="D589" s="21" t="s">
        <v>28</v>
      </c>
      <c r="E589" s="21"/>
      <c r="F589" s="21"/>
      <c r="G589" s="21"/>
      <c r="H589" s="21"/>
      <c r="I589" s="21">
        <v>102</v>
      </c>
      <c r="J589" s="24">
        <v>-5.4</v>
      </c>
      <c r="K589" s="21"/>
      <c r="L589" s="21"/>
    </row>
    <row r="590" spans="1:12" ht="17.25" customHeight="1" x14ac:dyDescent="0.2">
      <c r="A590" s="21">
        <v>589</v>
      </c>
      <c r="B590" s="22" t="s">
        <v>486</v>
      </c>
      <c r="C590" s="22" t="s">
        <v>34</v>
      </c>
      <c r="D590" s="21" t="s">
        <v>74</v>
      </c>
      <c r="E590" s="21"/>
      <c r="F590" s="21"/>
      <c r="G590" s="21"/>
      <c r="H590" s="21">
        <v>302</v>
      </c>
      <c r="I590" s="21"/>
      <c r="J590" s="24">
        <v>-5.4</v>
      </c>
      <c r="K590" s="21"/>
      <c r="L590" s="21"/>
    </row>
    <row r="591" spans="1:12" ht="17.25" customHeight="1" x14ac:dyDescent="0.2">
      <c r="A591" s="21">
        <v>590</v>
      </c>
      <c r="B591" s="22" t="s">
        <v>423</v>
      </c>
      <c r="C591" s="22" t="s">
        <v>27</v>
      </c>
      <c r="D591" s="21" t="s">
        <v>69</v>
      </c>
      <c r="E591" s="21"/>
      <c r="F591" s="21"/>
      <c r="G591" s="21"/>
      <c r="H591" s="21"/>
      <c r="I591" s="21">
        <v>63</v>
      </c>
      <c r="J591" s="24">
        <v>-5.4</v>
      </c>
      <c r="K591" s="21"/>
      <c r="L591" s="21"/>
    </row>
    <row r="592" spans="1:12" ht="17.25" customHeight="1" x14ac:dyDescent="0.2">
      <c r="A592" s="21">
        <v>591</v>
      </c>
      <c r="B592" s="22" t="s">
        <v>1497</v>
      </c>
      <c r="C592" s="22" t="s">
        <v>55</v>
      </c>
      <c r="D592" s="21" t="s">
        <v>28</v>
      </c>
      <c r="E592" s="21"/>
      <c r="F592" s="21"/>
      <c r="G592" s="21"/>
      <c r="H592" s="21"/>
      <c r="I592" s="21">
        <v>23</v>
      </c>
      <c r="J592" s="24">
        <v>-5.4</v>
      </c>
      <c r="K592" s="21"/>
      <c r="L592" s="21"/>
    </row>
    <row r="593" spans="1:12" ht="17.25" customHeight="1" x14ac:dyDescent="0.2">
      <c r="A593" s="21">
        <v>592</v>
      </c>
      <c r="B593" s="22" t="s">
        <v>1498</v>
      </c>
      <c r="C593" s="22" t="s">
        <v>39</v>
      </c>
      <c r="D593" s="21" t="s">
        <v>28</v>
      </c>
      <c r="E593" s="21"/>
      <c r="F593" s="21"/>
      <c r="G593" s="21"/>
      <c r="H593" s="21"/>
      <c r="I593" s="21">
        <v>20.100000000000001</v>
      </c>
      <c r="J593" s="24">
        <v>-5.5</v>
      </c>
      <c r="K593" s="21"/>
      <c r="L593" s="21"/>
    </row>
    <row r="594" spans="1:12" ht="17.25" customHeight="1" x14ac:dyDescent="0.2">
      <c r="A594" s="21">
        <v>593</v>
      </c>
      <c r="B594" s="22" t="s">
        <v>529</v>
      </c>
      <c r="C594" s="22" t="s">
        <v>27</v>
      </c>
      <c r="D594" s="21" t="s">
        <v>28</v>
      </c>
      <c r="E594" s="21"/>
      <c r="F594" s="21"/>
      <c r="G594" s="21"/>
      <c r="H594" s="21"/>
      <c r="I594" s="21">
        <v>90.1</v>
      </c>
      <c r="J594" s="24">
        <v>-5.5</v>
      </c>
      <c r="K594" s="21"/>
      <c r="L594" s="21"/>
    </row>
    <row r="595" spans="1:12" ht="17.25" customHeight="1" x14ac:dyDescent="0.2">
      <c r="A595" s="21">
        <v>594</v>
      </c>
      <c r="B595" s="22" t="s">
        <v>1499</v>
      </c>
      <c r="C595" s="22" t="s">
        <v>115</v>
      </c>
      <c r="D595" s="21" t="s">
        <v>28</v>
      </c>
      <c r="E595" s="21"/>
      <c r="F595" s="21"/>
      <c r="G595" s="21"/>
      <c r="H595" s="21"/>
      <c r="I595" s="21">
        <v>45</v>
      </c>
      <c r="J595" s="24">
        <v>-5.5</v>
      </c>
      <c r="K595" s="21"/>
      <c r="L595" s="21"/>
    </row>
    <row r="596" spans="1:12" ht="17.25" customHeight="1" x14ac:dyDescent="0.2">
      <c r="A596" s="21">
        <v>595</v>
      </c>
      <c r="B596" s="22" t="s">
        <v>1500</v>
      </c>
      <c r="C596" s="22" t="s">
        <v>89</v>
      </c>
      <c r="D596" s="21" t="s">
        <v>69</v>
      </c>
      <c r="E596" s="21"/>
      <c r="F596" s="21"/>
      <c r="G596" s="21"/>
      <c r="H596" s="21"/>
      <c r="I596" s="21">
        <v>83</v>
      </c>
      <c r="J596" s="24">
        <v>-5.6</v>
      </c>
      <c r="K596" s="21"/>
      <c r="L596" s="21"/>
    </row>
    <row r="597" spans="1:12" ht="17.25" customHeight="1" x14ac:dyDescent="0.2">
      <c r="A597" s="21">
        <v>596</v>
      </c>
      <c r="B597" s="22" t="s">
        <v>697</v>
      </c>
      <c r="C597" s="22" t="s">
        <v>36</v>
      </c>
      <c r="D597" s="21" t="s">
        <v>69</v>
      </c>
      <c r="E597" s="21"/>
      <c r="F597" s="21"/>
      <c r="G597" s="21"/>
      <c r="H597" s="21"/>
      <c r="I597" s="21">
        <v>72.099999999999994</v>
      </c>
      <c r="J597" s="24">
        <v>-5.6</v>
      </c>
      <c r="K597" s="21"/>
      <c r="L597" s="21"/>
    </row>
    <row r="598" spans="1:12" ht="17.25" customHeight="1" x14ac:dyDescent="0.2">
      <c r="A598" s="21">
        <v>597</v>
      </c>
      <c r="B598" s="22" t="s">
        <v>367</v>
      </c>
      <c r="C598" s="22" t="s">
        <v>66</v>
      </c>
      <c r="D598" s="21" t="s">
        <v>28</v>
      </c>
      <c r="E598" s="21"/>
      <c r="F598" s="21"/>
      <c r="G598" s="21"/>
      <c r="H598" s="21"/>
      <c r="I598" s="21">
        <v>135.1</v>
      </c>
      <c r="J598" s="24">
        <v>-5.6</v>
      </c>
      <c r="K598" s="21"/>
      <c r="L598" s="21"/>
    </row>
    <row r="599" spans="1:12" ht="17.25" customHeight="1" x14ac:dyDescent="0.2">
      <c r="A599" s="21">
        <v>598</v>
      </c>
      <c r="B599" s="22" t="s">
        <v>1501</v>
      </c>
      <c r="C599" s="22" t="s">
        <v>232</v>
      </c>
      <c r="D599" s="21" t="s">
        <v>69</v>
      </c>
      <c r="E599" s="21"/>
      <c r="F599" s="21"/>
      <c r="G599" s="21"/>
      <c r="H599" s="21"/>
      <c r="I599" s="21">
        <v>68.099999999999994</v>
      </c>
      <c r="J599" s="24">
        <v>-5.6</v>
      </c>
      <c r="K599" s="21"/>
      <c r="L599" s="21"/>
    </row>
    <row r="600" spans="1:12" ht="17.25" customHeight="1" x14ac:dyDescent="0.2">
      <c r="A600" s="21">
        <v>599</v>
      </c>
      <c r="B600" s="22" t="s">
        <v>1502</v>
      </c>
      <c r="C600" s="22" t="s">
        <v>34</v>
      </c>
      <c r="D600" s="21" t="s">
        <v>69</v>
      </c>
      <c r="E600" s="21"/>
      <c r="F600" s="21"/>
      <c r="G600" s="21"/>
      <c r="H600" s="21"/>
      <c r="I600" s="21">
        <v>61.1</v>
      </c>
      <c r="J600" s="24">
        <v>-5.6</v>
      </c>
      <c r="K600" s="21"/>
      <c r="L600" s="21"/>
    </row>
    <row r="601" spans="1:12" ht="17.25" customHeight="1" x14ac:dyDescent="0.2">
      <c r="A601" s="21">
        <v>600</v>
      </c>
      <c r="B601" s="22" t="s">
        <v>574</v>
      </c>
      <c r="C601" s="22" t="s">
        <v>42</v>
      </c>
      <c r="D601" s="21" t="s">
        <v>69</v>
      </c>
      <c r="E601" s="21"/>
      <c r="F601" s="21"/>
      <c r="G601" s="21"/>
      <c r="H601" s="21"/>
      <c r="I601" s="21">
        <v>73</v>
      </c>
      <c r="J601" s="24">
        <v>-5.7</v>
      </c>
      <c r="K601" s="21"/>
      <c r="L601" s="21"/>
    </row>
    <row r="602" spans="1:12" ht="17.25" customHeight="1" x14ac:dyDescent="0.2">
      <c r="A602" s="21">
        <v>601</v>
      </c>
      <c r="B602" s="22" t="s">
        <v>1503</v>
      </c>
      <c r="C602" s="22" t="s">
        <v>89</v>
      </c>
      <c r="D602" s="21" t="s">
        <v>28</v>
      </c>
      <c r="E602" s="21"/>
      <c r="F602" s="21"/>
      <c r="G602" s="21"/>
      <c r="H602" s="21"/>
      <c r="I602" s="21">
        <v>157</v>
      </c>
      <c r="J602" s="24">
        <v>-5.7</v>
      </c>
      <c r="K602" s="21"/>
      <c r="L602" s="21"/>
    </row>
    <row r="603" spans="1:12" ht="17.25" customHeight="1" x14ac:dyDescent="0.2">
      <c r="A603" s="21">
        <v>602</v>
      </c>
      <c r="B603" s="22" t="s">
        <v>644</v>
      </c>
      <c r="C603" s="22" t="s">
        <v>34</v>
      </c>
      <c r="D603" s="21" t="s">
        <v>87</v>
      </c>
      <c r="E603" s="21"/>
      <c r="F603" s="21"/>
      <c r="G603" s="21"/>
      <c r="H603" s="21">
        <v>570</v>
      </c>
      <c r="I603" s="21"/>
      <c r="J603" s="24">
        <v>-5.8</v>
      </c>
      <c r="K603" s="21"/>
      <c r="L603" s="21"/>
    </row>
    <row r="604" spans="1:12" ht="17.25" customHeight="1" x14ac:dyDescent="0.2">
      <c r="A604" s="21">
        <v>603</v>
      </c>
      <c r="B604" s="22" t="s">
        <v>1504</v>
      </c>
      <c r="C604" s="22" t="s">
        <v>50</v>
      </c>
      <c r="D604" s="21" t="s">
        <v>28</v>
      </c>
      <c r="E604" s="21"/>
      <c r="F604" s="21"/>
      <c r="G604" s="21"/>
      <c r="H604" s="21"/>
      <c r="I604" s="21">
        <v>77</v>
      </c>
      <c r="J604" s="24">
        <v>-5.9</v>
      </c>
      <c r="K604" s="21"/>
      <c r="L604" s="21"/>
    </row>
    <row r="605" spans="1:12" ht="17.25" customHeight="1" x14ac:dyDescent="0.2">
      <c r="A605" s="21">
        <v>604</v>
      </c>
      <c r="B605" s="22" t="s">
        <v>1505</v>
      </c>
      <c r="C605" s="22" t="s">
        <v>34</v>
      </c>
      <c r="D605" s="21" t="s">
        <v>28</v>
      </c>
      <c r="E605" s="21"/>
      <c r="F605" s="21"/>
      <c r="G605" s="21"/>
      <c r="H605" s="21"/>
      <c r="I605" s="21">
        <v>10</v>
      </c>
      <c r="J605" s="24">
        <v>-6</v>
      </c>
      <c r="K605" s="21"/>
      <c r="L605" s="21"/>
    </row>
    <row r="606" spans="1:12" ht="17.25" customHeight="1" x14ac:dyDescent="0.2">
      <c r="A606" s="21">
        <v>605</v>
      </c>
      <c r="B606" s="22" t="s">
        <v>631</v>
      </c>
      <c r="C606" s="22" t="s">
        <v>24</v>
      </c>
      <c r="D606" s="21" t="s">
        <v>74</v>
      </c>
      <c r="E606" s="21"/>
      <c r="F606" s="21"/>
      <c r="G606" s="21"/>
      <c r="H606" s="21">
        <v>283</v>
      </c>
      <c r="I606" s="21"/>
      <c r="J606" s="24">
        <v>-6</v>
      </c>
      <c r="K606" s="21"/>
      <c r="L606" s="21"/>
    </row>
    <row r="607" spans="1:12" ht="17.25" customHeight="1" x14ac:dyDescent="0.2">
      <c r="A607" s="21">
        <v>606</v>
      </c>
      <c r="B607" s="22" t="s">
        <v>590</v>
      </c>
      <c r="C607" s="22" t="s">
        <v>125</v>
      </c>
      <c r="D607" s="21" t="s">
        <v>69</v>
      </c>
      <c r="E607" s="21"/>
      <c r="F607" s="21"/>
      <c r="G607" s="21"/>
      <c r="H607" s="21"/>
      <c r="I607" s="21">
        <v>65</v>
      </c>
      <c r="J607" s="24">
        <v>-6</v>
      </c>
      <c r="K607" s="21"/>
      <c r="L607" s="21"/>
    </row>
    <row r="608" spans="1:12" ht="17.25" customHeight="1" x14ac:dyDescent="0.2">
      <c r="A608" s="21">
        <v>607</v>
      </c>
      <c r="B608" s="22" t="s">
        <v>1506</v>
      </c>
      <c r="C608" s="22" t="s">
        <v>52</v>
      </c>
      <c r="D608" s="21" t="s">
        <v>69</v>
      </c>
      <c r="E608" s="21"/>
      <c r="F608" s="21"/>
      <c r="G608" s="21"/>
      <c r="H608" s="21"/>
      <c r="I608" s="21">
        <v>55</v>
      </c>
      <c r="J608" s="24">
        <v>-6</v>
      </c>
      <c r="K608" s="21"/>
      <c r="L608" s="21"/>
    </row>
    <row r="609" spans="1:12" ht="17.25" customHeight="1" x14ac:dyDescent="0.2">
      <c r="A609" s="21">
        <v>608</v>
      </c>
      <c r="B609" s="22" t="s">
        <v>597</v>
      </c>
      <c r="C609" s="22" t="s">
        <v>211</v>
      </c>
      <c r="D609" s="21" t="s">
        <v>69</v>
      </c>
      <c r="E609" s="21"/>
      <c r="F609" s="21"/>
      <c r="G609" s="21"/>
      <c r="H609" s="21"/>
      <c r="I609" s="21">
        <v>77.099999999999994</v>
      </c>
      <c r="J609" s="24">
        <v>-6</v>
      </c>
      <c r="K609" s="21"/>
      <c r="L609" s="21"/>
    </row>
    <row r="610" spans="1:12" ht="17.25" customHeight="1" x14ac:dyDescent="0.2">
      <c r="A610" s="21">
        <v>609</v>
      </c>
      <c r="B610" s="22" t="s">
        <v>445</v>
      </c>
      <c r="C610" s="22" t="s">
        <v>52</v>
      </c>
      <c r="D610" s="21" t="s">
        <v>74</v>
      </c>
      <c r="E610" s="21"/>
      <c r="F610" s="21"/>
      <c r="G610" s="21"/>
      <c r="H610" s="21">
        <v>137</v>
      </c>
      <c r="I610" s="21"/>
      <c r="J610" s="24">
        <v>-6</v>
      </c>
      <c r="K610" s="21"/>
      <c r="L610" s="21"/>
    </row>
    <row r="611" spans="1:12" ht="17.25" customHeight="1" x14ac:dyDescent="0.2">
      <c r="A611" s="21">
        <v>610</v>
      </c>
      <c r="B611" s="22" t="s">
        <v>265</v>
      </c>
      <c r="C611" s="22" t="s">
        <v>52</v>
      </c>
      <c r="D611" s="21" t="s">
        <v>82</v>
      </c>
      <c r="E611" s="21"/>
      <c r="F611" s="21"/>
      <c r="G611" s="21"/>
      <c r="H611" s="21">
        <v>474</v>
      </c>
      <c r="I611" s="21"/>
      <c r="J611" s="24">
        <v>-6</v>
      </c>
      <c r="K611" s="21"/>
      <c r="L611" s="21"/>
    </row>
    <row r="612" spans="1:12" ht="17.25" customHeight="1" x14ac:dyDescent="0.2">
      <c r="A612" s="21">
        <v>611</v>
      </c>
      <c r="B612" s="22" t="s">
        <v>870</v>
      </c>
      <c r="C612" s="22" t="s">
        <v>36</v>
      </c>
      <c r="D612" s="21" t="s">
        <v>25</v>
      </c>
      <c r="E612" s="21"/>
      <c r="F612" s="21"/>
      <c r="G612" s="21"/>
      <c r="H612" s="21">
        <v>271</v>
      </c>
      <c r="I612" s="21"/>
      <c r="J612" s="24">
        <v>-6.1</v>
      </c>
      <c r="K612" s="21"/>
      <c r="L612" s="21"/>
    </row>
    <row r="613" spans="1:12" ht="17.25" customHeight="1" x14ac:dyDescent="0.2">
      <c r="A613" s="21">
        <v>612</v>
      </c>
      <c r="B613" s="22" t="s">
        <v>1507</v>
      </c>
      <c r="C613" s="22" t="s">
        <v>115</v>
      </c>
      <c r="D613" s="21" t="s">
        <v>28</v>
      </c>
      <c r="E613" s="21"/>
      <c r="F613" s="21"/>
      <c r="G613" s="21"/>
      <c r="H613" s="21"/>
      <c r="I613" s="21">
        <v>6</v>
      </c>
      <c r="J613" s="24">
        <v>-6.1</v>
      </c>
      <c r="K613" s="21"/>
      <c r="L613" s="21"/>
    </row>
    <row r="614" spans="1:12" ht="17.25" customHeight="1" x14ac:dyDescent="0.2">
      <c r="A614" s="21">
        <v>613</v>
      </c>
      <c r="B614" s="22" t="s">
        <v>959</v>
      </c>
      <c r="C614" s="21"/>
      <c r="D614" s="21" t="s">
        <v>28</v>
      </c>
      <c r="E614" s="21"/>
      <c r="F614" s="21"/>
      <c r="G614" s="21"/>
      <c r="H614" s="21"/>
      <c r="I614" s="21">
        <v>155</v>
      </c>
      <c r="J614" s="24">
        <v>-6.1</v>
      </c>
      <c r="K614" s="21"/>
      <c r="L614" s="21"/>
    </row>
    <row r="615" spans="1:12" ht="17.25" customHeight="1" x14ac:dyDescent="0.2">
      <c r="A615" s="21">
        <v>614</v>
      </c>
      <c r="B615" s="22" t="s">
        <v>1508</v>
      </c>
      <c r="C615" s="21"/>
      <c r="D615" s="21" t="s">
        <v>28</v>
      </c>
      <c r="E615" s="21"/>
      <c r="F615" s="21"/>
      <c r="G615" s="21"/>
      <c r="H615" s="21"/>
      <c r="I615" s="21">
        <v>24</v>
      </c>
      <c r="J615" s="24">
        <v>-6.1</v>
      </c>
      <c r="K615" s="21"/>
      <c r="L615" s="21"/>
    </row>
    <row r="616" spans="1:12" ht="17.25" customHeight="1" x14ac:dyDescent="0.2">
      <c r="A616" s="21">
        <v>615</v>
      </c>
      <c r="B616" s="22" t="s">
        <v>724</v>
      </c>
      <c r="C616" s="22" t="s">
        <v>21</v>
      </c>
      <c r="D616" s="21" t="s">
        <v>28</v>
      </c>
      <c r="E616" s="21"/>
      <c r="F616" s="21"/>
      <c r="G616" s="21"/>
      <c r="H616" s="21"/>
      <c r="I616" s="21">
        <v>156.1</v>
      </c>
      <c r="J616" s="24">
        <v>-6.2</v>
      </c>
      <c r="K616" s="21"/>
      <c r="L616" s="21"/>
    </row>
    <row r="617" spans="1:12" ht="17.25" customHeight="1" x14ac:dyDescent="0.2">
      <c r="A617" s="21">
        <v>616</v>
      </c>
      <c r="B617" s="22" t="s">
        <v>507</v>
      </c>
      <c r="C617" s="22" t="s">
        <v>24</v>
      </c>
      <c r="D617" s="21" t="s">
        <v>25</v>
      </c>
      <c r="E617" s="21"/>
      <c r="F617" s="21"/>
      <c r="G617" s="21"/>
      <c r="H617" s="21">
        <v>385</v>
      </c>
      <c r="I617" s="21"/>
      <c r="J617" s="24">
        <v>-6.2</v>
      </c>
      <c r="K617" s="21"/>
      <c r="L617" s="21"/>
    </row>
    <row r="618" spans="1:12" ht="17.25" customHeight="1" x14ac:dyDescent="0.2">
      <c r="A618" s="21">
        <v>617</v>
      </c>
      <c r="B618" s="22" t="s">
        <v>1509</v>
      </c>
      <c r="C618" s="22" t="s">
        <v>24</v>
      </c>
      <c r="D618" s="21" t="s">
        <v>69</v>
      </c>
      <c r="E618" s="21"/>
      <c r="F618" s="21"/>
      <c r="G618" s="21"/>
      <c r="H618" s="21"/>
      <c r="I618" s="21">
        <v>25.1</v>
      </c>
      <c r="J618" s="24">
        <v>-6.2</v>
      </c>
      <c r="K618" s="21"/>
      <c r="L618" s="21"/>
    </row>
    <row r="619" spans="1:12" ht="17.25" customHeight="1" x14ac:dyDescent="0.2">
      <c r="A619" s="21">
        <v>618</v>
      </c>
      <c r="B619" s="22" t="s">
        <v>622</v>
      </c>
      <c r="C619" s="21"/>
      <c r="D619" s="21" t="s">
        <v>69</v>
      </c>
      <c r="E619" s="21"/>
      <c r="F619" s="21"/>
      <c r="G619" s="21"/>
      <c r="H619" s="21"/>
      <c r="I619" s="21">
        <v>57</v>
      </c>
      <c r="J619" s="24">
        <v>-6.2</v>
      </c>
      <c r="K619" s="21"/>
      <c r="L619" s="21"/>
    </row>
    <row r="620" spans="1:12" ht="17.25" customHeight="1" x14ac:dyDescent="0.2">
      <c r="A620" s="21">
        <v>619</v>
      </c>
      <c r="B620" s="22" t="s">
        <v>1510</v>
      </c>
      <c r="C620" s="22" t="s">
        <v>57</v>
      </c>
      <c r="D620" s="21" t="s">
        <v>69</v>
      </c>
      <c r="E620" s="21"/>
      <c r="F620" s="21"/>
      <c r="G620" s="21"/>
      <c r="H620" s="21"/>
      <c r="I620" s="21">
        <v>47.1</v>
      </c>
      <c r="J620" s="24">
        <v>-6.3</v>
      </c>
      <c r="K620" s="21"/>
      <c r="L620" s="21"/>
    </row>
    <row r="621" spans="1:12" ht="17.25" customHeight="1" x14ac:dyDescent="0.2">
      <c r="A621" s="21">
        <v>620</v>
      </c>
      <c r="B621" s="22" t="s">
        <v>714</v>
      </c>
      <c r="C621" s="22" t="s">
        <v>42</v>
      </c>
      <c r="D621" s="21" t="s">
        <v>69</v>
      </c>
      <c r="E621" s="21"/>
      <c r="F621" s="21"/>
      <c r="G621" s="21"/>
      <c r="H621" s="21"/>
      <c r="I621" s="21">
        <v>68</v>
      </c>
      <c r="J621" s="24">
        <v>-6.3</v>
      </c>
      <c r="K621" s="21"/>
      <c r="L621" s="21"/>
    </row>
    <row r="622" spans="1:12" ht="17.25" customHeight="1" x14ac:dyDescent="0.2">
      <c r="A622" s="21">
        <v>621</v>
      </c>
      <c r="B622" s="22" t="s">
        <v>369</v>
      </c>
      <c r="C622" s="21"/>
      <c r="D622" s="21" t="s">
        <v>13</v>
      </c>
      <c r="E622" s="21"/>
      <c r="F622" s="21"/>
      <c r="G622" s="21"/>
      <c r="H622" s="21">
        <v>329</v>
      </c>
      <c r="I622" s="21"/>
      <c r="J622" s="24">
        <v>-6.4</v>
      </c>
      <c r="K622" s="21"/>
      <c r="L622" s="21"/>
    </row>
    <row r="623" spans="1:12" ht="17.25" customHeight="1" x14ac:dyDescent="0.2">
      <c r="A623" s="21">
        <v>622</v>
      </c>
      <c r="B623" s="22" t="s">
        <v>822</v>
      </c>
      <c r="C623" s="22" t="s">
        <v>21</v>
      </c>
      <c r="D623" s="21" t="s">
        <v>354</v>
      </c>
      <c r="E623" s="21"/>
      <c r="F623" s="21"/>
      <c r="G623" s="21"/>
      <c r="H623" s="21">
        <v>471</v>
      </c>
      <c r="I623" s="21"/>
      <c r="J623" s="24">
        <v>-6.4</v>
      </c>
      <c r="K623" s="21"/>
      <c r="L623" s="21"/>
    </row>
    <row r="624" spans="1:12" ht="17.25" customHeight="1" x14ac:dyDescent="0.2">
      <c r="A624" s="21">
        <v>623</v>
      </c>
      <c r="B624" s="22" t="s">
        <v>244</v>
      </c>
      <c r="C624" s="22" t="s">
        <v>21</v>
      </c>
      <c r="D624" s="21" t="s">
        <v>69</v>
      </c>
      <c r="E624" s="21"/>
      <c r="F624" s="21"/>
      <c r="G624" s="21"/>
      <c r="H624" s="21"/>
      <c r="I624" s="21">
        <v>66.099999999999994</v>
      </c>
      <c r="J624" s="24">
        <v>-6.4</v>
      </c>
      <c r="K624" s="21"/>
      <c r="L624" s="21"/>
    </row>
    <row r="625" spans="1:12" ht="17.25" customHeight="1" x14ac:dyDescent="0.2">
      <c r="A625" s="21">
        <v>624</v>
      </c>
      <c r="B625" s="22" t="s">
        <v>677</v>
      </c>
      <c r="C625" s="22" t="s">
        <v>15</v>
      </c>
      <c r="D625" s="21" t="s">
        <v>69</v>
      </c>
      <c r="E625" s="21"/>
      <c r="F625" s="21"/>
      <c r="G625" s="21"/>
      <c r="H625" s="21"/>
      <c r="I625" s="21">
        <v>48</v>
      </c>
      <c r="J625" s="24">
        <v>-6.4</v>
      </c>
      <c r="K625" s="21"/>
      <c r="L625" s="21"/>
    </row>
    <row r="626" spans="1:12" ht="17.25" customHeight="1" x14ac:dyDescent="0.2">
      <c r="A626" s="21">
        <v>625</v>
      </c>
      <c r="B626" s="22" t="s">
        <v>414</v>
      </c>
      <c r="C626" s="22" t="s">
        <v>30</v>
      </c>
      <c r="D626" s="21" t="s">
        <v>69</v>
      </c>
      <c r="E626" s="21"/>
      <c r="F626" s="21"/>
      <c r="G626" s="21"/>
      <c r="H626" s="21"/>
      <c r="I626" s="21">
        <v>63</v>
      </c>
      <c r="J626" s="24">
        <v>-6.4</v>
      </c>
      <c r="K626" s="21"/>
      <c r="L626" s="21"/>
    </row>
    <row r="627" spans="1:12" ht="17.25" customHeight="1" x14ac:dyDescent="0.2">
      <c r="A627" s="21">
        <v>626</v>
      </c>
      <c r="B627" s="22" t="s">
        <v>467</v>
      </c>
      <c r="C627" s="22" t="s">
        <v>55</v>
      </c>
      <c r="D627" s="21" t="s">
        <v>238</v>
      </c>
      <c r="E627" s="21"/>
      <c r="F627" s="21"/>
      <c r="G627" s="21"/>
      <c r="H627" s="21"/>
      <c r="I627" s="21">
        <v>65.099999999999994</v>
      </c>
      <c r="J627" s="24">
        <v>-6.4</v>
      </c>
      <c r="K627" s="21"/>
      <c r="L627" s="21"/>
    </row>
    <row r="628" spans="1:12" ht="17.25" customHeight="1" x14ac:dyDescent="0.2">
      <c r="A628" s="21">
        <v>627</v>
      </c>
      <c r="B628" s="22" t="s">
        <v>1511</v>
      </c>
      <c r="C628" s="22" t="s">
        <v>211</v>
      </c>
      <c r="D628" s="21" t="s">
        <v>69</v>
      </c>
      <c r="E628" s="21"/>
      <c r="F628" s="21"/>
      <c r="G628" s="21"/>
      <c r="H628" s="21"/>
      <c r="I628" s="21">
        <v>54.1</v>
      </c>
      <c r="J628" s="24">
        <v>-6.4</v>
      </c>
      <c r="K628" s="21"/>
      <c r="L628" s="21"/>
    </row>
    <row r="629" spans="1:12" ht="17.25" customHeight="1" x14ac:dyDescent="0.2">
      <c r="A629" s="21">
        <v>628</v>
      </c>
      <c r="B629" s="22" t="s">
        <v>415</v>
      </c>
      <c r="C629" s="22" t="s">
        <v>39</v>
      </c>
      <c r="D629" s="21" t="s">
        <v>74</v>
      </c>
      <c r="E629" s="21"/>
      <c r="F629" s="21"/>
      <c r="G629" s="21"/>
      <c r="H629" s="21">
        <v>101</v>
      </c>
      <c r="I629" s="21"/>
      <c r="J629" s="24">
        <v>-6.4</v>
      </c>
      <c r="K629" s="21"/>
      <c r="L629" s="21"/>
    </row>
    <row r="630" spans="1:12" ht="17.25" customHeight="1" x14ac:dyDescent="0.2">
      <c r="A630" s="21">
        <v>629</v>
      </c>
      <c r="B630" s="22" t="s">
        <v>1512</v>
      </c>
      <c r="C630" s="22" t="s">
        <v>46</v>
      </c>
      <c r="D630" s="21" t="s">
        <v>28</v>
      </c>
      <c r="E630" s="21"/>
      <c r="F630" s="21"/>
      <c r="G630" s="21"/>
      <c r="H630" s="21"/>
      <c r="I630" s="21">
        <v>90</v>
      </c>
      <c r="J630" s="24">
        <v>-6.4</v>
      </c>
      <c r="K630" s="21"/>
      <c r="L630" s="21"/>
    </row>
    <row r="631" spans="1:12" ht="17.25" customHeight="1" x14ac:dyDescent="0.2">
      <c r="A631" s="21">
        <v>630</v>
      </c>
      <c r="B631" s="22" t="s">
        <v>1513</v>
      </c>
      <c r="C631" s="21"/>
      <c r="D631" s="21" t="s">
        <v>28</v>
      </c>
      <c r="E631" s="21"/>
      <c r="F631" s="21"/>
      <c r="G631" s="21"/>
      <c r="H631" s="21"/>
      <c r="I631" s="21">
        <v>9</v>
      </c>
      <c r="J631" s="24">
        <v>-6.5</v>
      </c>
      <c r="K631" s="21"/>
      <c r="L631" s="21"/>
    </row>
    <row r="632" spans="1:12" ht="17.25" customHeight="1" x14ac:dyDescent="0.2">
      <c r="A632" s="21">
        <v>631</v>
      </c>
      <c r="B632" s="22" t="s">
        <v>271</v>
      </c>
      <c r="C632" s="22" t="s">
        <v>132</v>
      </c>
      <c r="D632" s="21" t="s">
        <v>74</v>
      </c>
      <c r="E632" s="21"/>
      <c r="F632" s="23">
        <v>0.02</v>
      </c>
      <c r="G632" s="23">
        <v>0.02</v>
      </c>
      <c r="H632" s="21">
        <v>267</v>
      </c>
      <c r="I632" s="21"/>
      <c r="J632" s="24">
        <v>-6.5</v>
      </c>
      <c r="K632" s="21"/>
      <c r="L632" s="21"/>
    </row>
    <row r="633" spans="1:12" ht="17.25" customHeight="1" x14ac:dyDescent="0.2">
      <c r="A633" s="21">
        <v>632</v>
      </c>
      <c r="B633" s="22" t="s">
        <v>1514</v>
      </c>
      <c r="C633" s="22" t="s">
        <v>140</v>
      </c>
      <c r="D633" s="21" t="s">
        <v>69</v>
      </c>
      <c r="E633" s="21"/>
      <c r="F633" s="21"/>
      <c r="G633" s="21"/>
      <c r="H633" s="21"/>
      <c r="I633" s="21">
        <v>41.1</v>
      </c>
      <c r="J633" s="24">
        <v>-6.5</v>
      </c>
      <c r="K633" s="21"/>
      <c r="L633" s="21"/>
    </row>
    <row r="634" spans="1:12" ht="17.25" customHeight="1" x14ac:dyDescent="0.2">
      <c r="A634" s="21">
        <v>633</v>
      </c>
      <c r="B634" s="22" t="s">
        <v>1515</v>
      </c>
      <c r="C634" s="21"/>
      <c r="D634" s="21" t="s">
        <v>69</v>
      </c>
      <c r="E634" s="21"/>
      <c r="F634" s="21"/>
      <c r="G634" s="21"/>
      <c r="H634" s="21"/>
      <c r="I634" s="21">
        <v>43</v>
      </c>
      <c r="J634" s="24">
        <v>-6.6</v>
      </c>
      <c r="K634" s="21"/>
      <c r="L634" s="21"/>
    </row>
    <row r="635" spans="1:12" ht="17.25" customHeight="1" x14ac:dyDescent="0.2">
      <c r="A635" s="21">
        <v>634</v>
      </c>
      <c r="B635" s="22" t="s">
        <v>705</v>
      </c>
      <c r="C635" s="22" t="s">
        <v>34</v>
      </c>
      <c r="D635" s="21" t="s">
        <v>28</v>
      </c>
      <c r="E635" s="21"/>
      <c r="F635" s="21"/>
      <c r="G635" s="21"/>
      <c r="H635" s="21"/>
      <c r="I635" s="21">
        <v>13</v>
      </c>
      <c r="J635" s="24">
        <v>-6.6</v>
      </c>
      <c r="K635" s="21"/>
      <c r="L635" s="21"/>
    </row>
    <row r="636" spans="1:12" ht="17.25" customHeight="1" x14ac:dyDescent="0.2">
      <c r="A636" s="21">
        <v>635</v>
      </c>
      <c r="B636" s="22" t="s">
        <v>1516</v>
      </c>
      <c r="C636" s="21"/>
      <c r="D636" s="21" t="s">
        <v>28</v>
      </c>
      <c r="E636" s="21"/>
      <c r="F636" s="21"/>
      <c r="G636" s="21"/>
      <c r="H636" s="21"/>
      <c r="I636" s="21">
        <v>12</v>
      </c>
      <c r="J636" s="24">
        <v>-6.6</v>
      </c>
      <c r="K636" s="21"/>
      <c r="L636" s="21"/>
    </row>
    <row r="637" spans="1:12" ht="17.25" customHeight="1" x14ac:dyDescent="0.2">
      <c r="A637" s="21">
        <v>636</v>
      </c>
      <c r="B637" s="22" t="s">
        <v>707</v>
      </c>
      <c r="C637" s="22" t="s">
        <v>15</v>
      </c>
      <c r="D637" s="21" t="s">
        <v>69</v>
      </c>
      <c r="E637" s="21"/>
      <c r="F637" s="21"/>
      <c r="G637" s="21"/>
      <c r="H637" s="21"/>
      <c r="I637" s="21">
        <v>67</v>
      </c>
      <c r="J637" s="24">
        <v>-6.6</v>
      </c>
      <c r="K637" s="21"/>
      <c r="L637" s="21"/>
    </row>
    <row r="638" spans="1:12" ht="17.25" customHeight="1" x14ac:dyDescent="0.2">
      <c r="A638" s="21">
        <v>637</v>
      </c>
      <c r="B638" s="22" t="s">
        <v>905</v>
      </c>
      <c r="C638" s="21"/>
      <c r="D638" s="21" t="s">
        <v>28</v>
      </c>
      <c r="E638" s="21"/>
      <c r="F638" s="21"/>
      <c r="G638" s="21"/>
      <c r="H638" s="21"/>
      <c r="I638" s="21">
        <v>164.1</v>
      </c>
      <c r="J638" s="24">
        <v>-6.6</v>
      </c>
      <c r="K638" s="21"/>
      <c r="L638" s="21"/>
    </row>
    <row r="639" spans="1:12" ht="17.25" customHeight="1" x14ac:dyDescent="0.2">
      <c r="A639" s="21">
        <v>638</v>
      </c>
      <c r="B639" s="22" t="s">
        <v>1517</v>
      </c>
      <c r="C639" s="22" t="s">
        <v>21</v>
      </c>
      <c r="D639" s="21" t="s">
        <v>69</v>
      </c>
      <c r="E639" s="21"/>
      <c r="F639" s="21"/>
      <c r="G639" s="21"/>
      <c r="H639" s="21"/>
      <c r="I639" s="21">
        <v>54.1</v>
      </c>
      <c r="J639" s="24">
        <v>-6.7</v>
      </c>
      <c r="K639" s="21"/>
      <c r="L639" s="21"/>
    </row>
    <row r="640" spans="1:12" ht="17.25" customHeight="1" x14ac:dyDescent="0.2">
      <c r="A640" s="21">
        <v>639</v>
      </c>
      <c r="B640" s="22" t="s">
        <v>977</v>
      </c>
      <c r="C640" s="22" t="s">
        <v>32</v>
      </c>
      <c r="D640" s="21" t="s">
        <v>28</v>
      </c>
      <c r="E640" s="21"/>
      <c r="F640" s="21"/>
      <c r="G640" s="21"/>
      <c r="H640" s="21"/>
      <c r="I640" s="21">
        <v>123.1</v>
      </c>
      <c r="J640" s="24">
        <v>-6.7</v>
      </c>
      <c r="K640" s="21"/>
      <c r="L640" s="21"/>
    </row>
    <row r="641" spans="1:12" ht="17.25" customHeight="1" x14ac:dyDescent="0.2">
      <c r="A641" s="21">
        <v>640</v>
      </c>
      <c r="B641" s="22" t="s">
        <v>1518</v>
      </c>
      <c r="C641" s="22" t="s">
        <v>232</v>
      </c>
      <c r="D641" s="21" t="s">
        <v>238</v>
      </c>
      <c r="E641" s="21"/>
      <c r="F641" s="21"/>
      <c r="G641" s="21"/>
      <c r="H641" s="21"/>
      <c r="I641" s="21">
        <v>62.1</v>
      </c>
      <c r="J641" s="24">
        <v>-6.7</v>
      </c>
      <c r="K641" s="21"/>
      <c r="L641" s="21"/>
    </row>
    <row r="642" spans="1:12" ht="17.25" customHeight="1" x14ac:dyDescent="0.2">
      <c r="A642" s="21">
        <v>641</v>
      </c>
      <c r="B642" s="22" t="s">
        <v>511</v>
      </c>
      <c r="C642" s="22" t="s">
        <v>66</v>
      </c>
      <c r="D642" s="21" t="s">
        <v>28</v>
      </c>
      <c r="E642" s="21"/>
      <c r="F642" s="21"/>
      <c r="G642" s="21"/>
      <c r="H642" s="21"/>
      <c r="I642" s="21">
        <v>4.0999999999999996</v>
      </c>
      <c r="J642" s="24">
        <v>-6.8</v>
      </c>
      <c r="K642" s="21"/>
      <c r="L642" s="21"/>
    </row>
    <row r="643" spans="1:12" ht="17.25" customHeight="1" x14ac:dyDescent="0.2">
      <c r="A643" s="21">
        <v>642</v>
      </c>
      <c r="B643" s="22" t="s">
        <v>527</v>
      </c>
      <c r="C643" s="22" t="s">
        <v>232</v>
      </c>
      <c r="D643" s="21" t="s">
        <v>74</v>
      </c>
      <c r="E643" s="21"/>
      <c r="F643" s="21"/>
      <c r="G643" s="21"/>
      <c r="H643" s="21">
        <v>242</v>
      </c>
      <c r="I643" s="21"/>
      <c r="J643" s="24">
        <v>-6.8</v>
      </c>
      <c r="K643" s="21"/>
      <c r="L643" s="21"/>
    </row>
    <row r="644" spans="1:12" ht="17.25" customHeight="1" x14ac:dyDescent="0.2">
      <c r="A644" s="21">
        <v>643</v>
      </c>
      <c r="B644" s="22" t="s">
        <v>686</v>
      </c>
      <c r="C644" s="22" t="s">
        <v>24</v>
      </c>
      <c r="D644" s="21" t="s">
        <v>69</v>
      </c>
      <c r="E644" s="21"/>
      <c r="F644" s="21"/>
      <c r="G644" s="21"/>
      <c r="H644" s="21"/>
      <c r="I644" s="21">
        <v>63</v>
      </c>
      <c r="J644" s="24">
        <v>-6.8</v>
      </c>
      <c r="K644" s="21"/>
      <c r="L644" s="21"/>
    </row>
    <row r="645" spans="1:12" ht="17.25" customHeight="1" x14ac:dyDescent="0.2">
      <c r="A645" s="21">
        <v>644</v>
      </c>
      <c r="B645" s="22" t="s">
        <v>569</v>
      </c>
      <c r="C645" s="22" t="s">
        <v>32</v>
      </c>
      <c r="D645" s="21" t="s">
        <v>69</v>
      </c>
      <c r="E645" s="21"/>
      <c r="F645" s="21"/>
      <c r="G645" s="21"/>
      <c r="H645" s="21"/>
      <c r="I645" s="21">
        <v>26</v>
      </c>
      <c r="J645" s="24">
        <v>-6.8</v>
      </c>
      <c r="K645" s="21"/>
      <c r="L645" s="21"/>
    </row>
    <row r="646" spans="1:12" ht="17.25" customHeight="1" x14ac:dyDescent="0.2">
      <c r="A646" s="21">
        <v>645</v>
      </c>
      <c r="B646" s="22" t="s">
        <v>558</v>
      </c>
      <c r="C646" s="22" t="s">
        <v>32</v>
      </c>
      <c r="D646" s="21" t="s">
        <v>206</v>
      </c>
      <c r="E646" s="21"/>
      <c r="F646" s="21"/>
      <c r="G646" s="21"/>
      <c r="H646" s="21">
        <v>261</v>
      </c>
      <c r="I646" s="21"/>
      <c r="J646" s="24">
        <v>-6.8</v>
      </c>
      <c r="K646" s="21"/>
      <c r="L646" s="21"/>
    </row>
    <row r="647" spans="1:12" ht="17.25" customHeight="1" x14ac:dyDescent="0.2">
      <c r="A647" s="21">
        <v>646</v>
      </c>
      <c r="B647" s="22" t="s">
        <v>528</v>
      </c>
      <c r="C647" s="22" t="s">
        <v>34</v>
      </c>
      <c r="D647" s="21" t="s">
        <v>69</v>
      </c>
      <c r="E647" s="21"/>
      <c r="F647" s="21"/>
      <c r="G647" s="21"/>
      <c r="H647" s="21"/>
      <c r="I647" s="21">
        <v>59</v>
      </c>
      <c r="J647" s="24">
        <v>-6.9</v>
      </c>
      <c r="K647" s="21"/>
      <c r="L647" s="21"/>
    </row>
    <row r="648" spans="1:12" ht="17.25" customHeight="1" x14ac:dyDescent="0.2">
      <c r="A648" s="21">
        <v>647</v>
      </c>
      <c r="B648" s="22" t="s">
        <v>483</v>
      </c>
      <c r="C648" s="21"/>
      <c r="D648" s="21" t="s">
        <v>82</v>
      </c>
      <c r="E648" s="21"/>
      <c r="F648" s="21"/>
      <c r="G648" s="21"/>
      <c r="H648" s="21">
        <v>312</v>
      </c>
      <c r="I648" s="21"/>
      <c r="J648" s="24">
        <v>-6.9</v>
      </c>
      <c r="K648" s="21"/>
      <c r="L648" s="21"/>
    </row>
    <row r="649" spans="1:12" ht="17.25" customHeight="1" x14ac:dyDescent="0.2">
      <c r="A649" s="21">
        <v>648</v>
      </c>
      <c r="B649" s="22" t="s">
        <v>1519</v>
      </c>
      <c r="C649" s="22" t="s">
        <v>42</v>
      </c>
      <c r="D649" s="21" t="s">
        <v>69</v>
      </c>
      <c r="E649" s="21"/>
      <c r="F649" s="21"/>
      <c r="G649" s="21"/>
      <c r="H649" s="21"/>
      <c r="I649" s="21">
        <v>31.1</v>
      </c>
      <c r="J649" s="24">
        <v>-6.9</v>
      </c>
      <c r="K649" s="21"/>
      <c r="L649" s="21"/>
    </row>
    <row r="650" spans="1:12" ht="17.25" customHeight="1" x14ac:dyDescent="0.2">
      <c r="A650" s="21">
        <v>649</v>
      </c>
      <c r="B650" s="22" t="s">
        <v>675</v>
      </c>
      <c r="C650" s="22" t="s">
        <v>66</v>
      </c>
      <c r="D650" s="21" t="s">
        <v>69</v>
      </c>
      <c r="E650" s="21"/>
      <c r="F650" s="21"/>
      <c r="G650" s="21"/>
      <c r="H650" s="21"/>
      <c r="I650" s="21">
        <v>71.099999999999994</v>
      </c>
      <c r="J650" s="24">
        <v>-7</v>
      </c>
      <c r="K650" s="21"/>
      <c r="L650" s="21"/>
    </row>
    <row r="651" spans="1:12" ht="17.25" customHeight="1" x14ac:dyDescent="0.2">
      <c r="A651" s="21">
        <v>650</v>
      </c>
      <c r="B651" s="22" t="s">
        <v>1520</v>
      </c>
      <c r="C651" s="22" t="s">
        <v>50</v>
      </c>
      <c r="D651" s="21" t="s">
        <v>28</v>
      </c>
      <c r="E651" s="21"/>
      <c r="F651" s="21"/>
      <c r="G651" s="21"/>
      <c r="H651" s="21"/>
      <c r="I651" s="21">
        <v>29.1</v>
      </c>
      <c r="J651" s="24">
        <v>-7</v>
      </c>
      <c r="K651" s="21"/>
      <c r="L651" s="21"/>
    </row>
    <row r="652" spans="1:12" ht="17.25" customHeight="1" x14ac:dyDescent="0.2">
      <c r="A652" s="21">
        <v>651</v>
      </c>
      <c r="B652" s="22" t="s">
        <v>245</v>
      </c>
      <c r="C652" s="22" t="s">
        <v>140</v>
      </c>
      <c r="D652" s="21" t="s">
        <v>69</v>
      </c>
      <c r="E652" s="21"/>
      <c r="F652" s="21"/>
      <c r="G652" s="21"/>
      <c r="H652" s="21"/>
      <c r="I652" s="21">
        <v>66.099999999999994</v>
      </c>
      <c r="J652" s="24">
        <v>-7</v>
      </c>
      <c r="K652" s="21"/>
      <c r="L652" s="21"/>
    </row>
    <row r="653" spans="1:12" ht="17.25" customHeight="1" x14ac:dyDescent="0.2">
      <c r="A653" s="21">
        <v>652</v>
      </c>
      <c r="B653" s="22" t="s">
        <v>783</v>
      </c>
      <c r="C653" s="22" t="s">
        <v>34</v>
      </c>
      <c r="D653" s="21" t="s">
        <v>69</v>
      </c>
      <c r="E653" s="21"/>
      <c r="F653" s="21"/>
      <c r="G653" s="21"/>
      <c r="H653" s="21"/>
      <c r="I653" s="21">
        <v>65</v>
      </c>
      <c r="J653" s="24">
        <v>-7</v>
      </c>
      <c r="K653" s="21"/>
      <c r="L653" s="21"/>
    </row>
    <row r="654" spans="1:12" ht="17.25" customHeight="1" x14ac:dyDescent="0.2">
      <c r="A654" s="21">
        <v>653</v>
      </c>
      <c r="B654" s="22" t="s">
        <v>890</v>
      </c>
      <c r="C654" s="21"/>
      <c r="D654" s="21" t="s">
        <v>69</v>
      </c>
      <c r="E654" s="21"/>
      <c r="F654" s="21"/>
      <c r="G654" s="21"/>
      <c r="H654" s="21"/>
      <c r="I654" s="21">
        <v>43.1</v>
      </c>
      <c r="J654" s="24">
        <v>-7.1</v>
      </c>
      <c r="K654" s="21"/>
      <c r="L654" s="21"/>
    </row>
    <row r="655" spans="1:12" ht="17.25" customHeight="1" x14ac:dyDescent="0.2">
      <c r="A655" s="21">
        <v>654</v>
      </c>
      <c r="B655" s="22" t="s">
        <v>1521</v>
      </c>
      <c r="C655" s="22" t="s">
        <v>21</v>
      </c>
      <c r="D655" s="21" t="s">
        <v>28</v>
      </c>
      <c r="E655" s="21"/>
      <c r="F655" s="21"/>
      <c r="G655" s="21"/>
      <c r="H655" s="21"/>
      <c r="I655" s="21">
        <v>4</v>
      </c>
      <c r="J655" s="24">
        <v>-7.2</v>
      </c>
      <c r="K655" s="21"/>
      <c r="L655" s="21"/>
    </row>
    <row r="656" spans="1:12" ht="17.25" customHeight="1" x14ac:dyDescent="0.2">
      <c r="A656" s="21">
        <v>655</v>
      </c>
      <c r="B656" s="22" t="s">
        <v>651</v>
      </c>
      <c r="C656" s="22" t="s">
        <v>89</v>
      </c>
      <c r="D656" s="21" t="s">
        <v>28</v>
      </c>
      <c r="E656" s="21"/>
      <c r="F656" s="21"/>
      <c r="G656" s="21"/>
      <c r="H656" s="21"/>
      <c r="I656" s="21">
        <v>30</v>
      </c>
      <c r="J656" s="24">
        <v>-7.3</v>
      </c>
      <c r="K656" s="21"/>
      <c r="L656" s="21"/>
    </row>
    <row r="657" spans="1:12" ht="17.25" customHeight="1" x14ac:dyDescent="0.2">
      <c r="A657" s="21">
        <v>656</v>
      </c>
      <c r="B657" s="22" t="s">
        <v>1522</v>
      </c>
      <c r="C657" s="22" t="s">
        <v>117</v>
      </c>
      <c r="D657" s="21" t="s">
        <v>28</v>
      </c>
      <c r="E657" s="21"/>
      <c r="F657" s="21"/>
      <c r="G657" s="21"/>
      <c r="H657" s="21"/>
      <c r="I657" s="21">
        <v>24</v>
      </c>
      <c r="J657" s="24">
        <v>-7.3</v>
      </c>
      <c r="K657" s="21"/>
      <c r="L657" s="21"/>
    </row>
    <row r="658" spans="1:12" ht="17.25" customHeight="1" x14ac:dyDescent="0.2">
      <c r="A658" s="21">
        <v>657</v>
      </c>
      <c r="B658" s="22" t="s">
        <v>689</v>
      </c>
      <c r="C658" s="22" t="s">
        <v>132</v>
      </c>
      <c r="D658" s="21" t="s">
        <v>74</v>
      </c>
      <c r="E658" s="21"/>
      <c r="F658" s="21"/>
      <c r="G658" s="21"/>
      <c r="H658" s="21">
        <v>286</v>
      </c>
      <c r="I658" s="21"/>
      <c r="J658" s="24">
        <v>-7.3</v>
      </c>
      <c r="K658" s="21"/>
      <c r="L658" s="21"/>
    </row>
    <row r="659" spans="1:12" ht="17.25" customHeight="1" x14ac:dyDescent="0.2">
      <c r="A659" s="21">
        <v>658</v>
      </c>
      <c r="B659" s="22" t="s">
        <v>1265</v>
      </c>
      <c r="C659" s="22" t="s">
        <v>115</v>
      </c>
      <c r="D659" s="21" t="s">
        <v>74</v>
      </c>
      <c r="E659" s="21"/>
      <c r="F659" s="21"/>
      <c r="G659" s="21"/>
      <c r="H659" s="21">
        <v>168</v>
      </c>
      <c r="I659" s="21"/>
      <c r="J659" s="24">
        <v>-7.3</v>
      </c>
      <c r="K659" s="21"/>
      <c r="L659" s="21"/>
    </row>
    <row r="660" spans="1:12" ht="17.25" customHeight="1" x14ac:dyDescent="0.2">
      <c r="A660" s="21">
        <v>659</v>
      </c>
      <c r="B660" s="22" t="s">
        <v>1523</v>
      </c>
      <c r="C660" s="22" t="s">
        <v>50</v>
      </c>
      <c r="D660" s="21" t="s">
        <v>28</v>
      </c>
      <c r="E660" s="21"/>
      <c r="F660" s="21"/>
      <c r="G660" s="21"/>
      <c r="H660" s="21"/>
      <c r="I660" s="21">
        <v>86</v>
      </c>
      <c r="J660" s="24">
        <v>-7.4</v>
      </c>
      <c r="K660" s="21"/>
      <c r="L660" s="21"/>
    </row>
    <row r="661" spans="1:12" ht="17.25" customHeight="1" x14ac:dyDescent="0.2">
      <c r="A661" s="21">
        <v>660</v>
      </c>
      <c r="B661" s="22" t="s">
        <v>1524</v>
      </c>
      <c r="C661" s="22" t="s">
        <v>313</v>
      </c>
      <c r="D661" s="21" t="s">
        <v>28</v>
      </c>
      <c r="E661" s="21"/>
      <c r="F661" s="21"/>
      <c r="G661" s="21"/>
      <c r="H661" s="21"/>
      <c r="I661" s="21">
        <v>134</v>
      </c>
      <c r="J661" s="24">
        <v>-7.5</v>
      </c>
      <c r="K661" s="21"/>
      <c r="L661" s="21"/>
    </row>
    <row r="662" spans="1:12" ht="17.25" customHeight="1" x14ac:dyDescent="0.2">
      <c r="A662" s="21">
        <v>661</v>
      </c>
      <c r="B662" s="22" t="s">
        <v>899</v>
      </c>
      <c r="C662" s="22" t="s">
        <v>12</v>
      </c>
      <c r="D662" s="21" t="s">
        <v>28</v>
      </c>
      <c r="E662" s="21"/>
      <c r="F662" s="21"/>
      <c r="G662" s="21"/>
      <c r="H662" s="21"/>
      <c r="I662" s="21">
        <v>5</v>
      </c>
      <c r="J662" s="24">
        <v>-7.5</v>
      </c>
      <c r="K662" s="21"/>
      <c r="L662" s="21"/>
    </row>
    <row r="663" spans="1:12" ht="17.25" customHeight="1" x14ac:dyDescent="0.2">
      <c r="A663" s="21">
        <v>662</v>
      </c>
      <c r="B663" s="22" t="s">
        <v>1266</v>
      </c>
      <c r="C663" s="22" t="s">
        <v>18</v>
      </c>
      <c r="D663" s="21" t="s">
        <v>40</v>
      </c>
      <c r="E663" s="21"/>
      <c r="F663" s="21"/>
      <c r="G663" s="21"/>
      <c r="H663" s="21">
        <v>69</v>
      </c>
      <c r="I663" s="21"/>
      <c r="J663" s="24">
        <v>-7.6</v>
      </c>
      <c r="K663" s="21"/>
      <c r="L663" s="21"/>
    </row>
    <row r="664" spans="1:12" ht="17.25" customHeight="1" x14ac:dyDescent="0.2">
      <c r="A664" s="21">
        <v>663</v>
      </c>
      <c r="B664" s="22" t="s">
        <v>1525</v>
      </c>
      <c r="C664" s="22" t="s">
        <v>42</v>
      </c>
      <c r="D664" s="21" t="s">
        <v>69</v>
      </c>
      <c r="E664" s="21"/>
      <c r="F664" s="21"/>
      <c r="G664" s="21"/>
      <c r="H664" s="21"/>
      <c r="I664" s="21">
        <v>52.1</v>
      </c>
      <c r="J664" s="24">
        <v>-7.6</v>
      </c>
      <c r="K664" s="21"/>
      <c r="L664" s="21"/>
    </row>
    <row r="665" spans="1:12" ht="17.25" customHeight="1" x14ac:dyDescent="0.2">
      <c r="A665" s="21">
        <v>664</v>
      </c>
      <c r="B665" s="22" t="s">
        <v>1526</v>
      </c>
      <c r="C665" s="22" t="s">
        <v>42</v>
      </c>
      <c r="D665" s="21" t="s">
        <v>69</v>
      </c>
      <c r="E665" s="21"/>
      <c r="F665" s="21"/>
      <c r="G665" s="21"/>
      <c r="H665" s="21"/>
      <c r="I665" s="21">
        <v>31</v>
      </c>
      <c r="J665" s="24">
        <v>-7.6</v>
      </c>
      <c r="K665" s="21"/>
      <c r="L665" s="21"/>
    </row>
    <row r="666" spans="1:12" ht="17.25" customHeight="1" x14ac:dyDescent="0.2">
      <c r="A666" s="21">
        <v>665</v>
      </c>
      <c r="B666" s="22" t="s">
        <v>1527</v>
      </c>
      <c r="C666" s="22" t="s">
        <v>32</v>
      </c>
      <c r="D666" s="21" t="s">
        <v>69</v>
      </c>
      <c r="E666" s="21"/>
      <c r="F666" s="21"/>
      <c r="G666" s="21"/>
      <c r="H666" s="21"/>
      <c r="I666" s="21">
        <v>45</v>
      </c>
      <c r="J666" s="24">
        <v>-7.7</v>
      </c>
      <c r="K666" s="21"/>
      <c r="L666" s="21"/>
    </row>
    <row r="667" spans="1:12" ht="17.25" customHeight="1" x14ac:dyDescent="0.2">
      <c r="A667" s="21">
        <v>666</v>
      </c>
      <c r="B667" s="22" t="s">
        <v>1528</v>
      </c>
      <c r="C667" s="22" t="s">
        <v>211</v>
      </c>
      <c r="D667" s="21" t="s">
        <v>28</v>
      </c>
      <c r="E667" s="21"/>
      <c r="F667" s="21"/>
      <c r="G667" s="21"/>
      <c r="H667" s="21"/>
      <c r="I667" s="21">
        <v>30</v>
      </c>
      <c r="J667" s="24">
        <v>-7.7</v>
      </c>
      <c r="K667" s="21"/>
      <c r="L667" s="21"/>
    </row>
    <row r="668" spans="1:12" ht="17.25" customHeight="1" x14ac:dyDescent="0.2">
      <c r="A668" s="21">
        <v>667</v>
      </c>
      <c r="B668" s="22" t="s">
        <v>587</v>
      </c>
      <c r="C668" s="22" t="s">
        <v>18</v>
      </c>
      <c r="D668" s="21" t="s">
        <v>69</v>
      </c>
      <c r="E668" s="21"/>
      <c r="F668" s="21"/>
      <c r="G668" s="21"/>
      <c r="H668" s="21"/>
      <c r="I668" s="21">
        <v>67.099999999999994</v>
      </c>
      <c r="J668" s="24">
        <v>-7.7</v>
      </c>
      <c r="K668" s="21"/>
    </row>
    <row r="669" spans="1:12" ht="17.25" customHeight="1" x14ac:dyDescent="0.2">
      <c r="A669" s="21">
        <v>668</v>
      </c>
      <c r="B669" s="22" t="s">
        <v>607</v>
      </c>
      <c r="C669" s="22" t="s">
        <v>12</v>
      </c>
      <c r="D669" s="21" t="s">
        <v>69</v>
      </c>
      <c r="E669" s="21"/>
      <c r="F669" s="21"/>
      <c r="G669" s="21"/>
      <c r="H669" s="21"/>
      <c r="I669" s="21">
        <v>66.099999999999994</v>
      </c>
      <c r="J669" s="24">
        <v>-7.7</v>
      </c>
      <c r="K669" s="21"/>
    </row>
    <row r="670" spans="1:12" ht="17.25" customHeight="1" x14ac:dyDescent="0.2">
      <c r="A670" s="21">
        <v>669</v>
      </c>
      <c r="B670" s="22" t="s">
        <v>524</v>
      </c>
      <c r="C670" s="22" t="s">
        <v>140</v>
      </c>
      <c r="D670" s="21" t="s">
        <v>28</v>
      </c>
      <c r="E670" s="21"/>
      <c r="F670" s="21"/>
      <c r="G670" s="21"/>
      <c r="H670" s="21"/>
      <c r="I670" s="21">
        <v>97.1</v>
      </c>
      <c r="J670" s="24">
        <v>-7.8</v>
      </c>
      <c r="K670" s="21"/>
    </row>
    <row r="671" spans="1:12" ht="17.25" customHeight="1" x14ac:dyDescent="0.2">
      <c r="A671" s="21">
        <v>670</v>
      </c>
      <c r="B671" s="22" t="s">
        <v>813</v>
      </c>
      <c r="C671" s="22" t="s">
        <v>21</v>
      </c>
      <c r="D671" s="21" t="s">
        <v>779</v>
      </c>
      <c r="E671" s="21"/>
      <c r="F671" s="21"/>
      <c r="G671" s="21"/>
      <c r="H671" s="21">
        <v>422</v>
      </c>
      <c r="I671" s="21"/>
      <c r="J671" s="24">
        <v>-7.8</v>
      </c>
      <c r="K671" s="21"/>
    </row>
    <row r="672" spans="1:12" ht="17.25" customHeight="1" x14ac:dyDescent="0.2">
      <c r="A672" s="21">
        <v>671</v>
      </c>
      <c r="B672" s="22" t="s">
        <v>1529</v>
      </c>
      <c r="C672" s="21"/>
      <c r="D672" s="21" t="s">
        <v>28</v>
      </c>
      <c r="E672" s="21"/>
      <c r="F672" s="21"/>
      <c r="G672" s="21"/>
      <c r="H672" s="21"/>
      <c r="I672" s="21">
        <v>7</v>
      </c>
      <c r="J672" s="24">
        <v>-7.8</v>
      </c>
      <c r="K672" s="21"/>
    </row>
    <row r="673" spans="1:11" ht="17.25" customHeight="1" x14ac:dyDescent="0.2">
      <c r="A673" s="21">
        <v>672</v>
      </c>
      <c r="B673" s="22" t="s">
        <v>667</v>
      </c>
      <c r="C673" s="22" t="s">
        <v>89</v>
      </c>
      <c r="D673" s="21" t="s">
        <v>69</v>
      </c>
      <c r="E673" s="21"/>
      <c r="F673" s="21"/>
      <c r="G673" s="21"/>
      <c r="H673" s="21"/>
      <c r="I673" s="21">
        <v>51.1</v>
      </c>
      <c r="J673" s="24">
        <v>-7.8</v>
      </c>
      <c r="K673" s="21"/>
    </row>
    <row r="674" spans="1:11" ht="17.25" customHeight="1" x14ac:dyDescent="0.2">
      <c r="A674" s="21">
        <v>673</v>
      </c>
      <c r="B674" s="22" t="s">
        <v>512</v>
      </c>
      <c r="C674" s="22" t="s">
        <v>115</v>
      </c>
      <c r="D674" s="21" t="s">
        <v>206</v>
      </c>
      <c r="E674" s="21"/>
      <c r="F674" s="21"/>
      <c r="G674" s="21"/>
      <c r="H674" s="21">
        <v>391</v>
      </c>
      <c r="I674" s="21"/>
      <c r="J674" s="24">
        <v>-7.9</v>
      </c>
      <c r="K674" s="21"/>
    </row>
    <row r="675" spans="1:11" ht="17.25" customHeight="1" x14ac:dyDescent="0.2">
      <c r="A675" s="21">
        <v>674</v>
      </c>
      <c r="B675" s="22" t="s">
        <v>1267</v>
      </c>
      <c r="C675" s="22" t="s">
        <v>12</v>
      </c>
      <c r="D675" s="21" t="s">
        <v>74</v>
      </c>
      <c r="E675" s="21"/>
      <c r="F675" s="21"/>
      <c r="G675" s="21"/>
      <c r="H675" s="21">
        <v>155</v>
      </c>
      <c r="I675" s="21"/>
      <c r="J675" s="24">
        <v>-7.9</v>
      </c>
      <c r="K675" s="21"/>
    </row>
    <row r="676" spans="1:11" ht="17.25" customHeight="1" x14ac:dyDescent="0.2">
      <c r="A676" s="21">
        <v>675</v>
      </c>
      <c r="B676" s="22" t="s">
        <v>1530</v>
      </c>
      <c r="C676" s="22" t="s">
        <v>21</v>
      </c>
      <c r="D676" s="21" t="s">
        <v>69</v>
      </c>
      <c r="E676" s="21"/>
      <c r="F676" s="21"/>
      <c r="G676" s="21"/>
      <c r="H676" s="21"/>
      <c r="I676" s="21">
        <v>65</v>
      </c>
      <c r="J676" s="24">
        <v>-8</v>
      </c>
      <c r="K676" s="21"/>
    </row>
    <row r="677" spans="1:11" ht="17.25" customHeight="1" x14ac:dyDescent="0.2">
      <c r="A677" s="21">
        <v>676</v>
      </c>
      <c r="B677" s="22" t="s">
        <v>1531</v>
      </c>
      <c r="C677" s="22" t="s">
        <v>55</v>
      </c>
      <c r="D677" s="21" t="s">
        <v>69</v>
      </c>
      <c r="E677" s="21"/>
      <c r="F677" s="21"/>
      <c r="G677" s="21"/>
      <c r="H677" s="21"/>
      <c r="I677" s="21">
        <v>22</v>
      </c>
      <c r="J677" s="24">
        <v>-8</v>
      </c>
      <c r="K677" s="21"/>
    </row>
    <row r="678" spans="1:11" ht="17.25" customHeight="1" x14ac:dyDescent="0.2">
      <c r="A678" s="21">
        <v>677</v>
      </c>
      <c r="B678" s="22" t="s">
        <v>950</v>
      </c>
      <c r="C678" s="22" t="s">
        <v>57</v>
      </c>
      <c r="D678" s="21" t="s">
        <v>69</v>
      </c>
      <c r="E678" s="21"/>
      <c r="F678" s="21"/>
      <c r="G678" s="21"/>
      <c r="H678" s="21"/>
      <c r="I678" s="21">
        <v>17.100000000000001</v>
      </c>
      <c r="J678" s="24">
        <v>-8</v>
      </c>
      <c r="K678" s="21"/>
    </row>
    <row r="679" spans="1:11" ht="17.25" customHeight="1" x14ac:dyDescent="0.2">
      <c r="A679" s="21">
        <v>678</v>
      </c>
      <c r="B679" s="22" t="s">
        <v>403</v>
      </c>
      <c r="C679" s="22" t="s">
        <v>55</v>
      </c>
      <c r="D679" s="21" t="s">
        <v>69</v>
      </c>
      <c r="E679" s="21"/>
      <c r="F679" s="21"/>
      <c r="G679" s="21"/>
      <c r="H679" s="21"/>
      <c r="I679" s="21">
        <v>30</v>
      </c>
      <c r="J679" s="24">
        <v>-8</v>
      </c>
      <c r="K679" s="21"/>
    </row>
    <row r="680" spans="1:11" ht="17.25" customHeight="1" x14ac:dyDescent="0.2">
      <c r="A680" s="21">
        <v>679</v>
      </c>
      <c r="B680" s="22" t="s">
        <v>1532</v>
      </c>
      <c r="C680" s="22" t="s">
        <v>12</v>
      </c>
      <c r="D680" s="21" t="s">
        <v>69</v>
      </c>
      <c r="E680" s="21"/>
      <c r="F680" s="21"/>
      <c r="G680" s="21"/>
      <c r="H680" s="21"/>
      <c r="I680" s="21">
        <v>37.1</v>
      </c>
      <c r="J680" s="24">
        <v>-8</v>
      </c>
      <c r="K680" s="21"/>
    </row>
    <row r="681" spans="1:11" ht="17.25" customHeight="1" x14ac:dyDescent="0.2">
      <c r="A681" s="21">
        <v>680</v>
      </c>
      <c r="B681" s="22" t="s">
        <v>965</v>
      </c>
      <c r="C681" s="22" t="s">
        <v>211</v>
      </c>
      <c r="D681" s="21" t="s">
        <v>779</v>
      </c>
      <c r="E681" s="21"/>
      <c r="F681" s="21"/>
      <c r="G681" s="21"/>
      <c r="H681" s="21">
        <v>342</v>
      </c>
      <c r="I681" s="21"/>
      <c r="J681" s="24">
        <v>-8.1</v>
      </c>
      <c r="K681" s="21"/>
    </row>
    <row r="682" spans="1:11" ht="17.25" customHeight="1" x14ac:dyDescent="0.2">
      <c r="A682" s="21">
        <v>681</v>
      </c>
      <c r="B682" s="22" t="s">
        <v>1533</v>
      </c>
      <c r="C682" s="22" t="s">
        <v>52</v>
      </c>
      <c r="D682" s="21" t="s">
        <v>69</v>
      </c>
      <c r="E682" s="21"/>
      <c r="F682" s="21"/>
      <c r="G682" s="21"/>
      <c r="H682" s="21"/>
      <c r="I682" s="21">
        <v>36.1</v>
      </c>
      <c r="J682" s="24">
        <v>-8.1</v>
      </c>
      <c r="K682" s="21"/>
    </row>
    <row r="683" spans="1:11" ht="17.25" customHeight="1" x14ac:dyDescent="0.2">
      <c r="A683" s="21">
        <v>682</v>
      </c>
      <c r="B683" s="22" t="s">
        <v>650</v>
      </c>
      <c r="C683" s="22" t="s">
        <v>34</v>
      </c>
      <c r="D683" s="21" t="s">
        <v>69</v>
      </c>
      <c r="E683" s="21"/>
      <c r="F683" s="21"/>
      <c r="G683" s="21"/>
      <c r="H683" s="21"/>
      <c r="I683" s="21">
        <v>65</v>
      </c>
      <c r="J683" s="24">
        <v>-8.1</v>
      </c>
      <c r="K683" s="21"/>
    </row>
    <row r="684" spans="1:11" ht="17.25" customHeight="1" x14ac:dyDescent="0.2">
      <c r="A684" s="21">
        <v>683</v>
      </c>
      <c r="B684" s="22" t="s">
        <v>537</v>
      </c>
      <c r="C684" s="22" t="s">
        <v>60</v>
      </c>
      <c r="D684" s="21" t="s">
        <v>28</v>
      </c>
      <c r="E684" s="21"/>
      <c r="F684" s="21"/>
      <c r="G684" s="21"/>
      <c r="H684" s="21"/>
      <c r="I684" s="21">
        <v>90</v>
      </c>
      <c r="J684" s="24">
        <v>-8.1999999999999993</v>
      </c>
      <c r="K684" s="21"/>
    </row>
    <row r="685" spans="1:11" ht="17.25" customHeight="1" x14ac:dyDescent="0.2">
      <c r="A685" s="21">
        <v>684</v>
      </c>
      <c r="B685" s="22" t="s">
        <v>257</v>
      </c>
      <c r="C685" s="22" t="s">
        <v>34</v>
      </c>
      <c r="D685" s="21" t="s">
        <v>25</v>
      </c>
      <c r="E685" s="21"/>
      <c r="F685" s="21"/>
      <c r="G685" s="21"/>
      <c r="H685" s="21">
        <v>344</v>
      </c>
      <c r="I685" s="21"/>
      <c r="J685" s="24">
        <v>-8.1999999999999993</v>
      </c>
      <c r="K685" s="21"/>
    </row>
    <row r="686" spans="1:11" ht="17.25" customHeight="1" x14ac:dyDescent="0.2">
      <c r="A686" s="21">
        <v>685</v>
      </c>
      <c r="B686" s="22" t="s">
        <v>722</v>
      </c>
      <c r="C686" s="22" t="s">
        <v>12</v>
      </c>
      <c r="D686" s="21" t="s">
        <v>25</v>
      </c>
      <c r="E686" s="21"/>
      <c r="F686" s="21"/>
      <c r="G686" s="21"/>
      <c r="H686" s="21">
        <v>322</v>
      </c>
      <c r="I686" s="21"/>
      <c r="J686" s="24">
        <v>-8.1999999999999993</v>
      </c>
      <c r="K686" s="21"/>
    </row>
    <row r="687" spans="1:11" ht="17.25" customHeight="1" x14ac:dyDescent="0.2">
      <c r="A687" s="21">
        <v>686</v>
      </c>
      <c r="B687" s="22" t="s">
        <v>1534</v>
      </c>
      <c r="C687" s="22" t="s">
        <v>42</v>
      </c>
      <c r="D687" s="21" t="s">
        <v>69</v>
      </c>
      <c r="E687" s="21"/>
      <c r="F687" s="21"/>
      <c r="G687" s="21"/>
      <c r="H687" s="21"/>
      <c r="I687" s="21">
        <v>37</v>
      </c>
      <c r="J687" s="24">
        <v>-8.1999999999999993</v>
      </c>
      <c r="K687" s="21"/>
    </row>
    <row r="688" spans="1:11" ht="17.25" customHeight="1" x14ac:dyDescent="0.2">
      <c r="A688" s="21">
        <v>687</v>
      </c>
      <c r="B688" s="22" t="s">
        <v>621</v>
      </c>
      <c r="C688" s="22" t="s">
        <v>18</v>
      </c>
      <c r="D688" s="21" t="s">
        <v>69</v>
      </c>
      <c r="E688" s="21"/>
      <c r="F688" s="21"/>
      <c r="G688" s="21"/>
      <c r="H688" s="21"/>
      <c r="I688" s="21">
        <v>64</v>
      </c>
      <c r="J688" s="24">
        <v>-8.3000000000000007</v>
      </c>
      <c r="K688" s="21"/>
    </row>
    <row r="689" spans="1:11" ht="17.25" customHeight="1" x14ac:dyDescent="0.2">
      <c r="A689" s="21">
        <v>688</v>
      </c>
      <c r="B689" s="22" t="s">
        <v>895</v>
      </c>
      <c r="C689" s="22" t="s">
        <v>313</v>
      </c>
      <c r="D689" s="21" t="s">
        <v>25</v>
      </c>
      <c r="E689" s="21"/>
      <c r="F689" s="21"/>
      <c r="G689" s="21"/>
      <c r="H689" s="21">
        <v>328</v>
      </c>
      <c r="I689" s="21"/>
      <c r="J689" s="24">
        <v>-8.3000000000000007</v>
      </c>
      <c r="K689" s="21"/>
    </row>
    <row r="690" spans="1:11" ht="17.25" customHeight="1" x14ac:dyDescent="0.2">
      <c r="A690" s="21">
        <v>689</v>
      </c>
      <c r="B690" s="22" t="s">
        <v>1535</v>
      </c>
      <c r="C690" s="22" t="s">
        <v>46</v>
      </c>
      <c r="D690" s="21" t="s">
        <v>69</v>
      </c>
      <c r="E690" s="21"/>
      <c r="F690" s="21"/>
      <c r="G690" s="21"/>
      <c r="H690" s="21"/>
      <c r="I690" s="21">
        <v>39.1</v>
      </c>
      <c r="J690" s="24">
        <v>-8.3000000000000007</v>
      </c>
      <c r="K690" s="21"/>
    </row>
    <row r="691" spans="1:11" ht="17.25" customHeight="1" x14ac:dyDescent="0.2">
      <c r="A691" s="21">
        <v>690</v>
      </c>
      <c r="B691" s="22" t="s">
        <v>1536</v>
      </c>
      <c r="C691" s="22" t="s">
        <v>46</v>
      </c>
      <c r="D691" s="21" t="s">
        <v>28</v>
      </c>
      <c r="E691" s="21"/>
      <c r="F691" s="21"/>
      <c r="G691" s="21"/>
      <c r="H691" s="21"/>
      <c r="I691" s="21">
        <v>22</v>
      </c>
      <c r="J691" s="24">
        <v>-8.4</v>
      </c>
      <c r="K691" s="21"/>
    </row>
    <row r="692" spans="1:11" ht="17.25" customHeight="1" x14ac:dyDescent="0.2">
      <c r="A692" s="21">
        <v>691</v>
      </c>
      <c r="B692" s="22" t="s">
        <v>753</v>
      </c>
      <c r="C692" s="22" t="s">
        <v>34</v>
      </c>
      <c r="D692" s="21" t="s">
        <v>25</v>
      </c>
      <c r="E692" s="21"/>
      <c r="F692" s="21"/>
      <c r="G692" s="21"/>
      <c r="H692" s="21">
        <v>333</v>
      </c>
      <c r="I692" s="21"/>
      <c r="J692" s="24">
        <v>-8.4</v>
      </c>
      <c r="K692" s="21"/>
    </row>
    <row r="693" spans="1:11" ht="17.25" customHeight="1" x14ac:dyDescent="0.2">
      <c r="A693" s="21">
        <v>692</v>
      </c>
      <c r="B693" s="22" t="s">
        <v>645</v>
      </c>
      <c r="C693" s="22" t="s">
        <v>132</v>
      </c>
      <c r="D693" s="21" t="s">
        <v>28</v>
      </c>
      <c r="E693" s="21"/>
      <c r="F693" s="21"/>
      <c r="G693" s="21"/>
      <c r="H693" s="21"/>
      <c r="I693" s="21">
        <v>156</v>
      </c>
      <c r="J693" s="24">
        <v>-8.4</v>
      </c>
      <c r="K693" s="21"/>
    </row>
    <row r="694" spans="1:11" ht="17.25" customHeight="1" x14ac:dyDescent="0.2">
      <c r="A694" s="21">
        <v>693</v>
      </c>
      <c r="B694" s="22" t="s">
        <v>576</v>
      </c>
      <c r="C694" s="21"/>
      <c r="D694" s="21" t="s">
        <v>28</v>
      </c>
      <c r="E694" s="21"/>
      <c r="F694" s="21"/>
      <c r="G694" s="21"/>
      <c r="H694" s="21"/>
      <c r="I694" s="21">
        <v>39</v>
      </c>
      <c r="J694" s="24">
        <v>-8.5</v>
      </c>
      <c r="K694" s="21"/>
    </row>
    <row r="695" spans="1:11" ht="17.25" customHeight="1" x14ac:dyDescent="0.2">
      <c r="A695" s="21">
        <v>694</v>
      </c>
      <c r="B695" s="22" t="s">
        <v>513</v>
      </c>
      <c r="C695" s="22" t="s">
        <v>232</v>
      </c>
      <c r="D695" s="21" t="s">
        <v>69</v>
      </c>
      <c r="E695" s="21"/>
      <c r="F695" s="21"/>
      <c r="G695" s="21"/>
      <c r="H695" s="21"/>
      <c r="I695" s="21">
        <v>30</v>
      </c>
      <c r="J695" s="24">
        <v>-8.5</v>
      </c>
      <c r="K695" s="21"/>
    </row>
    <row r="696" spans="1:11" ht="17.25" customHeight="1" x14ac:dyDescent="0.2">
      <c r="A696" s="21">
        <v>695</v>
      </c>
      <c r="B696" s="22" t="s">
        <v>1537</v>
      </c>
      <c r="C696" s="22" t="s">
        <v>39</v>
      </c>
      <c r="D696" s="21" t="s">
        <v>69</v>
      </c>
      <c r="E696" s="21"/>
      <c r="F696" s="21"/>
      <c r="G696" s="21"/>
      <c r="H696" s="21"/>
      <c r="I696" s="21">
        <v>69.099999999999994</v>
      </c>
      <c r="J696" s="24">
        <v>-8.6</v>
      </c>
      <c r="K696" s="21"/>
    </row>
    <row r="697" spans="1:11" ht="17.25" customHeight="1" x14ac:dyDescent="0.2">
      <c r="A697" s="21">
        <v>696</v>
      </c>
      <c r="B697" s="22" t="s">
        <v>735</v>
      </c>
      <c r="C697" s="22" t="s">
        <v>125</v>
      </c>
      <c r="D697" s="21" t="s">
        <v>74</v>
      </c>
      <c r="E697" s="21"/>
      <c r="F697" s="21"/>
      <c r="G697" s="21"/>
      <c r="H697" s="21">
        <v>100</v>
      </c>
      <c r="I697" s="21"/>
      <c r="J697" s="24">
        <v>-8.6</v>
      </c>
      <c r="K697" s="21"/>
    </row>
    <row r="698" spans="1:11" ht="17.25" customHeight="1" x14ac:dyDescent="0.2">
      <c r="A698" s="21">
        <v>697</v>
      </c>
      <c r="B698" s="22" t="s">
        <v>474</v>
      </c>
      <c r="C698" s="22" t="s">
        <v>89</v>
      </c>
      <c r="D698" s="21" t="s">
        <v>28</v>
      </c>
      <c r="E698" s="21"/>
      <c r="F698" s="21"/>
      <c r="G698" s="21"/>
      <c r="H698" s="21"/>
      <c r="I698" s="21">
        <v>81</v>
      </c>
      <c r="J698" s="24">
        <v>-8.6999999999999993</v>
      </c>
      <c r="K698" s="21"/>
    </row>
    <row r="699" spans="1:11" ht="17.25" customHeight="1" x14ac:dyDescent="0.2">
      <c r="A699" s="21">
        <v>698</v>
      </c>
      <c r="B699" s="22" t="s">
        <v>1538</v>
      </c>
      <c r="C699" s="21"/>
      <c r="D699" s="21" t="s">
        <v>69</v>
      </c>
      <c r="E699" s="21"/>
      <c r="F699" s="21"/>
      <c r="G699" s="21"/>
      <c r="H699" s="21"/>
      <c r="I699" s="21">
        <v>37</v>
      </c>
      <c r="J699" s="24">
        <v>-8.6999999999999993</v>
      </c>
      <c r="K699" s="21"/>
    </row>
    <row r="700" spans="1:11" ht="17.25" customHeight="1" x14ac:dyDescent="0.2">
      <c r="A700" s="21">
        <v>699</v>
      </c>
      <c r="B700" s="22" t="s">
        <v>1539</v>
      </c>
      <c r="C700" s="22" t="s">
        <v>313</v>
      </c>
      <c r="D700" s="21" t="s">
        <v>69</v>
      </c>
      <c r="E700" s="21"/>
      <c r="F700" s="21"/>
      <c r="G700" s="21"/>
      <c r="H700" s="21"/>
      <c r="I700" s="21">
        <v>34.1</v>
      </c>
      <c r="J700" s="24">
        <v>-8.6999999999999993</v>
      </c>
      <c r="K700" s="21"/>
    </row>
    <row r="701" spans="1:11" ht="17.25" customHeight="1" x14ac:dyDescent="0.2">
      <c r="A701" s="21">
        <v>700</v>
      </c>
      <c r="B701" s="22" t="s">
        <v>1540</v>
      </c>
      <c r="C701" s="22" t="s">
        <v>66</v>
      </c>
      <c r="D701" s="21" t="s">
        <v>69</v>
      </c>
      <c r="E701" s="21"/>
      <c r="F701" s="21"/>
      <c r="G701" s="21"/>
      <c r="H701" s="21"/>
      <c r="I701" s="21">
        <v>47</v>
      </c>
      <c r="J701" s="24">
        <v>-8.6999999999999993</v>
      </c>
      <c r="K701" s="21"/>
    </row>
    <row r="702" spans="1:11" ht="17.25" customHeight="1" x14ac:dyDescent="0.2">
      <c r="A702" s="21">
        <v>701</v>
      </c>
      <c r="B702" s="22" t="s">
        <v>1541</v>
      </c>
      <c r="C702" s="22" t="s">
        <v>117</v>
      </c>
      <c r="D702" s="21" t="s">
        <v>28</v>
      </c>
      <c r="E702" s="21"/>
      <c r="F702" s="21"/>
      <c r="G702" s="21"/>
      <c r="H702" s="21"/>
      <c r="I702" s="21">
        <v>17</v>
      </c>
      <c r="J702" s="24">
        <v>-8.6999999999999993</v>
      </c>
      <c r="K702" s="21"/>
    </row>
    <row r="703" spans="1:11" ht="17.25" customHeight="1" x14ac:dyDescent="0.2">
      <c r="A703" s="21">
        <v>702</v>
      </c>
      <c r="B703" s="22" t="s">
        <v>592</v>
      </c>
      <c r="C703" s="21"/>
      <c r="D703" s="21" t="s">
        <v>28</v>
      </c>
      <c r="E703" s="21"/>
      <c r="F703" s="21"/>
      <c r="G703" s="21"/>
      <c r="H703" s="21"/>
      <c r="I703" s="21">
        <v>38.1</v>
      </c>
      <c r="J703" s="24">
        <v>-8.8000000000000007</v>
      </c>
      <c r="K703" s="21"/>
    </row>
    <row r="704" spans="1:11" ht="17.25" customHeight="1" x14ac:dyDescent="0.2">
      <c r="A704" s="21">
        <v>703</v>
      </c>
      <c r="B704" s="22" t="s">
        <v>1542</v>
      </c>
      <c r="C704" s="22" t="s">
        <v>12</v>
      </c>
      <c r="D704" s="21" t="s">
        <v>69</v>
      </c>
      <c r="E704" s="21"/>
      <c r="F704" s="21"/>
      <c r="G704" s="21"/>
      <c r="H704" s="21"/>
      <c r="I704" s="21">
        <v>77.099999999999994</v>
      </c>
      <c r="J704" s="24">
        <v>-8.8000000000000007</v>
      </c>
      <c r="K704" s="21"/>
    </row>
    <row r="705" spans="1:11" ht="17.25" customHeight="1" x14ac:dyDescent="0.2">
      <c r="A705" s="21">
        <v>704</v>
      </c>
      <c r="B705" s="22" t="s">
        <v>417</v>
      </c>
      <c r="C705" s="22" t="s">
        <v>18</v>
      </c>
      <c r="D705" s="21" t="s">
        <v>25</v>
      </c>
      <c r="E705" s="21"/>
      <c r="F705" s="21"/>
      <c r="G705" s="21"/>
      <c r="H705" s="21">
        <v>409</v>
      </c>
      <c r="I705" s="21"/>
      <c r="J705" s="24">
        <v>-8.8000000000000007</v>
      </c>
      <c r="K705" s="21"/>
    </row>
    <row r="706" spans="1:11" ht="17.25" customHeight="1" x14ac:dyDescent="0.2">
      <c r="A706" s="21">
        <v>705</v>
      </c>
      <c r="B706" s="22" t="s">
        <v>1543</v>
      </c>
      <c r="C706" s="22" t="s">
        <v>21</v>
      </c>
      <c r="D706" s="21" t="s">
        <v>69</v>
      </c>
      <c r="E706" s="21"/>
      <c r="F706" s="21"/>
      <c r="G706" s="21"/>
      <c r="H706" s="21"/>
      <c r="I706" s="21">
        <v>29</v>
      </c>
      <c r="J706" s="24">
        <v>-8.8000000000000007</v>
      </c>
      <c r="K706" s="21"/>
    </row>
    <row r="707" spans="1:11" ht="17.25" customHeight="1" x14ac:dyDescent="0.2">
      <c r="A707" s="21">
        <v>706</v>
      </c>
      <c r="B707" s="22" t="s">
        <v>817</v>
      </c>
      <c r="C707" s="21"/>
      <c r="D707" s="21" t="s">
        <v>69</v>
      </c>
      <c r="E707" s="21"/>
      <c r="F707" s="21"/>
      <c r="G707" s="21"/>
      <c r="H707" s="21"/>
      <c r="I707" s="21">
        <v>48</v>
      </c>
      <c r="J707" s="24">
        <v>-8.8000000000000007</v>
      </c>
      <c r="K707" s="21"/>
    </row>
    <row r="708" spans="1:11" ht="17.25" customHeight="1" x14ac:dyDescent="0.2">
      <c r="A708" s="21">
        <v>707</v>
      </c>
      <c r="B708" s="22" t="s">
        <v>1544</v>
      </c>
      <c r="C708" s="22" t="s">
        <v>46</v>
      </c>
      <c r="D708" s="21" t="s">
        <v>69</v>
      </c>
      <c r="E708" s="21"/>
      <c r="F708" s="21"/>
      <c r="G708" s="21"/>
      <c r="H708" s="21"/>
      <c r="I708" s="21">
        <v>38.1</v>
      </c>
      <c r="J708" s="24">
        <v>-8.9</v>
      </c>
      <c r="K708" s="21"/>
    </row>
    <row r="709" spans="1:11" ht="17.25" customHeight="1" x14ac:dyDescent="0.2">
      <c r="A709" s="21">
        <v>708</v>
      </c>
      <c r="B709" s="22" t="s">
        <v>1545</v>
      </c>
      <c r="C709" s="22" t="s">
        <v>232</v>
      </c>
      <c r="D709" s="21" t="s">
        <v>69</v>
      </c>
      <c r="E709" s="21"/>
      <c r="F709" s="21"/>
      <c r="G709" s="21"/>
      <c r="H709" s="21"/>
      <c r="I709" s="21">
        <v>22.1</v>
      </c>
      <c r="J709" s="24">
        <v>-8.9</v>
      </c>
      <c r="K709" s="21"/>
    </row>
    <row r="710" spans="1:11" ht="17.25" customHeight="1" x14ac:dyDescent="0.2">
      <c r="A710" s="21">
        <v>709</v>
      </c>
      <c r="B710" s="22" t="s">
        <v>234</v>
      </c>
      <c r="C710" s="21"/>
      <c r="D710" s="21" t="s">
        <v>28</v>
      </c>
      <c r="E710" s="21"/>
      <c r="F710" s="21"/>
      <c r="G710" s="21"/>
      <c r="H710" s="21"/>
      <c r="I710" s="21">
        <v>34</v>
      </c>
      <c r="J710" s="24">
        <v>-8.9</v>
      </c>
      <c r="K710" s="21"/>
    </row>
    <row r="711" spans="1:11" ht="17.25" customHeight="1" x14ac:dyDescent="0.2">
      <c r="A711" s="21">
        <v>710</v>
      </c>
      <c r="B711" s="22" t="s">
        <v>457</v>
      </c>
      <c r="C711" s="21"/>
      <c r="D711" s="21" t="s">
        <v>238</v>
      </c>
      <c r="E711" s="21"/>
      <c r="F711" s="21"/>
      <c r="G711" s="21"/>
      <c r="H711" s="21"/>
      <c r="I711" s="21">
        <v>55</v>
      </c>
      <c r="J711" s="24">
        <v>-9</v>
      </c>
      <c r="K711" s="21"/>
    </row>
    <row r="712" spans="1:11" ht="17.25" customHeight="1" x14ac:dyDescent="0.2">
      <c r="A712" s="21">
        <v>711</v>
      </c>
      <c r="B712" s="22" t="s">
        <v>1546</v>
      </c>
      <c r="C712" s="22" t="s">
        <v>12</v>
      </c>
      <c r="D712" s="21" t="s">
        <v>69</v>
      </c>
      <c r="E712" s="21"/>
      <c r="F712" s="21"/>
      <c r="G712" s="21"/>
      <c r="H712" s="21"/>
      <c r="I712" s="21">
        <v>19</v>
      </c>
      <c r="J712" s="24">
        <v>-9</v>
      </c>
      <c r="K712" s="21"/>
    </row>
    <row r="713" spans="1:11" ht="17.25" customHeight="1" x14ac:dyDescent="0.2">
      <c r="A713" s="21">
        <v>712</v>
      </c>
      <c r="B713" s="22" t="s">
        <v>499</v>
      </c>
      <c r="C713" s="22" t="s">
        <v>34</v>
      </c>
      <c r="D713" s="21" t="s">
        <v>25</v>
      </c>
      <c r="E713" s="21"/>
      <c r="F713" s="21"/>
      <c r="G713" s="21"/>
      <c r="H713" s="21">
        <v>253</v>
      </c>
      <c r="I713" s="21"/>
      <c r="J713" s="24">
        <v>-9</v>
      </c>
      <c r="K713" s="21"/>
    </row>
    <row r="714" spans="1:11" ht="17.25" customHeight="1" x14ac:dyDescent="0.2">
      <c r="A714" s="21">
        <v>713</v>
      </c>
      <c r="B714" s="22" t="s">
        <v>534</v>
      </c>
      <c r="C714" s="22" t="s">
        <v>46</v>
      </c>
      <c r="D714" s="21" t="s">
        <v>28</v>
      </c>
      <c r="E714" s="21"/>
      <c r="F714" s="21"/>
      <c r="G714" s="21"/>
      <c r="H714" s="21"/>
      <c r="I714" s="21">
        <v>11</v>
      </c>
      <c r="J714" s="24">
        <v>-9</v>
      </c>
      <c r="K714" s="21"/>
    </row>
    <row r="715" spans="1:11" ht="17.25" customHeight="1" x14ac:dyDescent="0.2">
      <c r="A715" s="21">
        <v>714</v>
      </c>
      <c r="B715" s="22" t="s">
        <v>821</v>
      </c>
      <c r="C715" s="22" t="s">
        <v>50</v>
      </c>
      <c r="D715" s="21" t="s">
        <v>69</v>
      </c>
      <c r="E715" s="21"/>
      <c r="F715" s="21"/>
      <c r="G715" s="21"/>
      <c r="H715" s="21"/>
      <c r="I715" s="21">
        <v>66</v>
      </c>
      <c r="J715" s="24">
        <v>-9</v>
      </c>
      <c r="K715" s="21"/>
    </row>
    <row r="716" spans="1:11" ht="17.25" customHeight="1" x14ac:dyDescent="0.2">
      <c r="A716" s="21">
        <v>715</v>
      </c>
      <c r="B716" s="22" t="s">
        <v>831</v>
      </c>
      <c r="C716" s="22" t="s">
        <v>55</v>
      </c>
      <c r="D716" s="21" t="s">
        <v>206</v>
      </c>
      <c r="E716" s="21"/>
      <c r="F716" s="21"/>
      <c r="G716" s="21"/>
      <c r="H716" s="21">
        <v>348</v>
      </c>
      <c r="I716" s="21"/>
      <c r="J716" s="24">
        <v>-9</v>
      </c>
      <c r="K716" s="21"/>
    </row>
    <row r="717" spans="1:11" ht="17.25" customHeight="1" x14ac:dyDescent="0.2">
      <c r="A717" s="21">
        <v>716</v>
      </c>
      <c r="B717" s="22" t="s">
        <v>466</v>
      </c>
      <c r="C717" s="22" t="s">
        <v>24</v>
      </c>
      <c r="D717" s="21" t="s">
        <v>69</v>
      </c>
      <c r="E717" s="21"/>
      <c r="F717" s="21"/>
      <c r="G717" s="21"/>
      <c r="H717" s="21"/>
      <c r="I717" s="21">
        <v>55</v>
      </c>
      <c r="J717" s="24">
        <v>-9</v>
      </c>
      <c r="K717" s="21"/>
    </row>
    <row r="718" spans="1:11" ht="17.25" customHeight="1" x14ac:dyDescent="0.2">
      <c r="A718" s="21">
        <v>717</v>
      </c>
      <c r="B718" s="22" t="s">
        <v>807</v>
      </c>
      <c r="C718" s="22" t="s">
        <v>232</v>
      </c>
      <c r="D718" s="21" t="s">
        <v>19</v>
      </c>
      <c r="E718" s="21"/>
      <c r="F718" s="21"/>
      <c r="G718" s="21"/>
      <c r="H718" s="21">
        <v>317</v>
      </c>
      <c r="I718" s="21"/>
      <c r="J718" s="24">
        <v>-9</v>
      </c>
      <c r="K718" s="21"/>
    </row>
    <row r="719" spans="1:11" ht="17.25" customHeight="1" x14ac:dyDescent="0.2">
      <c r="A719" s="21">
        <v>718</v>
      </c>
      <c r="B719" s="22" t="s">
        <v>1547</v>
      </c>
      <c r="C719" s="22" t="s">
        <v>117</v>
      </c>
      <c r="D719" s="21" t="s">
        <v>28</v>
      </c>
      <c r="E719" s="21"/>
      <c r="F719" s="21"/>
      <c r="G719" s="21"/>
      <c r="H719" s="21"/>
      <c r="I719" s="21">
        <v>32</v>
      </c>
      <c r="J719" s="24">
        <v>-9</v>
      </c>
      <c r="K719" s="21"/>
    </row>
    <row r="720" spans="1:11" ht="17.25" customHeight="1" x14ac:dyDescent="0.2">
      <c r="A720" s="21">
        <v>719</v>
      </c>
      <c r="B720" s="22" t="s">
        <v>268</v>
      </c>
      <c r="C720" s="22" t="s">
        <v>21</v>
      </c>
      <c r="D720" s="21" t="s">
        <v>82</v>
      </c>
      <c r="E720" s="21"/>
      <c r="F720" s="21"/>
      <c r="G720" s="21"/>
      <c r="H720" s="21">
        <v>328</v>
      </c>
      <c r="I720" s="21"/>
      <c r="J720" s="24">
        <v>-9.1</v>
      </c>
      <c r="K720" s="21"/>
    </row>
    <row r="721" spans="1:11" ht="17.25" customHeight="1" x14ac:dyDescent="0.2">
      <c r="A721" s="21">
        <v>720</v>
      </c>
      <c r="B721" s="22" t="s">
        <v>1548</v>
      </c>
      <c r="C721" s="22" t="s">
        <v>46</v>
      </c>
      <c r="D721" s="21" t="s">
        <v>28</v>
      </c>
      <c r="E721" s="21"/>
      <c r="F721" s="21"/>
      <c r="G721" s="21"/>
      <c r="H721" s="21"/>
      <c r="I721" s="21">
        <v>32</v>
      </c>
      <c r="J721" s="24">
        <v>-9.1</v>
      </c>
      <c r="K721" s="21"/>
    </row>
    <row r="722" spans="1:11" ht="17.25" customHeight="1" x14ac:dyDescent="0.2">
      <c r="A722" s="21">
        <v>721</v>
      </c>
      <c r="B722" s="22" t="s">
        <v>1549</v>
      </c>
      <c r="C722" s="22" t="s">
        <v>18</v>
      </c>
      <c r="D722" s="21" t="s">
        <v>69</v>
      </c>
      <c r="E722" s="21"/>
      <c r="F722" s="21"/>
      <c r="G722" s="21"/>
      <c r="H722" s="21"/>
      <c r="I722" s="21">
        <v>14</v>
      </c>
      <c r="J722" s="24">
        <v>-9.1</v>
      </c>
      <c r="K722" s="21"/>
    </row>
    <row r="723" spans="1:11" ht="17.25" customHeight="1" x14ac:dyDescent="0.2">
      <c r="A723" s="21">
        <v>722</v>
      </c>
      <c r="B723" s="22" t="s">
        <v>284</v>
      </c>
      <c r="C723" s="22" t="s">
        <v>117</v>
      </c>
      <c r="D723" s="21" t="s">
        <v>74</v>
      </c>
      <c r="E723" s="21"/>
      <c r="F723" s="21"/>
      <c r="G723" s="21"/>
      <c r="H723" s="21">
        <v>231</v>
      </c>
      <c r="I723" s="21"/>
      <c r="J723" s="24">
        <v>-9.1</v>
      </c>
      <c r="K723" s="21"/>
    </row>
    <row r="724" spans="1:11" ht="17.25" customHeight="1" x14ac:dyDescent="0.2">
      <c r="A724" s="21">
        <v>723</v>
      </c>
      <c r="B724" s="22" t="s">
        <v>1550</v>
      </c>
      <c r="C724" s="22" t="s">
        <v>36</v>
      </c>
      <c r="D724" s="21" t="s">
        <v>69</v>
      </c>
      <c r="E724" s="21"/>
      <c r="F724" s="21"/>
      <c r="G724" s="21"/>
      <c r="H724" s="21"/>
      <c r="I724" s="21">
        <v>35</v>
      </c>
      <c r="J724" s="24">
        <v>-9.1</v>
      </c>
      <c r="K724" s="21"/>
    </row>
    <row r="725" spans="1:11" ht="17.25" customHeight="1" x14ac:dyDescent="0.2">
      <c r="A725" s="21">
        <v>724</v>
      </c>
      <c r="B725" s="22" t="s">
        <v>461</v>
      </c>
      <c r="C725" s="22" t="s">
        <v>60</v>
      </c>
      <c r="D725" s="21" t="s">
        <v>16</v>
      </c>
      <c r="E725" s="21"/>
      <c r="F725" s="21"/>
      <c r="G725" s="21"/>
      <c r="H725" s="21">
        <v>209</v>
      </c>
      <c r="I725" s="21"/>
      <c r="J725" s="24">
        <v>-9.1</v>
      </c>
      <c r="K725" s="21"/>
    </row>
    <row r="726" spans="1:11" ht="17.25" customHeight="1" x14ac:dyDescent="0.2">
      <c r="A726" s="21">
        <v>725</v>
      </c>
      <c r="B726" s="22" t="s">
        <v>661</v>
      </c>
      <c r="C726" s="22" t="s">
        <v>46</v>
      </c>
      <c r="D726" s="21" t="s">
        <v>69</v>
      </c>
      <c r="E726" s="21"/>
      <c r="F726" s="21"/>
      <c r="G726" s="21"/>
      <c r="H726" s="21"/>
      <c r="I726" s="21">
        <v>68</v>
      </c>
      <c r="J726" s="24">
        <v>-9.1999999999999993</v>
      </c>
      <c r="K726" s="21"/>
    </row>
    <row r="727" spans="1:11" ht="17.25" customHeight="1" x14ac:dyDescent="0.2">
      <c r="A727" s="21">
        <v>726</v>
      </c>
      <c r="B727" s="22" t="s">
        <v>428</v>
      </c>
      <c r="C727" s="22" t="s">
        <v>211</v>
      </c>
      <c r="D727" s="21" t="s">
        <v>25</v>
      </c>
      <c r="E727" s="21"/>
      <c r="F727" s="21"/>
      <c r="G727" s="21"/>
      <c r="H727" s="21">
        <v>305</v>
      </c>
      <c r="I727" s="21"/>
      <c r="J727" s="24">
        <v>-9.1999999999999993</v>
      </c>
      <c r="K727" s="21"/>
    </row>
    <row r="728" spans="1:11" ht="17.25" customHeight="1" x14ac:dyDescent="0.2">
      <c r="A728" s="21">
        <v>727</v>
      </c>
      <c r="B728" s="22" t="s">
        <v>383</v>
      </c>
      <c r="C728" s="22" t="s">
        <v>32</v>
      </c>
      <c r="D728" s="21" t="s">
        <v>201</v>
      </c>
      <c r="E728" s="21"/>
      <c r="F728" s="21"/>
      <c r="G728" s="21"/>
      <c r="H728" s="21">
        <v>243</v>
      </c>
      <c r="I728" s="21"/>
      <c r="J728" s="24">
        <v>-9.1999999999999993</v>
      </c>
      <c r="K728" s="21"/>
    </row>
    <row r="729" spans="1:11" ht="17.25" customHeight="1" x14ac:dyDescent="0.2">
      <c r="A729" s="21">
        <v>728</v>
      </c>
      <c r="B729" s="22" t="s">
        <v>1551</v>
      </c>
      <c r="C729" s="22" t="s">
        <v>39</v>
      </c>
      <c r="D729" s="21" t="s">
        <v>69</v>
      </c>
      <c r="E729" s="21"/>
      <c r="F729" s="21"/>
      <c r="G729" s="21"/>
      <c r="H729" s="21"/>
      <c r="I729" s="21">
        <v>22</v>
      </c>
      <c r="J729" s="24">
        <v>-9.1999999999999993</v>
      </c>
      <c r="K729" s="21"/>
    </row>
    <row r="730" spans="1:11" ht="17.25" customHeight="1" x14ac:dyDescent="0.2">
      <c r="A730" s="21">
        <v>729</v>
      </c>
      <c r="B730" s="22" t="s">
        <v>601</v>
      </c>
      <c r="C730" s="22" t="s">
        <v>21</v>
      </c>
      <c r="D730" s="21" t="s">
        <v>354</v>
      </c>
      <c r="E730" s="21"/>
      <c r="F730" s="21"/>
      <c r="G730" s="21"/>
      <c r="H730" s="21">
        <v>383</v>
      </c>
      <c r="I730" s="21"/>
      <c r="J730" s="24">
        <v>-9.3000000000000007</v>
      </c>
      <c r="K730" s="21"/>
    </row>
    <row r="731" spans="1:11" ht="17.25" customHeight="1" x14ac:dyDescent="0.2">
      <c r="A731" s="21">
        <v>730</v>
      </c>
      <c r="B731" s="22" t="s">
        <v>655</v>
      </c>
      <c r="C731" s="22" t="s">
        <v>48</v>
      </c>
      <c r="D731" s="21" t="s">
        <v>74</v>
      </c>
      <c r="E731" s="21"/>
      <c r="F731" s="21"/>
      <c r="G731" s="21"/>
      <c r="H731" s="21">
        <v>190</v>
      </c>
      <c r="I731" s="21"/>
      <c r="J731" s="24">
        <v>-9.3000000000000007</v>
      </c>
      <c r="K731" s="21"/>
    </row>
    <row r="732" spans="1:11" ht="17.25" customHeight="1" x14ac:dyDescent="0.2">
      <c r="A732" s="21">
        <v>731</v>
      </c>
      <c r="B732" s="22" t="s">
        <v>465</v>
      </c>
      <c r="C732" s="22" t="s">
        <v>12</v>
      </c>
      <c r="D732" s="21" t="s">
        <v>280</v>
      </c>
      <c r="E732" s="21"/>
      <c r="F732" s="21"/>
      <c r="G732" s="21"/>
      <c r="H732" s="21">
        <v>317</v>
      </c>
      <c r="I732" s="21"/>
      <c r="J732" s="24">
        <v>-9.3000000000000007</v>
      </c>
      <c r="K732" s="21"/>
    </row>
    <row r="733" spans="1:11" ht="17.25" customHeight="1" x14ac:dyDescent="0.2">
      <c r="A733" s="21">
        <v>732</v>
      </c>
      <c r="B733" s="22" t="s">
        <v>887</v>
      </c>
      <c r="C733" s="22" t="s">
        <v>36</v>
      </c>
      <c r="D733" s="21" t="s">
        <v>69</v>
      </c>
      <c r="E733" s="21"/>
      <c r="F733" s="21"/>
      <c r="G733" s="21"/>
      <c r="H733" s="21"/>
      <c r="I733" s="21">
        <v>19</v>
      </c>
      <c r="J733" s="24">
        <v>-9.3000000000000007</v>
      </c>
      <c r="K733" s="21"/>
    </row>
    <row r="734" spans="1:11" ht="17.25" customHeight="1" x14ac:dyDescent="0.2">
      <c r="A734" s="21">
        <v>733</v>
      </c>
      <c r="B734" s="22" t="s">
        <v>1552</v>
      </c>
      <c r="C734" s="22" t="s">
        <v>18</v>
      </c>
      <c r="D734" s="21" t="s">
        <v>69</v>
      </c>
      <c r="E734" s="21"/>
      <c r="F734" s="21"/>
      <c r="G734" s="21"/>
      <c r="H734" s="21"/>
      <c r="I734" s="21">
        <v>45.1</v>
      </c>
      <c r="J734" s="24">
        <v>-9.4</v>
      </c>
      <c r="K734" s="21"/>
    </row>
    <row r="735" spans="1:11" ht="17.25" customHeight="1" x14ac:dyDescent="0.2">
      <c r="A735" s="21">
        <v>734</v>
      </c>
      <c r="B735" s="22" t="s">
        <v>759</v>
      </c>
      <c r="C735" s="22" t="s">
        <v>66</v>
      </c>
      <c r="D735" s="21" t="s">
        <v>28</v>
      </c>
      <c r="E735" s="21"/>
      <c r="F735" s="21"/>
      <c r="G735" s="21"/>
      <c r="H735" s="21"/>
      <c r="I735" s="21">
        <v>126</v>
      </c>
      <c r="J735" s="24">
        <v>-9.4</v>
      </c>
      <c r="K735" s="21"/>
    </row>
    <row r="736" spans="1:11" ht="17.25" customHeight="1" x14ac:dyDescent="0.2">
      <c r="A736" s="21">
        <v>735</v>
      </c>
      <c r="B736" s="22" t="s">
        <v>425</v>
      </c>
      <c r="C736" s="22" t="s">
        <v>27</v>
      </c>
      <c r="D736" s="21" t="s">
        <v>74</v>
      </c>
      <c r="E736" s="21"/>
      <c r="F736" s="21"/>
      <c r="G736" s="21"/>
      <c r="H736" s="21">
        <v>142</v>
      </c>
      <c r="I736" s="21"/>
      <c r="J736" s="24">
        <v>-9.4</v>
      </c>
      <c r="K736" s="21"/>
    </row>
    <row r="737" spans="1:11" ht="17.25" customHeight="1" x14ac:dyDescent="0.2">
      <c r="A737" s="21">
        <v>736</v>
      </c>
      <c r="B737" s="22" t="s">
        <v>589</v>
      </c>
      <c r="C737" s="22" t="s">
        <v>42</v>
      </c>
      <c r="D737" s="21" t="s">
        <v>201</v>
      </c>
      <c r="E737" s="21"/>
      <c r="F737" s="21"/>
      <c r="G737" s="21"/>
      <c r="H737" s="21">
        <v>227</v>
      </c>
      <c r="I737" s="21"/>
      <c r="J737" s="24">
        <v>-9.4</v>
      </c>
      <c r="K737" s="21"/>
    </row>
    <row r="738" spans="1:11" ht="17.25" customHeight="1" x14ac:dyDescent="0.2">
      <c r="A738" s="21">
        <v>737</v>
      </c>
      <c r="B738" s="22" t="s">
        <v>1553</v>
      </c>
      <c r="C738" s="22" t="s">
        <v>117</v>
      </c>
      <c r="D738" s="21" t="s">
        <v>28</v>
      </c>
      <c r="E738" s="21"/>
      <c r="F738" s="21"/>
      <c r="G738" s="21"/>
      <c r="H738" s="21"/>
      <c r="I738" s="21">
        <v>13.1</v>
      </c>
      <c r="J738" s="24">
        <v>-9.4</v>
      </c>
      <c r="K738" s="21"/>
    </row>
    <row r="739" spans="1:11" ht="17.25" customHeight="1" x14ac:dyDescent="0.2">
      <c r="A739" s="21">
        <v>738</v>
      </c>
      <c r="B739" s="22" t="s">
        <v>1554</v>
      </c>
      <c r="C739" s="22" t="s">
        <v>52</v>
      </c>
      <c r="D739" s="21" t="s">
        <v>69</v>
      </c>
      <c r="E739" s="21"/>
      <c r="F739" s="21"/>
      <c r="G739" s="21"/>
      <c r="H739" s="21"/>
      <c r="I739" s="21">
        <v>26</v>
      </c>
      <c r="J739" s="24">
        <v>-9.4</v>
      </c>
      <c r="K739" s="21"/>
    </row>
    <row r="740" spans="1:11" ht="17.25" customHeight="1" x14ac:dyDescent="0.2">
      <c r="A740" s="21">
        <v>739</v>
      </c>
      <c r="B740" s="22" t="s">
        <v>334</v>
      </c>
      <c r="C740" s="22" t="s">
        <v>30</v>
      </c>
      <c r="D740" s="21" t="s">
        <v>69</v>
      </c>
      <c r="E740" s="21"/>
      <c r="F740" s="21"/>
      <c r="G740" s="21"/>
      <c r="H740" s="21"/>
      <c r="I740" s="21">
        <v>11.1</v>
      </c>
      <c r="J740" s="24">
        <v>-9.5</v>
      </c>
      <c r="K740" s="21"/>
    </row>
    <row r="741" spans="1:11" ht="17.25" customHeight="1" x14ac:dyDescent="0.2">
      <c r="A741" s="21">
        <v>740</v>
      </c>
      <c r="B741" s="22" t="s">
        <v>1555</v>
      </c>
      <c r="C741" s="22" t="s">
        <v>27</v>
      </c>
      <c r="D741" s="21" t="s">
        <v>69</v>
      </c>
      <c r="E741" s="21"/>
      <c r="F741" s="21"/>
      <c r="G741" s="21"/>
      <c r="H741" s="21"/>
      <c r="I741" s="21">
        <v>60</v>
      </c>
      <c r="J741" s="24">
        <v>-9.5</v>
      </c>
      <c r="K741" s="21"/>
    </row>
    <row r="742" spans="1:11" ht="17.25" customHeight="1" x14ac:dyDescent="0.2">
      <c r="A742" s="21">
        <v>741</v>
      </c>
      <c r="B742" s="22" t="s">
        <v>416</v>
      </c>
      <c r="C742" s="22" t="s">
        <v>48</v>
      </c>
      <c r="D742" s="21" t="s">
        <v>69</v>
      </c>
      <c r="E742" s="21"/>
      <c r="F742" s="21"/>
      <c r="G742" s="21"/>
      <c r="H742" s="21"/>
      <c r="I742" s="21">
        <v>34</v>
      </c>
      <c r="J742" s="24">
        <v>-9.6</v>
      </c>
      <c r="K742" s="21"/>
    </row>
    <row r="743" spans="1:11" ht="17.25" customHeight="1" x14ac:dyDescent="0.2">
      <c r="A743" s="21">
        <v>742</v>
      </c>
      <c r="B743" s="22" t="s">
        <v>1268</v>
      </c>
      <c r="C743" s="22" t="s">
        <v>89</v>
      </c>
      <c r="D743" s="21" t="s">
        <v>74</v>
      </c>
      <c r="E743" s="21"/>
      <c r="F743" s="21"/>
      <c r="G743" s="21"/>
      <c r="H743" s="21">
        <v>120</v>
      </c>
      <c r="I743" s="21"/>
      <c r="J743" s="24">
        <v>-9.6999999999999993</v>
      </c>
      <c r="K743" s="21"/>
    </row>
    <row r="744" spans="1:11" ht="17.25" customHeight="1" x14ac:dyDescent="0.2">
      <c r="A744" s="21">
        <v>743</v>
      </c>
      <c r="B744" s="22" t="s">
        <v>478</v>
      </c>
      <c r="C744" s="22" t="s">
        <v>36</v>
      </c>
      <c r="D744" s="21" t="s">
        <v>214</v>
      </c>
      <c r="E744" s="21"/>
      <c r="F744" s="21"/>
      <c r="G744" s="21"/>
      <c r="H744" s="21">
        <v>398</v>
      </c>
      <c r="I744" s="21"/>
      <c r="J744" s="24">
        <v>-9.6999999999999993</v>
      </c>
      <c r="K744" s="21"/>
    </row>
    <row r="745" spans="1:11" ht="17.25" customHeight="1" x14ac:dyDescent="0.2">
      <c r="A745" s="21">
        <v>744</v>
      </c>
      <c r="B745" s="22" t="s">
        <v>632</v>
      </c>
      <c r="C745" s="22" t="s">
        <v>36</v>
      </c>
      <c r="D745" s="21" t="s">
        <v>69</v>
      </c>
      <c r="E745" s="21"/>
      <c r="F745" s="21"/>
      <c r="G745" s="21"/>
      <c r="H745" s="21"/>
      <c r="I745" s="21">
        <v>54</v>
      </c>
      <c r="J745" s="24">
        <v>-9.6999999999999993</v>
      </c>
      <c r="K745" s="21"/>
    </row>
    <row r="746" spans="1:11" ht="17.25" customHeight="1" x14ac:dyDescent="0.2">
      <c r="A746" s="21">
        <v>745</v>
      </c>
      <c r="B746" s="22" t="s">
        <v>1556</v>
      </c>
      <c r="C746" s="22" t="s">
        <v>232</v>
      </c>
      <c r="D746" s="21" t="s">
        <v>69</v>
      </c>
      <c r="E746" s="21"/>
      <c r="F746" s="21"/>
      <c r="G746" s="21"/>
      <c r="H746" s="21"/>
      <c r="I746" s="21">
        <v>55</v>
      </c>
      <c r="J746" s="24">
        <v>-9.6999999999999993</v>
      </c>
      <c r="K746" s="21"/>
    </row>
    <row r="747" spans="1:11" ht="17.25" customHeight="1" x14ac:dyDescent="0.2">
      <c r="A747" s="21">
        <v>746</v>
      </c>
      <c r="B747" s="22" t="s">
        <v>566</v>
      </c>
      <c r="C747" s="22" t="s">
        <v>18</v>
      </c>
      <c r="D747" s="21" t="s">
        <v>28</v>
      </c>
      <c r="E747" s="21"/>
      <c r="F747" s="21"/>
      <c r="G747" s="21"/>
      <c r="H747" s="21"/>
      <c r="I747" s="21">
        <v>84.1</v>
      </c>
      <c r="J747" s="24">
        <v>-9.6999999999999993</v>
      </c>
      <c r="K747" s="21"/>
    </row>
    <row r="748" spans="1:11" ht="17.25" customHeight="1" x14ac:dyDescent="0.2">
      <c r="A748" s="21">
        <v>747</v>
      </c>
      <c r="B748" s="22" t="s">
        <v>1557</v>
      </c>
      <c r="C748" s="22" t="s">
        <v>27</v>
      </c>
      <c r="D748" s="21" t="s">
        <v>69</v>
      </c>
      <c r="E748" s="21"/>
      <c r="F748" s="21"/>
      <c r="G748" s="21"/>
      <c r="H748" s="21"/>
      <c r="I748" s="21">
        <v>13</v>
      </c>
      <c r="J748" s="24">
        <v>-9.8000000000000007</v>
      </c>
      <c r="K748" s="21"/>
    </row>
    <row r="749" spans="1:11" ht="17.25" customHeight="1" x14ac:dyDescent="0.2">
      <c r="A749" s="21">
        <v>748</v>
      </c>
      <c r="B749" s="22" t="s">
        <v>1558</v>
      </c>
      <c r="C749" s="22" t="s">
        <v>55</v>
      </c>
      <c r="D749" s="21" t="s">
        <v>28</v>
      </c>
      <c r="E749" s="21"/>
      <c r="F749" s="21"/>
      <c r="G749" s="21"/>
      <c r="H749" s="21"/>
      <c r="I749" s="21">
        <v>15</v>
      </c>
      <c r="J749" s="24">
        <v>-9.8000000000000007</v>
      </c>
      <c r="K749" s="21"/>
    </row>
    <row r="750" spans="1:11" ht="17.25" customHeight="1" x14ac:dyDescent="0.2">
      <c r="A750" s="21">
        <v>749</v>
      </c>
      <c r="B750" s="22" t="s">
        <v>406</v>
      </c>
      <c r="C750" s="22" t="s">
        <v>52</v>
      </c>
      <c r="D750" s="21" t="s">
        <v>69</v>
      </c>
      <c r="E750" s="21"/>
      <c r="F750" s="21"/>
      <c r="G750" s="21"/>
      <c r="H750" s="21"/>
      <c r="I750" s="21">
        <v>15</v>
      </c>
      <c r="J750" s="24">
        <v>-9.8000000000000007</v>
      </c>
      <c r="K750" s="21"/>
    </row>
    <row r="751" spans="1:11" ht="17.25" customHeight="1" x14ac:dyDescent="0.2">
      <c r="A751" s="21">
        <v>750</v>
      </c>
      <c r="B751" s="22" t="s">
        <v>674</v>
      </c>
      <c r="C751" s="22" t="s">
        <v>140</v>
      </c>
      <c r="D751" s="21" t="s">
        <v>74</v>
      </c>
      <c r="E751" s="21"/>
      <c r="F751" s="21"/>
      <c r="G751" s="21"/>
      <c r="H751" s="21">
        <v>204</v>
      </c>
      <c r="I751" s="21"/>
      <c r="J751" s="24">
        <v>-9.8000000000000007</v>
      </c>
      <c r="K751" s="21"/>
    </row>
    <row r="752" spans="1:11" ht="17.25" customHeight="1" x14ac:dyDescent="0.2">
      <c r="A752" s="21">
        <v>751</v>
      </c>
      <c r="B752" s="22" t="s">
        <v>1559</v>
      </c>
      <c r="C752" s="22" t="s">
        <v>117</v>
      </c>
      <c r="D752" s="21" t="s">
        <v>69</v>
      </c>
      <c r="E752" s="21"/>
      <c r="F752" s="21"/>
      <c r="G752" s="21"/>
      <c r="H752" s="21"/>
      <c r="I752" s="21">
        <v>57</v>
      </c>
      <c r="J752" s="24">
        <v>-9.9</v>
      </c>
      <c r="K752" s="21"/>
    </row>
    <row r="753" spans="1:11" ht="17.25" customHeight="1" x14ac:dyDescent="0.2">
      <c r="A753" s="21">
        <v>752</v>
      </c>
      <c r="B753" s="22" t="s">
        <v>1560</v>
      </c>
      <c r="C753" s="21"/>
      <c r="D753" s="21" t="s">
        <v>69</v>
      </c>
      <c r="E753" s="21"/>
      <c r="F753" s="21"/>
      <c r="G753" s="21"/>
      <c r="H753" s="21"/>
      <c r="I753" s="21">
        <v>7</v>
      </c>
      <c r="J753" s="24">
        <v>-9.9</v>
      </c>
      <c r="K753" s="21"/>
    </row>
    <row r="754" spans="1:11" ht="17.25" customHeight="1" x14ac:dyDescent="0.2">
      <c r="A754" s="21">
        <v>753</v>
      </c>
      <c r="B754" s="22" t="s">
        <v>700</v>
      </c>
      <c r="C754" s="22" t="s">
        <v>132</v>
      </c>
      <c r="D754" s="21" t="s">
        <v>40</v>
      </c>
      <c r="E754" s="21"/>
      <c r="F754" s="21"/>
      <c r="G754" s="21"/>
      <c r="H754" s="21">
        <v>55</v>
      </c>
      <c r="I754" s="21"/>
      <c r="J754" s="24">
        <v>-9.9</v>
      </c>
      <c r="K754" s="21"/>
    </row>
    <row r="755" spans="1:11" ht="17.25" customHeight="1" x14ac:dyDescent="0.2">
      <c r="A755" s="21">
        <v>754</v>
      </c>
      <c r="B755" s="22" t="s">
        <v>1561</v>
      </c>
      <c r="C755" s="22" t="s">
        <v>89</v>
      </c>
      <c r="D755" s="21" t="s">
        <v>69</v>
      </c>
      <c r="E755" s="21"/>
      <c r="F755" s="21"/>
      <c r="G755" s="21"/>
      <c r="H755" s="21"/>
      <c r="I755" s="21">
        <v>61</v>
      </c>
      <c r="J755" s="24">
        <v>-9.9</v>
      </c>
      <c r="K755" s="21"/>
    </row>
    <row r="756" spans="1:11" ht="17.25" customHeight="1" x14ac:dyDescent="0.2">
      <c r="A756" s="21">
        <v>755</v>
      </c>
      <c r="B756" s="22" t="s">
        <v>608</v>
      </c>
      <c r="C756" s="22" t="s">
        <v>55</v>
      </c>
      <c r="D756" s="21" t="s">
        <v>74</v>
      </c>
      <c r="E756" s="21"/>
      <c r="F756" s="21"/>
      <c r="G756" s="21"/>
      <c r="H756" s="21">
        <v>77</v>
      </c>
      <c r="I756" s="21"/>
      <c r="J756" s="24">
        <v>-9.9</v>
      </c>
      <c r="K756" s="21"/>
    </row>
    <row r="757" spans="1:11" ht="17.25" customHeight="1" x14ac:dyDescent="0.2">
      <c r="A757" s="21">
        <v>756</v>
      </c>
      <c r="B757" s="22" t="s">
        <v>745</v>
      </c>
      <c r="C757" s="21"/>
      <c r="D757" s="21" t="s">
        <v>69</v>
      </c>
      <c r="E757" s="21"/>
      <c r="F757" s="21"/>
      <c r="G757" s="21"/>
      <c r="H757" s="21"/>
      <c r="I757" s="21">
        <v>51</v>
      </c>
      <c r="J757" s="24">
        <v>-10</v>
      </c>
      <c r="K757" s="21"/>
    </row>
    <row r="758" spans="1:11" ht="17.25" customHeight="1" x14ac:dyDescent="0.2">
      <c r="A758" s="21">
        <v>757</v>
      </c>
      <c r="B758" s="22" t="s">
        <v>1562</v>
      </c>
      <c r="C758" s="22" t="s">
        <v>24</v>
      </c>
      <c r="D758" s="21" t="s">
        <v>69</v>
      </c>
      <c r="E758" s="21"/>
      <c r="F758" s="21"/>
      <c r="G758" s="21"/>
      <c r="H758" s="21"/>
      <c r="I758" s="21">
        <v>9</v>
      </c>
      <c r="J758" s="24">
        <v>-10</v>
      </c>
      <c r="K758" s="21"/>
    </row>
    <row r="759" spans="1:11" ht="17.25" customHeight="1" x14ac:dyDescent="0.2">
      <c r="A759" s="21">
        <v>758</v>
      </c>
      <c r="B759" s="22" t="s">
        <v>591</v>
      </c>
      <c r="C759" s="22" t="s">
        <v>52</v>
      </c>
      <c r="D759" s="21" t="s">
        <v>43</v>
      </c>
      <c r="E759" s="21"/>
      <c r="F759" s="21"/>
      <c r="G759" s="21"/>
      <c r="H759" s="21">
        <v>288</v>
      </c>
      <c r="I759" s="21"/>
      <c r="J759" s="24">
        <v>-10</v>
      </c>
      <c r="K759" s="21"/>
    </row>
    <row r="760" spans="1:11" ht="17.25" customHeight="1" x14ac:dyDescent="0.2">
      <c r="A760" s="21">
        <v>759</v>
      </c>
      <c r="B760" s="22" t="s">
        <v>443</v>
      </c>
      <c r="C760" s="22" t="s">
        <v>57</v>
      </c>
      <c r="D760" s="21" t="s">
        <v>78</v>
      </c>
      <c r="E760" s="21"/>
      <c r="F760" s="21"/>
      <c r="G760" s="21"/>
      <c r="H760" s="21">
        <v>408</v>
      </c>
      <c r="I760" s="21"/>
      <c r="J760" s="24">
        <v>-10.1</v>
      </c>
      <c r="K760" s="21"/>
    </row>
    <row r="761" spans="1:11" ht="17.25" customHeight="1" x14ac:dyDescent="0.2">
      <c r="A761" s="21">
        <v>760</v>
      </c>
      <c r="B761" s="22" t="s">
        <v>1563</v>
      </c>
      <c r="C761" s="22" t="s">
        <v>125</v>
      </c>
      <c r="D761" s="21" t="s">
        <v>69</v>
      </c>
      <c r="E761" s="21"/>
      <c r="F761" s="21"/>
      <c r="G761" s="21"/>
      <c r="H761" s="21"/>
      <c r="I761" s="21">
        <v>29</v>
      </c>
      <c r="J761" s="24">
        <v>-10.1</v>
      </c>
      <c r="K761" s="21"/>
    </row>
    <row r="762" spans="1:11" ht="17.25" customHeight="1" x14ac:dyDescent="0.2">
      <c r="A762" s="21">
        <v>761</v>
      </c>
      <c r="B762" s="22" t="s">
        <v>1564</v>
      </c>
      <c r="C762" s="22" t="s">
        <v>211</v>
      </c>
      <c r="D762" s="21" t="s">
        <v>28</v>
      </c>
      <c r="E762" s="21"/>
      <c r="F762" s="21"/>
      <c r="G762" s="21"/>
      <c r="H762" s="21"/>
      <c r="I762" s="21">
        <v>101.1</v>
      </c>
      <c r="J762" s="24">
        <v>-10.1</v>
      </c>
      <c r="K762" s="21"/>
    </row>
    <row r="763" spans="1:11" ht="17.25" customHeight="1" x14ac:dyDescent="0.2">
      <c r="A763" s="21">
        <v>762</v>
      </c>
      <c r="B763" s="22" t="s">
        <v>311</v>
      </c>
      <c r="C763" s="22" t="s">
        <v>30</v>
      </c>
      <c r="D763" s="21" t="s">
        <v>43</v>
      </c>
      <c r="E763" s="21"/>
      <c r="F763" s="21"/>
      <c r="G763" s="21"/>
      <c r="H763" s="21">
        <v>357</v>
      </c>
      <c r="I763" s="21"/>
      <c r="J763" s="24">
        <v>-10.1</v>
      </c>
      <c r="K763" s="21"/>
    </row>
    <row r="764" spans="1:11" ht="17.25" customHeight="1" x14ac:dyDescent="0.2">
      <c r="A764" s="21">
        <v>763</v>
      </c>
      <c r="B764" s="22" t="s">
        <v>626</v>
      </c>
      <c r="C764" s="22" t="s">
        <v>39</v>
      </c>
      <c r="D764" s="21" t="s">
        <v>69</v>
      </c>
      <c r="E764" s="21"/>
      <c r="F764" s="21"/>
      <c r="G764" s="21"/>
      <c r="H764" s="21"/>
      <c r="I764" s="21">
        <v>38.1</v>
      </c>
      <c r="J764" s="24">
        <v>-10.1</v>
      </c>
      <c r="K764" s="21"/>
    </row>
    <row r="765" spans="1:11" ht="17.25" customHeight="1" x14ac:dyDescent="0.2">
      <c r="A765" s="21">
        <v>764</v>
      </c>
      <c r="B765" s="22" t="s">
        <v>1565</v>
      </c>
      <c r="C765" s="22" t="s">
        <v>125</v>
      </c>
      <c r="D765" s="21" t="s">
        <v>69</v>
      </c>
      <c r="E765" s="21"/>
      <c r="F765" s="21"/>
      <c r="G765" s="21"/>
      <c r="H765" s="21"/>
      <c r="I765" s="21">
        <v>41</v>
      </c>
      <c r="J765" s="24">
        <v>-10.1</v>
      </c>
      <c r="K765" s="21"/>
    </row>
    <row r="766" spans="1:11" ht="17.25" customHeight="1" x14ac:dyDescent="0.2">
      <c r="A766" s="21">
        <v>765</v>
      </c>
      <c r="B766" s="22" t="s">
        <v>1566</v>
      </c>
      <c r="C766" s="22" t="s">
        <v>15</v>
      </c>
      <c r="D766" s="21" t="s">
        <v>69</v>
      </c>
      <c r="E766" s="21"/>
      <c r="F766" s="21"/>
      <c r="G766" s="21"/>
      <c r="H766" s="21"/>
      <c r="I766" s="21">
        <v>23</v>
      </c>
      <c r="J766" s="24">
        <v>-10.1</v>
      </c>
      <c r="K766" s="21"/>
    </row>
    <row r="767" spans="1:11" ht="17.25" customHeight="1" x14ac:dyDescent="0.2">
      <c r="A767" s="21">
        <v>766</v>
      </c>
      <c r="B767" s="22" t="s">
        <v>1567</v>
      </c>
      <c r="C767" s="22" t="s">
        <v>313</v>
      </c>
      <c r="D767" s="21" t="s">
        <v>69</v>
      </c>
      <c r="E767" s="21"/>
      <c r="F767" s="21"/>
      <c r="G767" s="21"/>
      <c r="H767" s="21"/>
      <c r="I767" s="21">
        <v>20</v>
      </c>
      <c r="J767" s="24">
        <v>-10.1</v>
      </c>
      <c r="K767" s="21"/>
    </row>
    <row r="768" spans="1:11" ht="17.25" customHeight="1" x14ac:dyDescent="0.2">
      <c r="A768" s="21">
        <v>767</v>
      </c>
      <c r="B768" s="22" t="s">
        <v>202</v>
      </c>
      <c r="C768" s="22" t="s">
        <v>55</v>
      </c>
      <c r="D768" s="21" t="s">
        <v>69</v>
      </c>
      <c r="E768" s="21"/>
      <c r="F768" s="21"/>
      <c r="G768" s="21"/>
      <c r="H768" s="21"/>
      <c r="I768" s="21">
        <v>67</v>
      </c>
      <c r="J768" s="24">
        <v>-10.199999999999999</v>
      </c>
      <c r="K768" s="21"/>
    </row>
    <row r="769" spans="1:11" ht="17.25" customHeight="1" x14ac:dyDescent="0.2">
      <c r="A769" s="21">
        <v>768</v>
      </c>
      <c r="B769" s="22" t="s">
        <v>1568</v>
      </c>
      <c r="C769" s="22" t="s">
        <v>125</v>
      </c>
      <c r="D769" s="21" t="s">
        <v>69</v>
      </c>
      <c r="E769" s="21"/>
      <c r="F769" s="21"/>
      <c r="G769" s="21"/>
      <c r="H769" s="21"/>
      <c r="I769" s="21">
        <v>41.1</v>
      </c>
      <c r="J769" s="24">
        <v>-10.199999999999999</v>
      </c>
      <c r="K769" s="21"/>
    </row>
    <row r="770" spans="1:11" ht="17.25" customHeight="1" x14ac:dyDescent="0.2">
      <c r="A770" s="21">
        <v>769</v>
      </c>
      <c r="B770" s="22" t="s">
        <v>1569</v>
      </c>
      <c r="C770" s="22" t="s">
        <v>66</v>
      </c>
      <c r="D770" s="21" t="s">
        <v>69</v>
      </c>
      <c r="E770" s="21"/>
      <c r="F770" s="21"/>
      <c r="G770" s="21"/>
      <c r="H770" s="21"/>
      <c r="I770" s="21">
        <v>7.1</v>
      </c>
      <c r="J770" s="24">
        <v>-10.3</v>
      </c>
      <c r="K770" s="21"/>
    </row>
    <row r="771" spans="1:11" ht="17.25" customHeight="1" x14ac:dyDescent="0.2">
      <c r="A771" s="21">
        <v>770</v>
      </c>
      <c r="B771" s="22" t="s">
        <v>698</v>
      </c>
      <c r="C771" s="22" t="s">
        <v>36</v>
      </c>
      <c r="D771" s="21" t="s">
        <v>82</v>
      </c>
      <c r="E771" s="21"/>
      <c r="F771" s="21"/>
      <c r="G771" s="21"/>
      <c r="H771" s="21">
        <v>225</v>
      </c>
      <c r="I771" s="21"/>
      <c r="J771" s="24">
        <v>-10.3</v>
      </c>
      <c r="K771" s="21"/>
    </row>
    <row r="772" spans="1:11" ht="17.25" customHeight="1" x14ac:dyDescent="0.2">
      <c r="A772" s="21">
        <v>771</v>
      </c>
      <c r="B772" s="22" t="s">
        <v>1570</v>
      </c>
      <c r="C772" s="22" t="s">
        <v>57</v>
      </c>
      <c r="D772" s="21" t="s">
        <v>69</v>
      </c>
      <c r="E772" s="21"/>
      <c r="F772" s="21"/>
      <c r="G772" s="21"/>
      <c r="H772" s="21"/>
      <c r="I772" s="21">
        <v>16.100000000000001</v>
      </c>
      <c r="J772" s="24">
        <v>-10.3</v>
      </c>
      <c r="K772" s="21"/>
    </row>
    <row r="773" spans="1:11" ht="17.25" customHeight="1" x14ac:dyDescent="0.2">
      <c r="A773" s="21">
        <v>772</v>
      </c>
      <c r="B773" s="22" t="s">
        <v>1571</v>
      </c>
      <c r="C773" s="22" t="s">
        <v>46</v>
      </c>
      <c r="D773" s="21" t="s">
        <v>69</v>
      </c>
      <c r="E773" s="21"/>
      <c r="F773" s="23">
        <v>0.02</v>
      </c>
      <c r="G773" s="23">
        <v>0</v>
      </c>
      <c r="H773" s="21"/>
      <c r="I773" s="21">
        <v>42</v>
      </c>
      <c r="J773" s="24">
        <v>-10.3</v>
      </c>
      <c r="K773" s="21"/>
    </row>
    <row r="774" spans="1:11" ht="17.25" customHeight="1" x14ac:dyDescent="0.2">
      <c r="A774" s="21">
        <v>773</v>
      </c>
      <c r="B774" s="22" t="s">
        <v>630</v>
      </c>
      <c r="C774" s="22" t="s">
        <v>64</v>
      </c>
      <c r="D774" s="21" t="s">
        <v>69</v>
      </c>
      <c r="E774" s="21"/>
      <c r="F774" s="21"/>
      <c r="G774" s="21"/>
      <c r="H774" s="21"/>
      <c r="I774" s="21">
        <v>70</v>
      </c>
      <c r="J774" s="24">
        <v>-10.4</v>
      </c>
      <c r="K774" s="21"/>
    </row>
    <row r="775" spans="1:11" ht="17.25" customHeight="1" x14ac:dyDescent="0.2">
      <c r="A775" s="21">
        <v>774</v>
      </c>
      <c r="B775" s="22" t="s">
        <v>572</v>
      </c>
      <c r="C775" s="21"/>
      <c r="D775" s="21" t="s">
        <v>69</v>
      </c>
      <c r="E775" s="21"/>
      <c r="F775" s="21"/>
      <c r="G775" s="21"/>
      <c r="H775" s="21"/>
      <c r="I775" s="21">
        <v>24.1</v>
      </c>
      <c r="J775" s="24">
        <v>-10.4</v>
      </c>
      <c r="K775" s="21"/>
    </row>
    <row r="776" spans="1:11" ht="17.25" customHeight="1" x14ac:dyDescent="0.2">
      <c r="A776" s="21">
        <v>775</v>
      </c>
      <c r="B776" s="22" t="s">
        <v>1572</v>
      </c>
      <c r="C776" s="22" t="s">
        <v>66</v>
      </c>
      <c r="D776" s="21" t="s">
        <v>69</v>
      </c>
      <c r="E776" s="21"/>
      <c r="F776" s="21"/>
      <c r="G776" s="21"/>
      <c r="H776" s="21"/>
      <c r="I776" s="21">
        <v>10.1</v>
      </c>
      <c r="J776" s="24">
        <v>-10.5</v>
      </c>
      <c r="K776" s="21"/>
    </row>
    <row r="777" spans="1:11" ht="17.25" customHeight="1" x14ac:dyDescent="0.2">
      <c r="A777" s="21">
        <v>776</v>
      </c>
      <c r="B777" s="22" t="s">
        <v>1573</v>
      </c>
      <c r="C777" s="22" t="s">
        <v>52</v>
      </c>
      <c r="D777" s="21" t="s">
        <v>69</v>
      </c>
      <c r="E777" s="21"/>
      <c r="F777" s="21"/>
      <c r="G777" s="21"/>
      <c r="H777" s="21"/>
      <c r="I777" s="21">
        <v>6.1</v>
      </c>
      <c r="J777" s="24">
        <v>-10.5</v>
      </c>
      <c r="K777" s="21"/>
    </row>
    <row r="778" spans="1:11" ht="17.25" customHeight="1" x14ac:dyDescent="0.2">
      <c r="A778" s="21">
        <v>777</v>
      </c>
      <c r="B778" s="22" t="s">
        <v>472</v>
      </c>
      <c r="C778" s="22" t="s">
        <v>52</v>
      </c>
      <c r="D778" s="21" t="s">
        <v>69</v>
      </c>
      <c r="E778" s="21"/>
      <c r="F778" s="21"/>
      <c r="G778" s="21"/>
      <c r="H778" s="21"/>
      <c r="I778" s="21">
        <v>41</v>
      </c>
      <c r="J778" s="24">
        <v>-10.5</v>
      </c>
      <c r="K778" s="21"/>
    </row>
    <row r="779" spans="1:11" ht="17.25" customHeight="1" x14ac:dyDescent="0.2">
      <c r="A779" s="21">
        <v>778</v>
      </c>
      <c r="B779" s="22" t="s">
        <v>992</v>
      </c>
      <c r="C779" s="22" t="s">
        <v>48</v>
      </c>
      <c r="D779" s="21" t="s">
        <v>1269</v>
      </c>
      <c r="E779" s="21"/>
      <c r="F779" s="21"/>
      <c r="G779" s="21"/>
      <c r="H779" s="21">
        <v>110</v>
      </c>
      <c r="I779" s="21"/>
      <c r="J779" s="24">
        <v>-10.5</v>
      </c>
      <c r="K779" s="21"/>
    </row>
    <row r="780" spans="1:11" ht="17.25" customHeight="1" x14ac:dyDescent="0.2">
      <c r="A780" s="21">
        <v>779</v>
      </c>
      <c r="B780" s="22" t="s">
        <v>664</v>
      </c>
      <c r="C780" s="22" t="s">
        <v>32</v>
      </c>
      <c r="D780" s="21" t="s">
        <v>74</v>
      </c>
      <c r="E780" s="21"/>
      <c r="F780" s="21"/>
      <c r="G780" s="21"/>
      <c r="H780" s="21">
        <v>118</v>
      </c>
      <c r="I780" s="21"/>
      <c r="J780" s="24">
        <v>-10.5</v>
      </c>
      <c r="K780" s="21"/>
    </row>
    <row r="781" spans="1:11" ht="17.25" customHeight="1" x14ac:dyDescent="0.2">
      <c r="A781" s="21">
        <v>780</v>
      </c>
      <c r="B781" s="22" t="s">
        <v>772</v>
      </c>
      <c r="C781" s="21"/>
      <c r="D781" s="21" t="s">
        <v>74</v>
      </c>
      <c r="E781" s="21"/>
      <c r="F781" s="21"/>
      <c r="G781" s="21"/>
      <c r="H781" s="21">
        <v>161</v>
      </c>
      <c r="I781" s="21"/>
      <c r="J781" s="24">
        <v>-10.5</v>
      </c>
      <c r="K781" s="21"/>
    </row>
    <row r="782" spans="1:11" ht="17.25" customHeight="1" x14ac:dyDescent="0.2">
      <c r="A782" s="21">
        <v>781</v>
      </c>
      <c r="B782" s="22" t="s">
        <v>518</v>
      </c>
      <c r="C782" s="22" t="s">
        <v>39</v>
      </c>
      <c r="D782" s="21" t="s">
        <v>135</v>
      </c>
      <c r="E782" s="21"/>
      <c r="F782" s="21"/>
      <c r="G782" s="21"/>
      <c r="H782" s="21">
        <v>218</v>
      </c>
      <c r="I782" s="21"/>
      <c r="J782" s="24">
        <v>-10.5</v>
      </c>
      <c r="K782" s="21"/>
    </row>
    <row r="783" spans="1:11" ht="17.25" customHeight="1" x14ac:dyDescent="0.2">
      <c r="A783" s="21">
        <v>782</v>
      </c>
      <c r="B783" s="22" t="s">
        <v>1574</v>
      </c>
      <c r="C783" s="22" t="s">
        <v>36</v>
      </c>
      <c r="D783" s="21" t="s">
        <v>69</v>
      </c>
      <c r="E783" s="21"/>
      <c r="F783" s="21"/>
      <c r="G783" s="21"/>
      <c r="H783" s="21"/>
      <c r="I783" s="21">
        <v>37</v>
      </c>
      <c r="J783" s="24">
        <v>-10.5</v>
      </c>
      <c r="K783" s="21"/>
    </row>
    <row r="784" spans="1:11" ht="17.25" customHeight="1" x14ac:dyDescent="0.2">
      <c r="A784" s="21">
        <v>783</v>
      </c>
      <c r="B784" s="22" t="s">
        <v>634</v>
      </c>
      <c r="C784" s="22" t="s">
        <v>125</v>
      </c>
      <c r="D784" s="21" t="s">
        <v>69</v>
      </c>
      <c r="E784" s="21"/>
      <c r="F784" s="21"/>
      <c r="G784" s="21"/>
      <c r="H784" s="21"/>
      <c r="I784" s="21">
        <v>33.1</v>
      </c>
      <c r="J784" s="24">
        <v>-10.6</v>
      </c>
      <c r="K784" s="21"/>
    </row>
    <row r="785" spans="1:11" ht="17.25" customHeight="1" x14ac:dyDescent="0.2">
      <c r="A785" s="21">
        <v>784</v>
      </c>
      <c r="B785" s="22" t="s">
        <v>1018</v>
      </c>
      <c r="C785" s="22" t="s">
        <v>24</v>
      </c>
      <c r="D785" s="21" t="s">
        <v>69</v>
      </c>
      <c r="E785" s="21"/>
      <c r="F785" s="21"/>
      <c r="G785" s="21"/>
      <c r="H785" s="21"/>
      <c r="I785" s="21">
        <v>11</v>
      </c>
      <c r="J785" s="24">
        <v>-10.6</v>
      </c>
      <c r="K785" s="21"/>
    </row>
    <row r="786" spans="1:11" ht="17.25" customHeight="1" x14ac:dyDescent="0.2">
      <c r="A786" s="21">
        <v>785</v>
      </c>
      <c r="B786" s="22" t="s">
        <v>1575</v>
      </c>
      <c r="C786" s="22" t="s">
        <v>125</v>
      </c>
      <c r="D786" s="21" t="s">
        <v>69</v>
      </c>
      <c r="E786" s="21"/>
      <c r="F786" s="21"/>
      <c r="G786" s="21"/>
      <c r="H786" s="21"/>
      <c r="I786" s="21">
        <v>7.1</v>
      </c>
      <c r="J786" s="24">
        <v>-10.6</v>
      </c>
      <c r="K786" s="21"/>
    </row>
    <row r="787" spans="1:11" ht="17.25" customHeight="1" x14ac:dyDescent="0.2">
      <c r="A787" s="21">
        <v>786</v>
      </c>
      <c r="B787" s="22" t="s">
        <v>1576</v>
      </c>
      <c r="C787" s="22" t="s">
        <v>30</v>
      </c>
      <c r="D787" s="21" t="s">
        <v>69</v>
      </c>
      <c r="E787" s="21"/>
      <c r="F787" s="21"/>
      <c r="G787" s="21"/>
      <c r="H787" s="21"/>
      <c r="I787" s="21">
        <v>34</v>
      </c>
      <c r="J787" s="24">
        <v>-10.6</v>
      </c>
      <c r="K787" s="21"/>
    </row>
    <row r="788" spans="1:11" ht="17.25" customHeight="1" x14ac:dyDescent="0.2">
      <c r="A788" s="21">
        <v>787</v>
      </c>
      <c r="B788" s="22" t="s">
        <v>609</v>
      </c>
      <c r="C788" s="22" t="s">
        <v>55</v>
      </c>
      <c r="D788" s="21" t="s">
        <v>69</v>
      </c>
      <c r="E788" s="21"/>
      <c r="F788" s="21"/>
      <c r="G788" s="21"/>
      <c r="H788" s="21"/>
      <c r="I788" s="21">
        <v>81</v>
      </c>
      <c r="J788" s="24">
        <v>-10.6</v>
      </c>
      <c r="K788" s="21"/>
    </row>
    <row r="789" spans="1:11" ht="17.25" customHeight="1" x14ac:dyDescent="0.2">
      <c r="A789" s="21">
        <v>788</v>
      </c>
      <c r="B789" s="22" t="s">
        <v>1577</v>
      </c>
      <c r="C789" s="22" t="s">
        <v>30</v>
      </c>
      <c r="D789" s="21" t="s">
        <v>69</v>
      </c>
      <c r="E789" s="21"/>
      <c r="F789" s="21"/>
      <c r="G789" s="21"/>
      <c r="H789" s="21"/>
      <c r="I789" s="21">
        <v>46</v>
      </c>
      <c r="J789" s="24">
        <v>-10.7</v>
      </c>
      <c r="K789" s="21"/>
    </row>
    <row r="790" spans="1:11" ht="17.25" customHeight="1" x14ac:dyDescent="0.2">
      <c r="A790" s="21">
        <v>789</v>
      </c>
      <c r="B790" s="22" t="s">
        <v>1578</v>
      </c>
      <c r="C790" s="22" t="s">
        <v>60</v>
      </c>
      <c r="D790" s="21" t="s">
        <v>69</v>
      </c>
      <c r="E790" s="21"/>
      <c r="F790" s="21"/>
      <c r="G790" s="21"/>
      <c r="H790" s="21"/>
      <c r="I790" s="21">
        <v>77</v>
      </c>
      <c r="J790" s="24">
        <v>-10.7</v>
      </c>
      <c r="K790" s="21"/>
    </row>
    <row r="791" spans="1:11" ht="17.25" customHeight="1" x14ac:dyDescent="0.2">
      <c r="A791" s="21">
        <v>790</v>
      </c>
      <c r="B791" s="22" t="s">
        <v>481</v>
      </c>
      <c r="C791" s="22" t="s">
        <v>117</v>
      </c>
      <c r="D791" s="21" t="s">
        <v>69</v>
      </c>
      <c r="E791" s="21"/>
      <c r="F791" s="21"/>
      <c r="G791" s="21"/>
      <c r="H791" s="21"/>
      <c r="I791" s="21">
        <v>16</v>
      </c>
      <c r="J791" s="24">
        <v>-10.7</v>
      </c>
      <c r="K791" s="21"/>
    </row>
    <row r="792" spans="1:11" ht="17.25" customHeight="1" x14ac:dyDescent="0.2">
      <c r="A792" s="21">
        <v>791</v>
      </c>
      <c r="B792" s="22" t="s">
        <v>441</v>
      </c>
      <c r="C792" s="22" t="s">
        <v>52</v>
      </c>
      <c r="D792" s="21" t="s">
        <v>69</v>
      </c>
      <c r="E792" s="21"/>
      <c r="F792" s="21"/>
      <c r="G792" s="21"/>
      <c r="H792" s="21"/>
      <c r="I792" s="21">
        <v>8</v>
      </c>
      <c r="J792" s="24">
        <v>-10.7</v>
      </c>
      <c r="K792" s="21"/>
    </row>
    <row r="793" spans="1:11" ht="17.25" customHeight="1" x14ac:dyDescent="0.2">
      <c r="A793" s="21">
        <v>792</v>
      </c>
      <c r="B793" s="22" t="s">
        <v>741</v>
      </c>
      <c r="C793" s="22" t="s">
        <v>39</v>
      </c>
      <c r="D793" s="21" t="s">
        <v>69</v>
      </c>
      <c r="E793" s="21"/>
      <c r="F793" s="21"/>
      <c r="G793" s="21"/>
      <c r="H793" s="21"/>
      <c r="I793" s="21">
        <v>64.099999999999994</v>
      </c>
      <c r="J793" s="24">
        <v>-10.7</v>
      </c>
      <c r="K793" s="21"/>
    </row>
    <row r="794" spans="1:11" ht="17.25" customHeight="1" x14ac:dyDescent="0.2">
      <c r="A794" s="21">
        <v>793</v>
      </c>
      <c r="B794" s="22" t="s">
        <v>404</v>
      </c>
      <c r="C794" s="22" t="s">
        <v>313</v>
      </c>
      <c r="D794" s="21" t="s">
        <v>1270</v>
      </c>
      <c r="E794" s="21"/>
      <c r="F794" s="21"/>
      <c r="G794" s="21"/>
      <c r="H794" s="21">
        <v>40</v>
      </c>
      <c r="I794" s="21"/>
      <c r="J794" s="24">
        <v>-10.8</v>
      </c>
      <c r="K794" s="21"/>
    </row>
    <row r="795" spans="1:11" ht="17.25" customHeight="1" x14ac:dyDescent="0.2">
      <c r="A795" s="21">
        <v>794</v>
      </c>
      <c r="B795" s="22" t="s">
        <v>440</v>
      </c>
      <c r="C795" s="21"/>
      <c r="D795" s="21" t="s">
        <v>69</v>
      </c>
      <c r="E795" s="21"/>
      <c r="F795" s="21"/>
      <c r="G795" s="21"/>
      <c r="H795" s="21"/>
      <c r="I795" s="21">
        <v>17.100000000000001</v>
      </c>
      <c r="J795" s="24">
        <v>-10.8</v>
      </c>
      <c r="K795" s="21"/>
    </row>
    <row r="796" spans="1:11" ht="17.25" customHeight="1" x14ac:dyDescent="0.2">
      <c r="A796" s="21">
        <v>795</v>
      </c>
      <c r="B796" s="22" t="s">
        <v>740</v>
      </c>
      <c r="C796" s="22" t="s">
        <v>18</v>
      </c>
      <c r="D796" s="21" t="s">
        <v>74</v>
      </c>
      <c r="E796" s="21"/>
      <c r="F796" s="21"/>
      <c r="G796" s="21"/>
      <c r="H796" s="21">
        <v>54</v>
      </c>
      <c r="I796" s="21"/>
      <c r="J796" s="24">
        <v>-10.8</v>
      </c>
      <c r="K796" s="21"/>
    </row>
    <row r="797" spans="1:11" ht="17.25" customHeight="1" x14ac:dyDescent="0.2">
      <c r="A797" s="21">
        <v>796</v>
      </c>
      <c r="B797" s="22" t="s">
        <v>1579</v>
      </c>
      <c r="C797" s="22" t="s">
        <v>32</v>
      </c>
      <c r="D797" s="21" t="s">
        <v>69</v>
      </c>
      <c r="E797" s="21"/>
      <c r="F797" s="21"/>
      <c r="G797" s="21"/>
      <c r="H797" s="21"/>
      <c r="I797" s="21">
        <v>44</v>
      </c>
      <c r="J797" s="24">
        <v>-10.9</v>
      </c>
      <c r="K797" s="21"/>
    </row>
    <row r="798" spans="1:11" ht="17.25" customHeight="1" x14ac:dyDescent="0.2">
      <c r="A798" s="21">
        <v>797</v>
      </c>
      <c r="B798" s="22" t="s">
        <v>1580</v>
      </c>
      <c r="C798" s="22" t="s">
        <v>89</v>
      </c>
      <c r="D798" s="21" t="s">
        <v>28</v>
      </c>
      <c r="E798" s="21"/>
      <c r="F798" s="21"/>
      <c r="G798" s="21"/>
      <c r="H798" s="21"/>
      <c r="I798" s="21">
        <v>75</v>
      </c>
      <c r="J798" s="24">
        <v>-10.9</v>
      </c>
      <c r="K798" s="21"/>
    </row>
    <row r="799" spans="1:11" ht="17.25" customHeight="1" x14ac:dyDescent="0.2">
      <c r="A799" s="21">
        <v>798</v>
      </c>
      <c r="B799" s="22" t="s">
        <v>408</v>
      </c>
      <c r="C799" s="22" t="s">
        <v>64</v>
      </c>
      <c r="D799" s="21" t="s">
        <v>28</v>
      </c>
      <c r="E799" s="21"/>
      <c r="F799" s="23">
        <v>0.04</v>
      </c>
      <c r="G799" s="23">
        <v>0</v>
      </c>
      <c r="H799" s="21"/>
      <c r="I799" s="21">
        <v>106</v>
      </c>
      <c r="J799" s="24">
        <v>-10.9</v>
      </c>
      <c r="K799" s="21"/>
    </row>
    <row r="800" spans="1:11" ht="17.25" customHeight="1" x14ac:dyDescent="0.2">
      <c r="A800" s="21">
        <v>799</v>
      </c>
      <c r="B800" s="22" t="s">
        <v>731</v>
      </c>
      <c r="C800" s="22" t="s">
        <v>36</v>
      </c>
      <c r="D800" s="21" t="s">
        <v>69</v>
      </c>
      <c r="E800" s="21"/>
      <c r="F800" s="21"/>
      <c r="G800" s="21"/>
      <c r="H800" s="21"/>
      <c r="I800" s="21">
        <v>40</v>
      </c>
      <c r="J800" s="24">
        <v>-10.9</v>
      </c>
      <c r="K800" s="21"/>
    </row>
    <row r="801" spans="1:11" ht="17.25" customHeight="1" x14ac:dyDescent="0.2">
      <c r="A801" s="21">
        <v>800</v>
      </c>
      <c r="B801" s="22" t="s">
        <v>1581</v>
      </c>
      <c r="C801" s="22" t="s">
        <v>30</v>
      </c>
      <c r="D801" s="21" t="s">
        <v>69</v>
      </c>
      <c r="E801" s="21"/>
      <c r="F801" s="21"/>
      <c r="G801" s="21"/>
      <c r="H801" s="21"/>
      <c r="I801" s="21">
        <v>17</v>
      </c>
      <c r="J801" s="24">
        <v>-10.9</v>
      </c>
      <c r="K801" s="21"/>
    </row>
    <row r="802" spans="1:11" ht="17.25" customHeight="1" x14ac:dyDescent="0.2">
      <c r="A802" s="21">
        <v>801</v>
      </c>
      <c r="B802" s="22" t="s">
        <v>1271</v>
      </c>
      <c r="C802" s="22" t="s">
        <v>140</v>
      </c>
      <c r="D802" s="21" t="s">
        <v>74</v>
      </c>
      <c r="E802" s="21"/>
      <c r="F802" s="21"/>
      <c r="G802" s="21"/>
      <c r="H802" s="21">
        <v>111</v>
      </c>
      <c r="I802" s="21"/>
      <c r="J802" s="24">
        <v>-10.9</v>
      </c>
      <c r="K802" s="21"/>
    </row>
    <row r="803" spans="1:11" ht="17.25" customHeight="1" x14ac:dyDescent="0.2">
      <c r="A803" s="21">
        <v>802</v>
      </c>
      <c r="B803" s="22" t="s">
        <v>1582</v>
      </c>
      <c r="C803" s="22" t="s">
        <v>57</v>
      </c>
      <c r="D803" s="21" t="s">
        <v>69</v>
      </c>
      <c r="E803" s="21"/>
      <c r="F803" s="21"/>
      <c r="G803" s="21"/>
      <c r="H803" s="21"/>
      <c r="I803" s="21">
        <v>3</v>
      </c>
      <c r="J803" s="24">
        <v>-10.9</v>
      </c>
      <c r="K803" s="21"/>
    </row>
    <row r="804" spans="1:11" ht="17.25" customHeight="1" x14ac:dyDescent="0.2">
      <c r="A804" s="21">
        <v>803</v>
      </c>
      <c r="B804" s="22" t="s">
        <v>1583</v>
      </c>
      <c r="C804" s="22" t="s">
        <v>34</v>
      </c>
      <c r="D804" s="21" t="s">
        <v>28</v>
      </c>
      <c r="E804" s="21"/>
      <c r="F804" s="21"/>
      <c r="G804" s="21"/>
      <c r="H804" s="21"/>
      <c r="I804" s="21">
        <v>6</v>
      </c>
      <c r="J804" s="24">
        <v>-10.9</v>
      </c>
      <c r="K804" s="21"/>
    </row>
    <row r="805" spans="1:11" ht="17.25" customHeight="1" x14ac:dyDescent="0.2">
      <c r="A805" s="21">
        <v>804</v>
      </c>
      <c r="B805" s="22" t="s">
        <v>515</v>
      </c>
      <c r="C805" s="22" t="s">
        <v>46</v>
      </c>
      <c r="D805" s="21" t="s">
        <v>69</v>
      </c>
      <c r="E805" s="21"/>
      <c r="F805" s="21"/>
      <c r="G805" s="21"/>
      <c r="H805" s="21"/>
      <c r="I805" s="21">
        <v>58</v>
      </c>
      <c r="J805" s="24">
        <v>-10.9</v>
      </c>
      <c r="K805" s="21"/>
    </row>
    <row r="806" spans="1:11" ht="17.25" customHeight="1" x14ac:dyDescent="0.2">
      <c r="A806" s="21">
        <v>805</v>
      </c>
      <c r="B806" s="22" t="s">
        <v>755</v>
      </c>
      <c r="C806" s="22" t="s">
        <v>60</v>
      </c>
      <c r="D806" s="21" t="s">
        <v>74</v>
      </c>
      <c r="E806" s="21"/>
      <c r="F806" s="21"/>
      <c r="G806" s="21"/>
      <c r="H806" s="21">
        <v>88</v>
      </c>
      <c r="I806" s="21"/>
      <c r="J806" s="24">
        <v>-11</v>
      </c>
      <c r="K806" s="21"/>
    </row>
    <row r="807" spans="1:11" ht="17.25" customHeight="1" x14ac:dyDescent="0.2">
      <c r="A807" s="21">
        <v>806</v>
      </c>
      <c r="B807" s="22" t="s">
        <v>565</v>
      </c>
      <c r="C807" s="22" t="s">
        <v>66</v>
      </c>
      <c r="D807" s="21" t="s">
        <v>69</v>
      </c>
      <c r="E807" s="21"/>
      <c r="F807" s="21"/>
      <c r="G807" s="21"/>
      <c r="H807" s="21"/>
      <c r="I807" s="21">
        <v>63</v>
      </c>
      <c r="J807" s="24">
        <v>-11</v>
      </c>
      <c r="K807" s="21"/>
    </row>
    <row r="808" spans="1:11" ht="17.25" customHeight="1" x14ac:dyDescent="0.2">
      <c r="A808" s="21">
        <v>807</v>
      </c>
      <c r="B808" s="22" t="s">
        <v>544</v>
      </c>
      <c r="C808" s="22" t="s">
        <v>117</v>
      </c>
      <c r="D808" s="21" t="s">
        <v>69</v>
      </c>
      <c r="E808" s="21"/>
      <c r="F808" s="21"/>
      <c r="G808" s="21"/>
      <c r="H808" s="21"/>
      <c r="I808" s="21">
        <v>22</v>
      </c>
      <c r="J808" s="24">
        <v>-11</v>
      </c>
      <c r="K808" s="21"/>
    </row>
    <row r="809" spans="1:11" ht="17.25" customHeight="1" x14ac:dyDescent="0.2">
      <c r="A809" s="21">
        <v>808</v>
      </c>
      <c r="B809" s="22" t="s">
        <v>1584</v>
      </c>
      <c r="C809" s="22" t="s">
        <v>50</v>
      </c>
      <c r="D809" s="21" t="s">
        <v>69</v>
      </c>
      <c r="E809" s="21"/>
      <c r="F809" s="21"/>
      <c r="G809" s="21"/>
      <c r="H809" s="21"/>
      <c r="I809" s="21">
        <v>4</v>
      </c>
      <c r="J809" s="24">
        <v>-11</v>
      </c>
      <c r="K809" s="21"/>
    </row>
    <row r="810" spans="1:11" ht="17.25" customHeight="1" x14ac:dyDescent="0.2">
      <c r="A810" s="21">
        <v>809</v>
      </c>
      <c r="B810" s="22" t="s">
        <v>1585</v>
      </c>
      <c r="C810" s="22" t="s">
        <v>232</v>
      </c>
      <c r="D810" s="21" t="s">
        <v>69</v>
      </c>
      <c r="E810" s="21"/>
      <c r="F810" s="21"/>
      <c r="G810" s="21"/>
      <c r="H810" s="21"/>
      <c r="I810" s="21">
        <v>15</v>
      </c>
      <c r="J810" s="24">
        <v>-11</v>
      </c>
      <c r="K810" s="21"/>
    </row>
    <row r="811" spans="1:11" ht="17.25" customHeight="1" x14ac:dyDescent="0.2">
      <c r="A811" s="21">
        <v>810</v>
      </c>
      <c r="B811" s="22" t="s">
        <v>1272</v>
      </c>
      <c r="C811" s="22" t="s">
        <v>15</v>
      </c>
      <c r="D811" s="21" t="s">
        <v>74</v>
      </c>
      <c r="E811" s="21"/>
      <c r="F811" s="21"/>
      <c r="G811" s="21"/>
      <c r="H811" s="21">
        <v>98</v>
      </c>
      <c r="I811" s="21"/>
      <c r="J811" s="24">
        <v>-11</v>
      </c>
      <c r="K811" s="21"/>
    </row>
    <row r="812" spans="1:11" ht="17.25" customHeight="1" x14ac:dyDescent="0.2">
      <c r="A812" s="21">
        <v>811</v>
      </c>
      <c r="B812" s="22" t="s">
        <v>1586</v>
      </c>
      <c r="C812" s="21"/>
      <c r="D812" s="21" t="s">
        <v>69</v>
      </c>
      <c r="E812" s="21"/>
      <c r="F812" s="21"/>
      <c r="G812" s="21"/>
      <c r="H812" s="21"/>
      <c r="I812" s="21">
        <v>2</v>
      </c>
      <c r="J812" s="24">
        <v>-11.1</v>
      </c>
      <c r="K812" s="21"/>
    </row>
    <row r="813" spans="1:11" ht="17.25" customHeight="1" x14ac:dyDescent="0.2">
      <c r="A813" s="21">
        <v>812</v>
      </c>
      <c r="B813" s="22" t="s">
        <v>1587</v>
      </c>
      <c r="C813" s="22" t="s">
        <v>132</v>
      </c>
      <c r="D813" s="21" t="s">
        <v>69</v>
      </c>
      <c r="E813" s="21"/>
      <c r="F813" s="21"/>
      <c r="G813" s="21"/>
      <c r="H813" s="21"/>
      <c r="I813" s="21">
        <v>24.1</v>
      </c>
      <c r="J813" s="24">
        <v>-11.1</v>
      </c>
      <c r="K813" s="21"/>
    </row>
    <row r="814" spans="1:11" ht="17.25" customHeight="1" x14ac:dyDescent="0.2">
      <c r="A814" s="21">
        <v>813</v>
      </c>
      <c r="B814" s="22" t="s">
        <v>1588</v>
      </c>
      <c r="C814" s="22" t="s">
        <v>89</v>
      </c>
      <c r="D814" s="21" t="s">
        <v>28</v>
      </c>
      <c r="E814" s="21"/>
      <c r="F814" s="21"/>
      <c r="G814" s="21"/>
      <c r="H814" s="21"/>
      <c r="I814" s="21">
        <v>25.1</v>
      </c>
      <c r="J814" s="24">
        <v>-11.1</v>
      </c>
      <c r="K814" s="21"/>
    </row>
    <row r="815" spans="1:11" ht="17.25" customHeight="1" x14ac:dyDescent="0.2">
      <c r="A815" s="21">
        <v>814</v>
      </c>
      <c r="B815" s="22" t="s">
        <v>402</v>
      </c>
      <c r="C815" s="22" t="s">
        <v>12</v>
      </c>
      <c r="D815" s="21" t="s">
        <v>69</v>
      </c>
      <c r="E815" s="21"/>
      <c r="F815" s="21"/>
      <c r="G815" s="21"/>
      <c r="H815" s="21"/>
      <c r="I815" s="21">
        <v>5.0999999999999996</v>
      </c>
      <c r="J815" s="24">
        <v>-11.1</v>
      </c>
      <c r="K815" s="21"/>
    </row>
    <row r="816" spans="1:11" ht="17.25" customHeight="1" x14ac:dyDescent="0.2">
      <c r="A816" s="21">
        <v>815</v>
      </c>
      <c r="B816" s="22" t="s">
        <v>584</v>
      </c>
      <c r="C816" s="22" t="s">
        <v>211</v>
      </c>
      <c r="D816" s="21" t="s">
        <v>69</v>
      </c>
      <c r="E816" s="21"/>
      <c r="F816" s="21"/>
      <c r="G816" s="21"/>
      <c r="H816" s="21"/>
      <c r="I816" s="21">
        <v>19</v>
      </c>
      <c r="J816" s="24">
        <v>-11.2</v>
      </c>
      <c r="K816" s="21"/>
    </row>
    <row r="817" spans="1:11" ht="17.25" customHeight="1" x14ac:dyDescent="0.2">
      <c r="A817" s="21">
        <v>816</v>
      </c>
      <c r="B817" s="22" t="s">
        <v>487</v>
      </c>
      <c r="C817" s="21"/>
      <c r="D817" s="21" t="s">
        <v>74</v>
      </c>
      <c r="E817" s="21"/>
      <c r="F817" s="21"/>
      <c r="G817" s="21"/>
      <c r="H817" s="21">
        <v>214</v>
      </c>
      <c r="I817" s="21"/>
      <c r="J817" s="24">
        <v>-11.2</v>
      </c>
      <c r="K817" s="21"/>
    </row>
    <row r="818" spans="1:11" ht="17.25" customHeight="1" x14ac:dyDescent="0.2">
      <c r="A818" s="21">
        <v>817</v>
      </c>
      <c r="B818" s="22" t="s">
        <v>1589</v>
      </c>
      <c r="C818" s="22" t="s">
        <v>89</v>
      </c>
      <c r="D818" s="21" t="s">
        <v>69</v>
      </c>
      <c r="E818" s="21"/>
      <c r="F818" s="21"/>
      <c r="G818" s="21"/>
      <c r="H818" s="21"/>
      <c r="I818" s="21">
        <v>29</v>
      </c>
      <c r="J818" s="24">
        <v>-11.2</v>
      </c>
      <c r="K818" s="21"/>
    </row>
    <row r="819" spans="1:11" ht="17.25" customHeight="1" x14ac:dyDescent="0.2">
      <c r="A819" s="21">
        <v>818</v>
      </c>
      <c r="B819" s="22" t="s">
        <v>1590</v>
      </c>
      <c r="C819" s="22" t="s">
        <v>12</v>
      </c>
      <c r="D819" s="21" t="s">
        <v>69</v>
      </c>
      <c r="E819" s="21"/>
      <c r="F819" s="21"/>
      <c r="G819" s="21"/>
      <c r="H819" s="21"/>
      <c r="I819" s="21">
        <v>15</v>
      </c>
      <c r="J819" s="24">
        <v>-11.2</v>
      </c>
      <c r="K819" s="21"/>
    </row>
    <row r="820" spans="1:11" ht="17.25" customHeight="1" x14ac:dyDescent="0.2">
      <c r="A820" s="21">
        <v>819</v>
      </c>
      <c r="B820" s="22" t="s">
        <v>1591</v>
      </c>
      <c r="C820" s="22" t="s">
        <v>117</v>
      </c>
      <c r="D820" s="21" t="s">
        <v>69</v>
      </c>
      <c r="E820" s="21"/>
      <c r="F820" s="21"/>
      <c r="G820" s="21"/>
      <c r="H820" s="21"/>
      <c r="I820" s="21">
        <v>34</v>
      </c>
      <c r="J820" s="24">
        <v>-11.2</v>
      </c>
      <c r="K820" s="21"/>
    </row>
    <row r="821" spans="1:11" ht="17.25" customHeight="1" x14ac:dyDescent="0.2">
      <c r="A821" s="21">
        <v>820</v>
      </c>
      <c r="B821" s="22" t="s">
        <v>606</v>
      </c>
      <c r="C821" s="21"/>
      <c r="D821" s="21" t="s">
        <v>69</v>
      </c>
      <c r="E821" s="21"/>
      <c r="F821" s="21"/>
      <c r="G821" s="21"/>
      <c r="H821" s="21"/>
      <c r="I821" s="21">
        <v>63</v>
      </c>
      <c r="J821" s="24">
        <v>-11.2</v>
      </c>
      <c r="K821" s="21"/>
    </row>
    <row r="822" spans="1:11" ht="17.25" customHeight="1" x14ac:dyDescent="0.2">
      <c r="A822" s="21">
        <v>821</v>
      </c>
      <c r="B822" s="22" t="s">
        <v>1592</v>
      </c>
      <c r="C822" s="21"/>
      <c r="D822" s="21" t="s">
        <v>69</v>
      </c>
      <c r="E822" s="21"/>
      <c r="F822" s="21"/>
      <c r="G822" s="21"/>
      <c r="H822" s="21"/>
      <c r="I822" s="21">
        <v>3.1</v>
      </c>
      <c r="J822" s="24">
        <v>-11.3</v>
      </c>
      <c r="K822" s="21"/>
    </row>
    <row r="823" spans="1:11" ht="17.25" customHeight="1" x14ac:dyDescent="0.2">
      <c r="A823" s="21">
        <v>822</v>
      </c>
      <c r="B823" s="22" t="s">
        <v>1593</v>
      </c>
      <c r="C823" s="22" t="s">
        <v>30</v>
      </c>
      <c r="D823" s="21" t="s">
        <v>69</v>
      </c>
      <c r="E823" s="21"/>
      <c r="F823" s="21"/>
      <c r="G823" s="21"/>
      <c r="H823" s="21"/>
      <c r="I823" s="21">
        <v>3</v>
      </c>
      <c r="J823" s="24">
        <v>-11.3</v>
      </c>
      <c r="K823" s="21"/>
    </row>
    <row r="824" spans="1:11" ht="17.25" customHeight="1" x14ac:dyDescent="0.2">
      <c r="A824" s="21">
        <v>823</v>
      </c>
      <c r="B824" s="22" t="s">
        <v>1594</v>
      </c>
      <c r="C824" s="22" t="s">
        <v>50</v>
      </c>
      <c r="D824" s="21" t="s">
        <v>69</v>
      </c>
      <c r="E824" s="21"/>
      <c r="F824" s="21"/>
      <c r="G824" s="21"/>
      <c r="H824" s="21"/>
      <c r="I824" s="21">
        <v>11.1</v>
      </c>
      <c r="J824" s="24">
        <v>-11.3</v>
      </c>
      <c r="K824" s="21"/>
    </row>
    <row r="825" spans="1:11" ht="17.25" customHeight="1" x14ac:dyDescent="0.2">
      <c r="A825" s="21">
        <v>824</v>
      </c>
      <c r="B825" s="22" t="s">
        <v>303</v>
      </c>
      <c r="C825" s="22" t="s">
        <v>64</v>
      </c>
      <c r="D825" s="21" t="s">
        <v>25</v>
      </c>
      <c r="E825" s="21"/>
      <c r="F825" s="21"/>
      <c r="G825" s="21"/>
      <c r="H825" s="21">
        <v>486</v>
      </c>
      <c r="I825" s="21"/>
      <c r="J825" s="24">
        <v>-11.3</v>
      </c>
      <c r="K825" s="21"/>
    </row>
    <row r="826" spans="1:11" ht="17.25" customHeight="1" x14ac:dyDescent="0.2">
      <c r="A826" s="21">
        <v>825</v>
      </c>
      <c r="B826" s="22" t="s">
        <v>1595</v>
      </c>
      <c r="C826" s="22" t="s">
        <v>32</v>
      </c>
      <c r="D826" s="21" t="s">
        <v>69</v>
      </c>
      <c r="E826" s="21"/>
      <c r="F826" s="21"/>
      <c r="G826" s="21"/>
      <c r="H826" s="21"/>
      <c r="I826" s="21">
        <v>12.1</v>
      </c>
      <c r="J826" s="24">
        <v>-11.3</v>
      </c>
      <c r="K826" s="21"/>
    </row>
    <row r="827" spans="1:11" ht="17.25" customHeight="1" x14ac:dyDescent="0.2">
      <c r="A827" s="21">
        <v>826</v>
      </c>
      <c r="B827" s="22" t="s">
        <v>567</v>
      </c>
      <c r="C827" s="22" t="s">
        <v>125</v>
      </c>
      <c r="D827" s="21" t="s">
        <v>69</v>
      </c>
      <c r="E827" s="21"/>
      <c r="F827" s="21"/>
      <c r="G827" s="21"/>
      <c r="H827" s="21"/>
      <c r="I827" s="21">
        <v>24</v>
      </c>
      <c r="J827" s="24">
        <v>-11.4</v>
      </c>
      <c r="K827" s="21"/>
    </row>
    <row r="828" spans="1:11" ht="17.25" customHeight="1" x14ac:dyDescent="0.2">
      <c r="A828" s="21">
        <v>827</v>
      </c>
      <c r="B828" s="22" t="s">
        <v>1596</v>
      </c>
      <c r="C828" s="22" t="s">
        <v>32</v>
      </c>
      <c r="D828" s="21" t="s">
        <v>28</v>
      </c>
      <c r="E828" s="21"/>
      <c r="F828" s="21"/>
      <c r="G828" s="21"/>
      <c r="H828" s="21"/>
      <c r="I828" s="21">
        <v>26</v>
      </c>
      <c r="J828" s="24">
        <v>-11.4</v>
      </c>
      <c r="K828" s="21"/>
    </row>
    <row r="829" spans="1:11" ht="17.25" customHeight="1" x14ac:dyDescent="0.2">
      <c r="A829" s="21">
        <v>828</v>
      </c>
      <c r="B829" s="22" t="s">
        <v>1597</v>
      </c>
      <c r="C829" s="21"/>
      <c r="D829" s="21" t="s">
        <v>69</v>
      </c>
      <c r="E829" s="21"/>
      <c r="F829" s="21"/>
      <c r="G829" s="21"/>
      <c r="H829" s="21"/>
      <c r="I829" s="21">
        <v>11</v>
      </c>
      <c r="J829" s="24">
        <v>-11.4</v>
      </c>
      <c r="K829" s="21"/>
    </row>
    <row r="830" spans="1:11" ht="17.25" customHeight="1" x14ac:dyDescent="0.2">
      <c r="A830" s="21">
        <v>829</v>
      </c>
      <c r="B830" s="22" t="s">
        <v>673</v>
      </c>
      <c r="C830" s="22" t="s">
        <v>27</v>
      </c>
      <c r="D830" s="21" t="s">
        <v>74</v>
      </c>
      <c r="E830" s="21"/>
      <c r="F830" s="21"/>
      <c r="G830" s="21"/>
      <c r="H830" s="21">
        <v>37</v>
      </c>
      <c r="I830" s="21"/>
      <c r="J830" s="24">
        <v>-11.4</v>
      </c>
      <c r="K830" s="21"/>
    </row>
    <row r="831" spans="1:11" ht="17.25" customHeight="1" x14ac:dyDescent="0.2">
      <c r="A831" s="21">
        <v>830</v>
      </c>
      <c r="B831" s="22" t="s">
        <v>1598</v>
      </c>
      <c r="C831" s="22" t="s">
        <v>32</v>
      </c>
      <c r="D831" s="21" t="s">
        <v>69</v>
      </c>
      <c r="E831" s="21"/>
      <c r="F831" s="21"/>
      <c r="G831" s="21"/>
      <c r="H831" s="21"/>
      <c r="I831" s="21">
        <v>47.1</v>
      </c>
      <c r="J831" s="24">
        <v>-11.4</v>
      </c>
      <c r="K831" s="21"/>
    </row>
    <row r="832" spans="1:11" ht="17.25" customHeight="1" x14ac:dyDescent="0.2">
      <c r="A832" s="21">
        <v>831</v>
      </c>
      <c r="B832" s="22" t="s">
        <v>1599</v>
      </c>
      <c r="C832" s="21"/>
      <c r="D832" s="21" t="s">
        <v>69</v>
      </c>
      <c r="E832" s="21"/>
      <c r="F832" s="21"/>
      <c r="G832" s="21"/>
      <c r="H832" s="21"/>
      <c r="I832" s="21">
        <v>16.100000000000001</v>
      </c>
      <c r="J832" s="24">
        <v>-11.4</v>
      </c>
      <c r="K832" s="21"/>
    </row>
    <row r="833" spans="1:11" ht="17.25" customHeight="1" x14ac:dyDescent="0.2">
      <c r="A833" s="21">
        <v>832</v>
      </c>
      <c r="B833" s="22" t="s">
        <v>1273</v>
      </c>
      <c r="C833" s="22" t="s">
        <v>211</v>
      </c>
      <c r="D833" s="21" t="s">
        <v>74</v>
      </c>
      <c r="E833" s="21"/>
      <c r="F833" s="21"/>
      <c r="G833" s="21"/>
      <c r="H833" s="21">
        <v>15</v>
      </c>
      <c r="I833" s="21"/>
      <c r="J833" s="24">
        <v>-11.5</v>
      </c>
      <c r="K833" s="21"/>
    </row>
    <row r="834" spans="1:11" ht="17.25" customHeight="1" x14ac:dyDescent="0.2">
      <c r="A834" s="21">
        <v>833</v>
      </c>
      <c r="B834" s="22" t="s">
        <v>760</v>
      </c>
      <c r="C834" s="22" t="s">
        <v>140</v>
      </c>
      <c r="D834" s="21" t="s">
        <v>69</v>
      </c>
      <c r="E834" s="21"/>
      <c r="F834" s="21"/>
      <c r="G834" s="21"/>
      <c r="H834" s="21"/>
      <c r="I834" s="21">
        <v>3</v>
      </c>
      <c r="J834" s="24">
        <v>-11.5</v>
      </c>
      <c r="K834" s="21"/>
    </row>
    <row r="835" spans="1:11" ht="17.25" customHeight="1" x14ac:dyDescent="0.2">
      <c r="A835" s="21">
        <v>834</v>
      </c>
      <c r="B835" s="22" t="s">
        <v>727</v>
      </c>
      <c r="C835" s="22" t="s">
        <v>36</v>
      </c>
      <c r="D835" s="21" t="s">
        <v>28</v>
      </c>
      <c r="E835" s="21"/>
      <c r="F835" s="21"/>
      <c r="G835" s="21"/>
      <c r="H835" s="21"/>
      <c r="I835" s="21">
        <v>156</v>
      </c>
      <c r="J835" s="24">
        <v>-11.5</v>
      </c>
      <c r="K835" s="21"/>
    </row>
    <row r="836" spans="1:11" ht="17.25" customHeight="1" x14ac:dyDescent="0.2">
      <c r="A836" s="21">
        <v>835</v>
      </c>
      <c r="B836" s="22" t="s">
        <v>1600</v>
      </c>
      <c r="C836" s="22" t="s">
        <v>132</v>
      </c>
      <c r="D836" s="21" t="s">
        <v>69</v>
      </c>
      <c r="E836" s="21"/>
      <c r="F836" s="21"/>
      <c r="G836" s="21"/>
      <c r="H836" s="21"/>
      <c r="I836" s="21">
        <v>5</v>
      </c>
      <c r="J836" s="24">
        <v>-11.5</v>
      </c>
      <c r="K836" s="21"/>
    </row>
    <row r="837" spans="1:11" ht="17.25" customHeight="1" x14ac:dyDescent="0.2">
      <c r="A837" s="21">
        <v>836</v>
      </c>
      <c r="B837" s="22" t="s">
        <v>1601</v>
      </c>
      <c r="C837" s="22" t="s">
        <v>27</v>
      </c>
      <c r="D837" s="21" t="s">
        <v>69</v>
      </c>
      <c r="E837" s="21"/>
      <c r="F837" s="21"/>
      <c r="G837" s="21"/>
      <c r="H837" s="21"/>
      <c r="I837" s="21">
        <v>28</v>
      </c>
      <c r="J837" s="24">
        <v>-11.5</v>
      </c>
      <c r="K837" s="21"/>
    </row>
    <row r="838" spans="1:11" ht="17.25" customHeight="1" x14ac:dyDescent="0.2">
      <c r="A838" s="21">
        <v>837</v>
      </c>
      <c r="B838" s="22" t="s">
        <v>426</v>
      </c>
      <c r="C838" s="22" t="s">
        <v>24</v>
      </c>
      <c r="D838" s="21" t="s">
        <v>69</v>
      </c>
      <c r="E838" s="21"/>
      <c r="F838" s="21"/>
      <c r="G838" s="21"/>
      <c r="H838" s="21"/>
      <c r="I838" s="21">
        <v>12</v>
      </c>
      <c r="J838" s="24">
        <v>-11.6</v>
      </c>
      <c r="K838" s="21"/>
    </row>
    <row r="839" spans="1:11" ht="17.25" customHeight="1" x14ac:dyDescent="0.2">
      <c r="A839" s="21">
        <v>838</v>
      </c>
      <c r="B839" s="22" t="s">
        <v>1602</v>
      </c>
      <c r="C839" s="22" t="s">
        <v>52</v>
      </c>
      <c r="D839" s="21" t="s">
        <v>69</v>
      </c>
      <c r="E839" s="21"/>
      <c r="F839" s="21"/>
      <c r="G839" s="21"/>
      <c r="H839" s="21"/>
      <c r="I839" s="21">
        <v>23</v>
      </c>
      <c r="J839" s="24">
        <v>-11.6</v>
      </c>
      <c r="K839" s="21"/>
    </row>
    <row r="840" spans="1:11" ht="17.25" customHeight="1" x14ac:dyDescent="0.2">
      <c r="A840" s="21">
        <v>839</v>
      </c>
      <c r="B840" s="22" t="s">
        <v>706</v>
      </c>
      <c r="C840" s="21"/>
      <c r="D840" s="21" t="s">
        <v>25</v>
      </c>
      <c r="E840" s="21"/>
      <c r="F840" s="21"/>
      <c r="G840" s="21"/>
      <c r="H840" s="21">
        <v>325</v>
      </c>
      <c r="I840" s="21"/>
      <c r="J840" s="24">
        <v>-11.6</v>
      </c>
      <c r="K840" s="21"/>
    </row>
    <row r="841" spans="1:11" ht="17.25" customHeight="1" x14ac:dyDescent="0.2">
      <c r="A841" s="21">
        <v>840</v>
      </c>
      <c r="B841" s="22" t="s">
        <v>1603</v>
      </c>
      <c r="C841" s="22" t="s">
        <v>24</v>
      </c>
      <c r="D841" s="21" t="s">
        <v>69</v>
      </c>
      <c r="E841" s="21"/>
      <c r="F841" s="21"/>
      <c r="G841" s="21"/>
      <c r="H841" s="21"/>
      <c r="I841" s="21">
        <v>4</v>
      </c>
      <c r="J841" s="24">
        <v>-11.6</v>
      </c>
      <c r="K841" s="21"/>
    </row>
    <row r="842" spans="1:11" ht="17.25" customHeight="1" x14ac:dyDescent="0.2">
      <c r="A842" s="21">
        <v>841</v>
      </c>
      <c r="B842" s="22" t="s">
        <v>653</v>
      </c>
      <c r="C842" s="22" t="s">
        <v>24</v>
      </c>
      <c r="D842" s="21" t="s">
        <v>69</v>
      </c>
      <c r="E842" s="21"/>
      <c r="F842" s="21"/>
      <c r="G842" s="21"/>
      <c r="H842" s="21"/>
      <c r="I842" s="21">
        <v>55</v>
      </c>
      <c r="J842" s="24">
        <v>-11.6</v>
      </c>
      <c r="K842" s="21"/>
    </row>
    <row r="843" spans="1:11" ht="17.25" customHeight="1" x14ac:dyDescent="0.2">
      <c r="A843" s="21">
        <v>842</v>
      </c>
      <c r="B843" s="22" t="s">
        <v>1604</v>
      </c>
      <c r="C843" s="22" t="s">
        <v>117</v>
      </c>
      <c r="D843" s="21" t="s">
        <v>69</v>
      </c>
      <c r="E843" s="21"/>
      <c r="F843" s="21"/>
      <c r="G843" s="21"/>
      <c r="H843" s="21"/>
      <c r="I843" s="21">
        <v>11</v>
      </c>
      <c r="J843" s="24">
        <v>-11.6</v>
      </c>
      <c r="K843" s="21"/>
    </row>
    <row r="844" spans="1:11" ht="17.25" customHeight="1" x14ac:dyDescent="0.2">
      <c r="A844" s="21">
        <v>843</v>
      </c>
      <c r="B844" s="22" t="s">
        <v>1605</v>
      </c>
      <c r="C844" s="22" t="s">
        <v>57</v>
      </c>
      <c r="D844" s="21" t="s">
        <v>69</v>
      </c>
      <c r="E844" s="21"/>
      <c r="F844" s="21"/>
      <c r="G844" s="21"/>
      <c r="H844" s="21"/>
      <c r="I844" s="21">
        <v>17.100000000000001</v>
      </c>
      <c r="J844" s="24">
        <v>-11.6</v>
      </c>
      <c r="K844" s="21"/>
    </row>
    <row r="845" spans="1:11" ht="17.25" customHeight="1" x14ac:dyDescent="0.2">
      <c r="A845" s="21">
        <v>844</v>
      </c>
      <c r="B845" s="22" t="s">
        <v>1606</v>
      </c>
      <c r="C845" s="22" t="s">
        <v>52</v>
      </c>
      <c r="D845" s="21" t="s">
        <v>69</v>
      </c>
      <c r="E845" s="21"/>
      <c r="F845" s="21"/>
      <c r="G845" s="21"/>
      <c r="H845" s="21"/>
      <c r="I845" s="21">
        <v>2.1</v>
      </c>
      <c r="J845" s="24">
        <v>-11.6</v>
      </c>
      <c r="K845" s="21"/>
    </row>
    <row r="846" spans="1:11" ht="17.25" customHeight="1" x14ac:dyDescent="0.2">
      <c r="A846" s="21">
        <v>845</v>
      </c>
      <c r="B846" s="22" t="s">
        <v>1607</v>
      </c>
      <c r="C846" s="22" t="s">
        <v>232</v>
      </c>
      <c r="D846" s="21" t="s">
        <v>69</v>
      </c>
      <c r="E846" s="21"/>
      <c r="F846" s="21"/>
      <c r="G846" s="21"/>
      <c r="H846" s="21"/>
      <c r="I846" s="21">
        <v>7.1</v>
      </c>
      <c r="J846" s="24">
        <v>-11.7</v>
      </c>
      <c r="K846" s="21"/>
    </row>
    <row r="847" spans="1:11" ht="17.25" customHeight="1" x14ac:dyDescent="0.2">
      <c r="A847" s="21">
        <v>846</v>
      </c>
      <c r="B847" s="22" t="s">
        <v>1608</v>
      </c>
      <c r="C847" s="22" t="s">
        <v>24</v>
      </c>
      <c r="D847" s="21" t="s">
        <v>69</v>
      </c>
      <c r="E847" s="21"/>
      <c r="F847" s="21"/>
      <c r="G847" s="21"/>
      <c r="H847" s="21"/>
      <c r="I847" s="21">
        <v>5</v>
      </c>
      <c r="J847" s="24">
        <v>-11.7</v>
      </c>
      <c r="K847" s="21"/>
    </row>
    <row r="848" spans="1:11" ht="17.25" customHeight="1" x14ac:dyDescent="0.2">
      <c r="A848" s="21">
        <v>847</v>
      </c>
      <c r="B848" s="22" t="s">
        <v>1609</v>
      </c>
      <c r="C848" s="22" t="s">
        <v>60</v>
      </c>
      <c r="D848" s="21" t="s">
        <v>69</v>
      </c>
      <c r="E848" s="21"/>
      <c r="F848" s="21"/>
      <c r="G848" s="21"/>
      <c r="H848" s="21"/>
      <c r="I848" s="21">
        <v>5</v>
      </c>
      <c r="J848" s="24">
        <v>-11.7</v>
      </c>
      <c r="K848" s="21"/>
    </row>
    <row r="849" spans="1:11" ht="17.25" customHeight="1" x14ac:dyDescent="0.2">
      <c r="A849" s="21">
        <v>848</v>
      </c>
      <c r="B849" s="22" t="s">
        <v>1610</v>
      </c>
      <c r="C849" s="22" t="s">
        <v>55</v>
      </c>
      <c r="D849" s="21" t="s">
        <v>69</v>
      </c>
      <c r="E849" s="21"/>
      <c r="F849" s="21"/>
      <c r="G849" s="21"/>
      <c r="H849" s="21"/>
      <c r="I849" s="21">
        <v>56.1</v>
      </c>
      <c r="J849" s="24">
        <v>-11.7</v>
      </c>
      <c r="K849" s="21"/>
    </row>
    <row r="850" spans="1:11" ht="17.25" customHeight="1" x14ac:dyDescent="0.2">
      <c r="A850" s="21">
        <v>849</v>
      </c>
      <c r="B850" s="22" t="s">
        <v>1611</v>
      </c>
      <c r="C850" s="22" t="s">
        <v>34</v>
      </c>
      <c r="D850" s="21" t="s">
        <v>69</v>
      </c>
      <c r="E850" s="21"/>
      <c r="F850" s="21"/>
      <c r="G850" s="21"/>
      <c r="H850" s="21"/>
      <c r="I850" s="21">
        <v>21</v>
      </c>
      <c r="J850" s="24">
        <v>-11.7</v>
      </c>
      <c r="K850" s="21"/>
    </row>
    <row r="851" spans="1:11" ht="17.25" customHeight="1" x14ac:dyDescent="0.2">
      <c r="A851" s="21">
        <v>850</v>
      </c>
      <c r="B851" s="22" t="s">
        <v>1336</v>
      </c>
      <c r="C851" s="22" t="s">
        <v>30</v>
      </c>
      <c r="D851" s="21" t="s">
        <v>69</v>
      </c>
      <c r="E851" s="21"/>
      <c r="F851" s="21"/>
      <c r="G851" s="21"/>
      <c r="H851" s="21"/>
      <c r="I851" s="21">
        <v>4</v>
      </c>
      <c r="J851" s="24">
        <v>-11.7</v>
      </c>
      <c r="K851" s="21"/>
    </row>
    <row r="852" spans="1:11" ht="17.25" customHeight="1" x14ac:dyDescent="0.2">
      <c r="A852" s="21">
        <v>851</v>
      </c>
      <c r="B852" s="22" t="s">
        <v>1612</v>
      </c>
      <c r="C852" s="22" t="s">
        <v>232</v>
      </c>
      <c r="D852" s="21" t="s">
        <v>69</v>
      </c>
      <c r="E852" s="21"/>
      <c r="F852" s="21"/>
      <c r="G852" s="21"/>
      <c r="H852" s="21"/>
      <c r="I852" s="21">
        <v>44.1</v>
      </c>
      <c r="J852" s="24">
        <v>-11.7</v>
      </c>
      <c r="K852" s="21"/>
    </row>
    <row r="853" spans="1:11" ht="17.25" customHeight="1" x14ac:dyDescent="0.2">
      <c r="A853" s="21">
        <v>852</v>
      </c>
      <c r="B853" s="22" t="s">
        <v>716</v>
      </c>
      <c r="C853" s="22" t="s">
        <v>34</v>
      </c>
      <c r="D853" s="21" t="s">
        <v>69</v>
      </c>
      <c r="E853" s="21"/>
      <c r="F853" s="21"/>
      <c r="G853" s="21"/>
      <c r="H853" s="21"/>
      <c r="I853" s="21">
        <v>5</v>
      </c>
      <c r="J853" s="24">
        <v>-11.7</v>
      </c>
      <c r="K853" s="21"/>
    </row>
    <row r="854" spans="1:11" ht="17.25" customHeight="1" x14ac:dyDescent="0.2">
      <c r="A854" s="21">
        <v>853</v>
      </c>
      <c r="B854" s="22" t="s">
        <v>1279</v>
      </c>
      <c r="C854" s="22" t="s">
        <v>55</v>
      </c>
      <c r="D854" s="21" t="s">
        <v>69</v>
      </c>
      <c r="E854" s="21"/>
      <c r="F854" s="21"/>
      <c r="G854" s="21"/>
      <c r="H854" s="21"/>
      <c r="I854" s="21">
        <v>4</v>
      </c>
      <c r="J854" s="24">
        <v>-11.8</v>
      </c>
      <c r="K854" s="21"/>
    </row>
    <row r="855" spans="1:11" ht="17.25" customHeight="1" x14ac:dyDescent="0.2">
      <c r="A855" s="21">
        <v>854</v>
      </c>
      <c r="B855" s="22" t="s">
        <v>1613</v>
      </c>
      <c r="C855" s="22" t="s">
        <v>115</v>
      </c>
      <c r="D855" s="21" t="s">
        <v>69</v>
      </c>
      <c r="E855" s="21"/>
      <c r="F855" s="21"/>
      <c r="G855" s="21"/>
      <c r="H855" s="21"/>
      <c r="I855" s="21">
        <v>2</v>
      </c>
      <c r="J855" s="24">
        <v>-11.8</v>
      </c>
      <c r="K855" s="21"/>
    </row>
    <row r="856" spans="1:11" ht="17.25" customHeight="1" x14ac:dyDescent="0.2">
      <c r="A856" s="21">
        <v>855</v>
      </c>
      <c r="B856" s="22" t="s">
        <v>336</v>
      </c>
      <c r="C856" s="21"/>
      <c r="D856" s="21" t="s">
        <v>28</v>
      </c>
      <c r="E856" s="21"/>
      <c r="F856" s="21"/>
      <c r="G856" s="21"/>
      <c r="H856" s="21"/>
      <c r="I856" s="21">
        <v>136</v>
      </c>
      <c r="J856" s="24">
        <v>-11.8</v>
      </c>
      <c r="K856" s="21"/>
    </row>
    <row r="857" spans="1:11" ht="17.25" customHeight="1" x14ac:dyDescent="0.2">
      <c r="A857" s="21">
        <v>856</v>
      </c>
      <c r="B857" s="22" t="s">
        <v>776</v>
      </c>
      <c r="C857" s="22" t="s">
        <v>30</v>
      </c>
      <c r="D857" s="21" t="s">
        <v>74</v>
      </c>
      <c r="E857" s="21"/>
      <c r="F857" s="21"/>
      <c r="G857" s="21"/>
      <c r="H857" s="21">
        <v>58</v>
      </c>
      <c r="I857" s="21"/>
      <c r="J857" s="24">
        <v>-11.9</v>
      </c>
      <c r="K857" s="21"/>
    </row>
    <row r="858" spans="1:11" ht="17.25" customHeight="1" x14ac:dyDescent="0.2">
      <c r="A858" s="21">
        <v>857</v>
      </c>
      <c r="B858" s="22" t="s">
        <v>711</v>
      </c>
      <c r="C858" s="22" t="s">
        <v>21</v>
      </c>
      <c r="D858" s="21" t="s">
        <v>74</v>
      </c>
      <c r="E858" s="21"/>
      <c r="F858" s="21"/>
      <c r="G858" s="21"/>
      <c r="H858" s="21">
        <v>180</v>
      </c>
      <c r="I858" s="21"/>
      <c r="J858" s="24">
        <v>-11.9</v>
      </c>
      <c r="K858" s="21"/>
    </row>
    <row r="859" spans="1:11" ht="17.25" customHeight="1" x14ac:dyDescent="0.2">
      <c r="A859" s="21">
        <v>858</v>
      </c>
      <c r="B859" s="22" t="s">
        <v>521</v>
      </c>
      <c r="C859" s="22" t="s">
        <v>66</v>
      </c>
      <c r="D859" s="21" t="s">
        <v>69</v>
      </c>
      <c r="E859" s="21"/>
      <c r="F859" s="21"/>
      <c r="G859" s="21"/>
      <c r="H859" s="21"/>
      <c r="I859" s="21">
        <v>8</v>
      </c>
      <c r="J859" s="24">
        <v>-11.9</v>
      </c>
      <c r="K859" s="21"/>
    </row>
    <row r="860" spans="1:11" ht="17.25" customHeight="1" x14ac:dyDescent="0.2">
      <c r="A860" s="21">
        <v>859</v>
      </c>
      <c r="B860" s="22" t="s">
        <v>808</v>
      </c>
      <c r="C860" s="22" t="s">
        <v>30</v>
      </c>
      <c r="D860" s="21" t="s">
        <v>69</v>
      </c>
      <c r="E860" s="21"/>
      <c r="F860" s="21"/>
      <c r="G860" s="21"/>
      <c r="H860" s="21"/>
      <c r="I860" s="21">
        <v>3</v>
      </c>
      <c r="J860" s="24">
        <v>-11.9</v>
      </c>
      <c r="K860" s="21"/>
    </row>
    <row r="861" spans="1:11" ht="17.25" customHeight="1" x14ac:dyDescent="0.2">
      <c r="A861" s="21">
        <v>860</v>
      </c>
      <c r="B861" s="22" t="s">
        <v>1614</v>
      </c>
      <c r="C861" s="22" t="s">
        <v>50</v>
      </c>
      <c r="D861" s="21" t="s">
        <v>69</v>
      </c>
      <c r="E861" s="21"/>
      <c r="F861" s="21"/>
      <c r="G861" s="21"/>
      <c r="H861" s="21"/>
      <c r="I861" s="21">
        <v>3</v>
      </c>
      <c r="J861" s="24">
        <v>-11.9</v>
      </c>
      <c r="K861" s="21"/>
    </row>
    <row r="862" spans="1:11" ht="17.25" customHeight="1" x14ac:dyDescent="0.2">
      <c r="A862" s="21">
        <v>861</v>
      </c>
      <c r="B862" s="22" t="s">
        <v>1615</v>
      </c>
      <c r="C862" s="22" t="s">
        <v>50</v>
      </c>
      <c r="D862" s="21" t="s">
        <v>69</v>
      </c>
      <c r="E862" s="21"/>
      <c r="F862" s="21"/>
      <c r="G862" s="21"/>
      <c r="H862" s="21"/>
      <c r="I862" s="21">
        <v>4</v>
      </c>
      <c r="J862" s="24">
        <v>-11.9</v>
      </c>
      <c r="K862" s="21"/>
    </row>
    <row r="863" spans="1:11" ht="17.25" customHeight="1" x14ac:dyDescent="0.2">
      <c r="A863" s="21">
        <v>862</v>
      </c>
      <c r="B863" s="22" t="s">
        <v>673</v>
      </c>
      <c r="C863" s="22" t="s">
        <v>27</v>
      </c>
      <c r="D863" s="21" t="s">
        <v>69</v>
      </c>
      <c r="E863" s="21"/>
      <c r="F863" s="21"/>
      <c r="G863" s="21"/>
      <c r="H863" s="21"/>
      <c r="I863" s="21">
        <v>1.1000000000000001</v>
      </c>
      <c r="J863" s="24">
        <v>-11.9</v>
      </c>
      <c r="K863" s="21"/>
    </row>
    <row r="864" spans="1:11" ht="17.25" customHeight="1" x14ac:dyDescent="0.2">
      <c r="A864" s="21">
        <v>863</v>
      </c>
      <c r="B864" s="22" t="s">
        <v>583</v>
      </c>
      <c r="C864" s="22" t="s">
        <v>211</v>
      </c>
      <c r="D864" s="21" t="s">
        <v>28</v>
      </c>
      <c r="E864" s="21"/>
      <c r="F864" s="21"/>
      <c r="G864" s="21"/>
      <c r="H864" s="21"/>
      <c r="I864" s="21">
        <v>158</v>
      </c>
      <c r="J864" s="24">
        <v>-11.9</v>
      </c>
      <c r="K864" s="21"/>
    </row>
    <row r="865" spans="1:11" ht="17.25" customHeight="1" x14ac:dyDescent="0.2">
      <c r="A865" s="21">
        <v>864</v>
      </c>
      <c r="B865" s="22" t="s">
        <v>914</v>
      </c>
      <c r="C865" s="22" t="s">
        <v>27</v>
      </c>
      <c r="D865" s="21" t="s">
        <v>16</v>
      </c>
      <c r="E865" s="21"/>
      <c r="F865" s="21"/>
      <c r="G865" s="21"/>
      <c r="H865" s="21">
        <v>150</v>
      </c>
      <c r="I865" s="21"/>
      <c r="J865" s="24">
        <v>-11.9</v>
      </c>
      <c r="K865" s="21"/>
    </row>
    <row r="866" spans="1:11" ht="17.25" customHeight="1" x14ac:dyDescent="0.2">
      <c r="A866" s="21">
        <v>865</v>
      </c>
      <c r="B866" s="22" t="s">
        <v>1339</v>
      </c>
      <c r="C866" s="22" t="s">
        <v>232</v>
      </c>
      <c r="D866" s="21" t="s">
        <v>69</v>
      </c>
      <c r="E866" s="21"/>
      <c r="F866" s="21"/>
      <c r="G866" s="21"/>
      <c r="H866" s="21"/>
      <c r="I866" s="21">
        <v>1</v>
      </c>
      <c r="J866" s="24">
        <v>-11.9</v>
      </c>
      <c r="K866" s="21"/>
    </row>
    <row r="867" spans="1:11" ht="17.25" customHeight="1" x14ac:dyDescent="0.2">
      <c r="A867" s="21">
        <v>866</v>
      </c>
      <c r="B867" s="22" t="s">
        <v>954</v>
      </c>
      <c r="C867" s="22" t="s">
        <v>140</v>
      </c>
      <c r="D867" s="21" t="s">
        <v>25</v>
      </c>
      <c r="E867" s="21"/>
      <c r="F867" s="21"/>
      <c r="G867" s="21"/>
      <c r="H867" s="21">
        <v>182</v>
      </c>
      <c r="I867" s="21"/>
      <c r="J867" s="24">
        <v>-11.9</v>
      </c>
      <c r="K867" s="21"/>
    </row>
    <row r="868" spans="1:11" ht="17.25" customHeight="1" x14ac:dyDescent="0.2">
      <c r="A868" s="21">
        <v>867</v>
      </c>
      <c r="B868" s="22" t="s">
        <v>182</v>
      </c>
      <c r="C868" s="22" t="s">
        <v>42</v>
      </c>
      <c r="D868" s="21" t="s">
        <v>28</v>
      </c>
      <c r="E868" s="21"/>
      <c r="F868" s="21"/>
      <c r="G868" s="21"/>
      <c r="H868" s="21"/>
      <c r="I868" s="21">
        <v>64</v>
      </c>
      <c r="J868" s="24">
        <v>-12</v>
      </c>
      <c r="K868" s="21"/>
    </row>
    <row r="869" spans="1:11" ht="17.25" customHeight="1" x14ac:dyDescent="0.2">
      <c r="A869" s="21">
        <v>868</v>
      </c>
      <c r="B869" s="22" t="s">
        <v>1274</v>
      </c>
      <c r="C869" s="22" t="s">
        <v>18</v>
      </c>
      <c r="D869" s="21" t="s">
        <v>74</v>
      </c>
      <c r="E869" s="21"/>
      <c r="F869" s="21"/>
      <c r="G869" s="21"/>
      <c r="H869" s="21">
        <v>39</v>
      </c>
      <c r="I869" s="21"/>
      <c r="J869" s="24">
        <v>-12</v>
      </c>
      <c r="K869" s="21"/>
    </row>
    <row r="870" spans="1:11" ht="17.25" customHeight="1" x14ac:dyDescent="0.2">
      <c r="A870" s="21">
        <v>869</v>
      </c>
      <c r="B870" s="22" t="s">
        <v>1616</v>
      </c>
      <c r="C870" s="22" t="s">
        <v>30</v>
      </c>
      <c r="D870" s="21" t="s">
        <v>69</v>
      </c>
      <c r="E870" s="21"/>
      <c r="F870" s="21"/>
      <c r="G870" s="21"/>
      <c r="H870" s="21"/>
      <c r="I870" s="21">
        <v>14</v>
      </c>
      <c r="J870" s="24">
        <v>-12</v>
      </c>
      <c r="K870" s="21"/>
    </row>
    <row r="871" spans="1:11" ht="17.25" customHeight="1" x14ac:dyDescent="0.2">
      <c r="A871" s="21">
        <v>870</v>
      </c>
      <c r="B871" s="22" t="s">
        <v>1617</v>
      </c>
      <c r="C871" s="21"/>
      <c r="D871" s="21" t="s">
        <v>69</v>
      </c>
      <c r="E871" s="21"/>
      <c r="F871" s="21"/>
      <c r="G871" s="21"/>
      <c r="H871" s="21"/>
      <c r="I871" s="21">
        <v>3</v>
      </c>
      <c r="J871" s="24">
        <v>-12</v>
      </c>
      <c r="K871" s="21"/>
    </row>
    <row r="872" spans="1:11" ht="17.25" customHeight="1" x14ac:dyDescent="0.2">
      <c r="A872" s="21">
        <v>871</v>
      </c>
      <c r="B872" s="22" t="s">
        <v>1618</v>
      </c>
      <c r="C872" s="22" t="s">
        <v>24</v>
      </c>
      <c r="D872" s="21" t="s">
        <v>69</v>
      </c>
      <c r="E872" s="21"/>
      <c r="F872" s="21"/>
      <c r="G872" s="21"/>
      <c r="H872" s="21"/>
      <c r="I872" s="21">
        <v>23.1</v>
      </c>
      <c r="J872" s="24">
        <v>-12</v>
      </c>
      <c r="K872" s="21"/>
    </row>
    <row r="873" spans="1:11" ht="17.25" customHeight="1" x14ac:dyDescent="0.2">
      <c r="A873" s="21">
        <v>872</v>
      </c>
      <c r="B873" s="22" t="s">
        <v>850</v>
      </c>
      <c r="C873" s="22" t="s">
        <v>34</v>
      </c>
      <c r="D873" s="21" t="s">
        <v>69</v>
      </c>
      <c r="E873" s="21"/>
      <c r="F873" s="21"/>
      <c r="G873" s="21"/>
      <c r="H873" s="21"/>
      <c r="I873" s="21">
        <v>1</v>
      </c>
      <c r="J873" s="24">
        <v>-12</v>
      </c>
      <c r="K873" s="21"/>
    </row>
    <row r="874" spans="1:11" ht="17.25" customHeight="1" x14ac:dyDescent="0.2">
      <c r="A874" s="21">
        <v>873</v>
      </c>
      <c r="B874" s="22" t="s">
        <v>701</v>
      </c>
      <c r="C874" s="22" t="s">
        <v>50</v>
      </c>
      <c r="D874" s="21" t="s">
        <v>69</v>
      </c>
      <c r="E874" s="21"/>
      <c r="F874" s="21"/>
      <c r="G874" s="21"/>
      <c r="H874" s="21"/>
      <c r="I874" s="21">
        <v>1</v>
      </c>
      <c r="J874" s="24">
        <v>-12</v>
      </c>
      <c r="K874" s="21"/>
    </row>
    <row r="875" spans="1:11" ht="17.25" customHeight="1" x14ac:dyDescent="0.2">
      <c r="A875" s="21">
        <v>874</v>
      </c>
      <c r="B875" s="22" t="s">
        <v>979</v>
      </c>
      <c r="C875" s="22" t="s">
        <v>52</v>
      </c>
      <c r="D875" s="21" t="s">
        <v>69</v>
      </c>
      <c r="E875" s="21"/>
      <c r="F875" s="21"/>
      <c r="G875" s="21"/>
      <c r="H875" s="21"/>
      <c r="I875" s="21">
        <v>1</v>
      </c>
      <c r="J875" s="24">
        <v>-12</v>
      </c>
      <c r="K875" s="21"/>
    </row>
    <row r="876" spans="1:11" ht="17.25" customHeight="1" x14ac:dyDescent="0.2">
      <c r="A876" s="21">
        <v>875</v>
      </c>
      <c r="B876" s="22" t="s">
        <v>936</v>
      </c>
      <c r="C876" s="22" t="s">
        <v>46</v>
      </c>
      <c r="D876" s="21" t="s">
        <v>69</v>
      </c>
      <c r="E876" s="21"/>
      <c r="F876" s="21"/>
      <c r="G876" s="21"/>
      <c r="H876" s="21"/>
      <c r="I876" s="21">
        <v>1</v>
      </c>
      <c r="J876" s="24">
        <v>-12</v>
      </c>
      <c r="K876" s="21"/>
    </row>
    <row r="877" spans="1:11" ht="17.25" customHeight="1" x14ac:dyDescent="0.2">
      <c r="A877" s="21">
        <v>876</v>
      </c>
      <c r="B877" s="22" t="s">
        <v>1619</v>
      </c>
      <c r="C877" s="22" t="s">
        <v>32</v>
      </c>
      <c r="D877" s="21" t="s">
        <v>69</v>
      </c>
      <c r="E877" s="21"/>
      <c r="F877" s="21"/>
      <c r="G877" s="21"/>
      <c r="H877" s="21"/>
      <c r="I877" s="21">
        <v>11</v>
      </c>
      <c r="J877" s="24">
        <v>-12</v>
      </c>
      <c r="K877" s="21"/>
    </row>
    <row r="878" spans="1:11" ht="17.25" customHeight="1" x14ac:dyDescent="0.2">
      <c r="A878" s="21">
        <v>877</v>
      </c>
      <c r="B878" s="22" t="s">
        <v>1620</v>
      </c>
      <c r="C878" s="22" t="s">
        <v>36</v>
      </c>
      <c r="D878" s="21" t="s">
        <v>28</v>
      </c>
      <c r="E878" s="21"/>
      <c r="F878" s="21"/>
      <c r="G878" s="21"/>
      <c r="H878" s="21"/>
      <c r="I878" s="21">
        <v>13</v>
      </c>
      <c r="J878" s="24">
        <v>-12</v>
      </c>
      <c r="K878" s="21"/>
    </row>
    <row r="879" spans="1:11" ht="17.25" customHeight="1" x14ac:dyDescent="0.2">
      <c r="A879" s="21">
        <v>878</v>
      </c>
      <c r="B879" s="22" t="s">
        <v>412</v>
      </c>
      <c r="C879" s="22" t="s">
        <v>232</v>
      </c>
      <c r="D879" s="21" t="s">
        <v>25</v>
      </c>
      <c r="E879" s="21"/>
      <c r="F879" s="21"/>
      <c r="G879" s="21"/>
      <c r="H879" s="21">
        <v>217</v>
      </c>
      <c r="I879" s="21"/>
      <c r="J879" s="24">
        <v>-12</v>
      </c>
      <c r="K879" s="21"/>
    </row>
    <row r="880" spans="1:11" ht="17.25" customHeight="1" x14ac:dyDescent="0.2">
      <c r="A880" s="21">
        <v>879</v>
      </c>
      <c r="B880" s="22" t="s">
        <v>788</v>
      </c>
      <c r="C880" s="22" t="s">
        <v>30</v>
      </c>
      <c r="D880" s="21" t="s">
        <v>87</v>
      </c>
      <c r="E880" s="21"/>
      <c r="F880" s="21"/>
      <c r="G880" s="21"/>
      <c r="H880" s="21">
        <v>266</v>
      </c>
      <c r="I880" s="21"/>
      <c r="J880" s="24">
        <v>-12</v>
      </c>
      <c r="K880" s="21"/>
    </row>
    <row r="881" spans="1:11" ht="17.25" customHeight="1" x14ac:dyDescent="0.2">
      <c r="A881" s="21">
        <v>880</v>
      </c>
      <c r="B881" s="22" t="s">
        <v>1313</v>
      </c>
      <c r="C881" s="22" t="s">
        <v>12</v>
      </c>
      <c r="D881" s="21" t="s">
        <v>69</v>
      </c>
      <c r="E881" s="21"/>
      <c r="F881" s="21"/>
      <c r="G881" s="21"/>
      <c r="H881" s="21"/>
      <c r="I881" s="21">
        <v>2</v>
      </c>
      <c r="J881" s="24">
        <v>-12</v>
      </c>
      <c r="K881" s="21"/>
    </row>
    <row r="882" spans="1:11" ht="17.25" customHeight="1" x14ac:dyDescent="0.2">
      <c r="A882" s="21">
        <v>881</v>
      </c>
      <c r="B882" s="22" t="s">
        <v>1621</v>
      </c>
      <c r="C882" s="22" t="s">
        <v>60</v>
      </c>
      <c r="D882" s="21" t="s">
        <v>69</v>
      </c>
      <c r="E882" s="21"/>
      <c r="F882" s="21"/>
      <c r="G882" s="21"/>
      <c r="H882" s="21"/>
      <c r="I882" s="21">
        <v>1</v>
      </c>
      <c r="J882" s="24">
        <v>-12.1</v>
      </c>
      <c r="K882" s="21"/>
    </row>
    <row r="883" spans="1:11" ht="17.25" customHeight="1" x14ac:dyDescent="0.2">
      <c r="A883" s="21">
        <v>882</v>
      </c>
      <c r="B883" s="22" t="s">
        <v>922</v>
      </c>
      <c r="C883" s="22" t="s">
        <v>36</v>
      </c>
      <c r="D883" s="21" t="s">
        <v>69</v>
      </c>
      <c r="E883" s="21"/>
      <c r="F883" s="21"/>
      <c r="G883" s="21"/>
      <c r="H883" s="21"/>
      <c r="I883" s="21">
        <v>6</v>
      </c>
      <c r="J883" s="24">
        <v>-12.1</v>
      </c>
      <c r="K883" s="21"/>
    </row>
    <row r="884" spans="1:11" ht="17.25" customHeight="1" x14ac:dyDescent="0.2">
      <c r="A884" s="21">
        <v>883</v>
      </c>
      <c r="B884" s="22" t="s">
        <v>1622</v>
      </c>
      <c r="C884" s="22" t="s">
        <v>66</v>
      </c>
      <c r="D884" s="21" t="s">
        <v>69</v>
      </c>
      <c r="E884" s="21"/>
      <c r="F884" s="21"/>
      <c r="G884" s="21"/>
      <c r="H884" s="21"/>
      <c r="I884" s="21">
        <v>3</v>
      </c>
      <c r="J884" s="24">
        <v>-12.1</v>
      </c>
      <c r="K884" s="21"/>
    </row>
    <row r="885" spans="1:11" ht="17.25" customHeight="1" x14ac:dyDescent="0.2">
      <c r="A885" s="21">
        <v>884</v>
      </c>
      <c r="B885" s="22" t="s">
        <v>726</v>
      </c>
      <c r="C885" s="22" t="s">
        <v>52</v>
      </c>
      <c r="D885" s="21" t="s">
        <v>69</v>
      </c>
      <c r="E885" s="21"/>
      <c r="F885" s="21"/>
      <c r="G885" s="21"/>
      <c r="H885" s="21"/>
      <c r="I885" s="21">
        <v>6.1</v>
      </c>
      <c r="J885" s="24">
        <v>-12.1</v>
      </c>
      <c r="K885" s="21"/>
    </row>
    <row r="886" spans="1:11" ht="17.25" customHeight="1" x14ac:dyDescent="0.2">
      <c r="A886" s="21">
        <v>885</v>
      </c>
      <c r="B886" s="22" t="s">
        <v>460</v>
      </c>
      <c r="C886" s="22" t="s">
        <v>24</v>
      </c>
      <c r="D886" s="21" t="s">
        <v>25</v>
      </c>
      <c r="E886" s="21"/>
      <c r="F886" s="21"/>
      <c r="G886" s="21"/>
      <c r="H886" s="21">
        <v>341</v>
      </c>
      <c r="I886" s="21"/>
      <c r="J886" s="24">
        <v>-12.1</v>
      </c>
      <c r="K886" s="21"/>
    </row>
    <row r="887" spans="1:11" ht="17.25" customHeight="1" x14ac:dyDescent="0.2">
      <c r="A887" s="21">
        <v>886</v>
      </c>
      <c r="B887" s="22" t="s">
        <v>154</v>
      </c>
      <c r="C887" s="22" t="s">
        <v>48</v>
      </c>
      <c r="D887" s="21" t="s">
        <v>74</v>
      </c>
      <c r="E887" s="21"/>
      <c r="F887" s="21"/>
      <c r="G887" s="21"/>
      <c r="H887" s="21">
        <v>188</v>
      </c>
      <c r="I887" s="21"/>
      <c r="J887" s="24">
        <v>-12.1</v>
      </c>
      <c r="K887" s="21"/>
    </row>
    <row r="888" spans="1:11" ht="17.25" customHeight="1" x14ac:dyDescent="0.2">
      <c r="A888" s="21">
        <v>887</v>
      </c>
      <c r="B888" s="22" t="s">
        <v>749</v>
      </c>
      <c r="C888" s="22" t="s">
        <v>60</v>
      </c>
      <c r="D888" s="21" t="s">
        <v>74</v>
      </c>
      <c r="E888" s="21"/>
      <c r="F888" s="21"/>
      <c r="G888" s="21"/>
      <c r="H888" s="21">
        <v>78</v>
      </c>
      <c r="I888" s="21"/>
      <c r="J888" s="24">
        <v>-12.1</v>
      </c>
      <c r="K888" s="21"/>
    </row>
    <row r="889" spans="1:11" ht="17.25" customHeight="1" x14ac:dyDescent="0.2">
      <c r="A889" s="21">
        <v>888</v>
      </c>
      <c r="B889" s="22" t="s">
        <v>656</v>
      </c>
      <c r="C889" s="22" t="s">
        <v>30</v>
      </c>
      <c r="D889" s="21" t="s">
        <v>28</v>
      </c>
      <c r="E889" s="21"/>
      <c r="F889" s="21"/>
      <c r="G889" s="21"/>
      <c r="H889" s="21"/>
      <c r="I889" s="21">
        <v>112</v>
      </c>
      <c r="J889" s="24">
        <v>-12.2</v>
      </c>
      <c r="K889" s="21"/>
    </row>
    <row r="890" spans="1:11" ht="17.25" customHeight="1" x14ac:dyDescent="0.2">
      <c r="A890" s="21">
        <v>889</v>
      </c>
      <c r="B890" s="22" t="s">
        <v>1623</v>
      </c>
      <c r="C890" s="22" t="s">
        <v>27</v>
      </c>
      <c r="D890" s="21" t="s">
        <v>69</v>
      </c>
      <c r="E890" s="21"/>
      <c r="F890" s="21"/>
      <c r="G890" s="21"/>
      <c r="H890" s="21"/>
      <c r="I890" s="21">
        <v>11</v>
      </c>
      <c r="J890" s="24">
        <v>-12.2</v>
      </c>
      <c r="K890" s="21"/>
    </row>
    <row r="891" spans="1:11" ht="17.25" customHeight="1" x14ac:dyDescent="0.2">
      <c r="A891" s="21">
        <v>890</v>
      </c>
      <c r="B891" s="22" t="s">
        <v>1624</v>
      </c>
      <c r="C891" s="22" t="s">
        <v>36</v>
      </c>
      <c r="D891" s="21" t="s">
        <v>69</v>
      </c>
      <c r="E891" s="21"/>
      <c r="F891" s="21"/>
      <c r="G891" s="21"/>
      <c r="H891" s="21"/>
      <c r="I891" s="21">
        <v>2</v>
      </c>
      <c r="J891" s="24">
        <v>-12.2</v>
      </c>
      <c r="K891" s="21"/>
    </row>
    <row r="892" spans="1:11" ht="17.25" customHeight="1" x14ac:dyDescent="0.2">
      <c r="A892" s="21">
        <v>891</v>
      </c>
      <c r="B892" s="22" t="s">
        <v>1275</v>
      </c>
      <c r="C892" s="22" t="s">
        <v>18</v>
      </c>
      <c r="D892" s="21" t="s">
        <v>25</v>
      </c>
      <c r="E892" s="21"/>
      <c r="F892" s="21"/>
      <c r="G892" s="21"/>
      <c r="H892" s="21">
        <v>57</v>
      </c>
      <c r="I892" s="21"/>
      <c r="J892" s="24">
        <v>-12.2</v>
      </c>
      <c r="K892" s="21"/>
    </row>
    <row r="893" spans="1:11" ht="17.25" customHeight="1" x14ac:dyDescent="0.2">
      <c r="A893" s="21">
        <v>892</v>
      </c>
      <c r="B893" s="22" t="s">
        <v>740</v>
      </c>
      <c r="C893" s="22" t="s">
        <v>18</v>
      </c>
      <c r="D893" s="21" t="s">
        <v>69</v>
      </c>
      <c r="E893" s="21"/>
      <c r="F893" s="21"/>
      <c r="G893" s="21"/>
      <c r="H893" s="21"/>
      <c r="I893" s="21">
        <v>1</v>
      </c>
      <c r="J893" s="24">
        <v>-12.2</v>
      </c>
      <c r="K893" s="21"/>
    </row>
    <row r="894" spans="1:11" ht="17.25" customHeight="1" x14ac:dyDescent="0.2">
      <c r="A894" s="21">
        <v>893</v>
      </c>
      <c r="B894" s="22" t="s">
        <v>994</v>
      </c>
      <c r="C894" s="21"/>
      <c r="D894" s="21" t="s">
        <v>69</v>
      </c>
      <c r="E894" s="21"/>
      <c r="F894" s="21"/>
      <c r="G894" s="21"/>
      <c r="H894" s="21"/>
      <c r="I894" s="21">
        <v>1</v>
      </c>
      <c r="J894" s="24">
        <v>-12.2</v>
      </c>
      <c r="K894" s="21"/>
    </row>
    <row r="895" spans="1:11" ht="17.25" customHeight="1" x14ac:dyDescent="0.2">
      <c r="A895" s="21">
        <v>894</v>
      </c>
      <c r="B895" s="22" t="s">
        <v>1331</v>
      </c>
      <c r="C895" s="22" t="s">
        <v>48</v>
      </c>
      <c r="D895" s="21" t="s">
        <v>69</v>
      </c>
      <c r="E895" s="21"/>
      <c r="F895" s="21"/>
      <c r="G895" s="21"/>
      <c r="H895" s="21"/>
      <c r="I895" s="21">
        <v>1</v>
      </c>
      <c r="J895" s="24">
        <v>-12.2</v>
      </c>
      <c r="K895" s="21"/>
    </row>
    <row r="896" spans="1:11" ht="17.25" customHeight="1" x14ac:dyDescent="0.2">
      <c r="A896" s="21">
        <v>895</v>
      </c>
      <c r="B896" s="22" t="s">
        <v>1625</v>
      </c>
      <c r="C896" s="21"/>
      <c r="D896" s="21" t="s">
        <v>69</v>
      </c>
      <c r="E896" s="21"/>
      <c r="F896" s="21"/>
      <c r="G896" s="21"/>
      <c r="H896" s="21"/>
      <c r="I896" s="21">
        <v>38</v>
      </c>
      <c r="J896" s="24">
        <v>-12.2</v>
      </c>
      <c r="K896" s="21"/>
    </row>
    <row r="897" spans="1:11" ht="17.25" customHeight="1" x14ac:dyDescent="0.2">
      <c r="A897" s="21">
        <v>896</v>
      </c>
      <c r="B897" s="22" t="s">
        <v>348</v>
      </c>
      <c r="C897" s="22" t="s">
        <v>21</v>
      </c>
      <c r="D897" s="21" t="s">
        <v>69</v>
      </c>
      <c r="E897" s="21"/>
      <c r="F897" s="21"/>
      <c r="G897" s="21"/>
      <c r="H897" s="21"/>
      <c r="I897" s="21">
        <v>42.1</v>
      </c>
      <c r="J897" s="24">
        <v>-12.2</v>
      </c>
      <c r="K897" s="21"/>
    </row>
    <row r="898" spans="1:11" ht="17.25" customHeight="1" x14ac:dyDescent="0.2">
      <c r="A898" s="21">
        <v>897</v>
      </c>
      <c r="B898" s="22" t="s">
        <v>366</v>
      </c>
      <c r="C898" s="22" t="s">
        <v>48</v>
      </c>
      <c r="D898" s="21" t="s">
        <v>69</v>
      </c>
      <c r="E898" s="21"/>
      <c r="F898" s="21"/>
      <c r="G898" s="21"/>
      <c r="H898" s="21"/>
      <c r="I898" s="21">
        <v>0.1</v>
      </c>
      <c r="J898" s="24">
        <v>-12.2</v>
      </c>
      <c r="K898" s="21"/>
    </row>
    <row r="899" spans="1:11" ht="17.25" customHeight="1" x14ac:dyDescent="0.2">
      <c r="A899" s="21">
        <v>898</v>
      </c>
      <c r="B899" s="22" t="s">
        <v>1626</v>
      </c>
      <c r="C899" s="22" t="s">
        <v>24</v>
      </c>
      <c r="D899" s="21" t="s">
        <v>69</v>
      </c>
      <c r="E899" s="21"/>
      <c r="F899" s="21"/>
      <c r="G899" s="21"/>
      <c r="H899" s="21"/>
      <c r="I899" s="21">
        <v>13</v>
      </c>
      <c r="J899" s="24">
        <v>-12.3</v>
      </c>
      <c r="K899" s="21"/>
    </row>
    <row r="900" spans="1:11" ht="17.25" customHeight="1" x14ac:dyDescent="0.2">
      <c r="A900" s="21">
        <v>899</v>
      </c>
      <c r="B900" s="22" t="s">
        <v>1627</v>
      </c>
      <c r="C900" s="22" t="s">
        <v>60</v>
      </c>
      <c r="D900" s="21" t="s">
        <v>69</v>
      </c>
      <c r="E900" s="21"/>
      <c r="F900" s="21"/>
      <c r="G900" s="21"/>
      <c r="H900" s="21"/>
      <c r="I900" s="21">
        <v>7</v>
      </c>
      <c r="J900" s="24">
        <v>-12.3</v>
      </c>
      <c r="K900" s="21"/>
    </row>
    <row r="901" spans="1:11" ht="17.25" customHeight="1" x14ac:dyDescent="0.2">
      <c r="A901" s="21">
        <v>900</v>
      </c>
      <c r="B901" s="22" t="s">
        <v>1628</v>
      </c>
      <c r="C901" s="21"/>
      <c r="D901" s="21" t="s">
        <v>69</v>
      </c>
      <c r="E901" s="21"/>
      <c r="F901" s="21"/>
      <c r="G901" s="21"/>
      <c r="H901" s="21"/>
      <c r="I901" s="21">
        <v>1.1000000000000001</v>
      </c>
      <c r="J901" s="24">
        <v>-12.3</v>
      </c>
      <c r="K901" s="21"/>
    </row>
    <row r="902" spans="1:11" ht="17.25" customHeight="1" x14ac:dyDescent="0.2">
      <c r="A902" s="21">
        <v>901</v>
      </c>
      <c r="B902" s="22" t="s">
        <v>363</v>
      </c>
      <c r="C902" s="22" t="s">
        <v>30</v>
      </c>
      <c r="D902" s="21" t="s">
        <v>69</v>
      </c>
      <c r="E902" s="21"/>
      <c r="F902" s="21"/>
      <c r="G902" s="21"/>
      <c r="H902" s="21"/>
      <c r="I902" s="21">
        <v>2</v>
      </c>
      <c r="J902" s="24">
        <v>-12.3</v>
      </c>
      <c r="K902" s="21"/>
    </row>
    <row r="903" spans="1:11" ht="17.25" customHeight="1" x14ac:dyDescent="0.2">
      <c r="A903" s="21">
        <v>902</v>
      </c>
      <c r="B903" s="22" t="s">
        <v>1629</v>
      </c>
      <c r="C903" s="22" t="s">
        <v>24</v>
      </c>
      <c r="D903" s="21" t="s">
        <v>69</v>
      </c>
      <c r="E903" s="21"/>
      <c r="F903" s="21"/>
      <c r="G903" s="21"/>
      <c r="H903" s="21"/>
      <c r="I903" s="21">
        <v>6</v>
      </c>
      <c r="J903" s="24">
        <v>-12.3</v>
      </c>
      <c r="K903" s="21"/>
    </row>
    <row r="904" spans="1:11" ht="17.25" customHeight="1" x14ac:dyDescent="0.2">
      <c r="A904" s="21">
        <v>903</v>
      </c>
      <c r="B904" s="22" t="s">
        <v>409</v>
      </c>
      <c r="C904" s="21"/>
      <c r="D904" s="21" t="s">
        <v>16</v>
      </c>
      <c r="E904" s="21"/>
      <c r="F904" s="21"/>
      <c r="G904" s="21"/>
      <c r="H904" s="21">
        <v>293</v>
      </c>
      <c r="I904" s="21"/>
      <c r="J904" s="24">
        <v>-12.3</v>
      </c>
      <c r="K904" s="21"/>
    </row>
    <row r="905" spans="1:11" ht="17.25" customHeight="1" x14ac:dyDescent="0.2">
      <c r="A905" s="21">
        <v>904</v>
      </c>
      <c r="B905" s="22" t="s">
        <v>666</v>
      </c>
      <c r="C905" s="22" t="s">
        <v>18</v>
      </c>
      <c r="D905" s="21" t="s">
        <v>82</v>
      </c>
      <c r="E905" s="21"/>
      <c r="F905" s="21"/>
      <c r="G905" s="21"/>
      <c r="H905" s="21">
        <v>284</v>
      </c>
      <c r="I905" s="21"/>
      <c r="J905" s="24">
        <v>-12.3</v>
      </c>
      <c r="K905" s="21"/>
    </row>
    <row r="906" spans="1:11" ht="17.25" customHeight="1" x14ac:dyDescent="0.2">
      <c r="A906" s="21">
        <v>905</v>
      </c>
      <c r="B906" s="22" t="s">
        <v>1630</v>
      </c>
      <c r="C906" s="21"/>
      <c r="D906" s="21" t="s">
        <v>69</v>
      </c>
      <c r="E906" s="21"/>
      <c r="F906" s="21"/>
      <c r="G906" s="21"/>
      <c r="H906" s="21"/>
      <c r="I906" s="21">
        <v>1</v>
      </c>
      <c r="J906" s="24">
        <v>-12.3</v>
      </c>
      <c r="K906" s="21"/>
    </row>
    <row r="907" spans="1:11" ht="17.25" customHeight="1" x14ac:dyDescent="0.2">
      <c r="A907" s="21">
        <v>906</v>
      </c>
      <c r="B907" s="22" t="s">
        <v>866</v>
      </c>
      <c r="C907" s="22" t="s">
        <v>57</v>
      </c>
      <c r="D907" s="21" t="s">
        <v>69</v>
      </c>
      <c r="E907" s="21"/>
      <c r="F907" s="21"/>
      <c r="G907" s="21"/>
      <c r="H907" s="21"/>
      <c r="I907" s="21">
        <v>33</v>
      </c>
      <c r="J907" s="24">
        <v>-12.4</v>
      </c>
      <c r="K907" s="21"/>
    </row>
    <row r="908" spans="1:11" ht="17.25" customHeight="1" x14ac:dyDescent="0.2">
      <c r="A908" s="21">
        <v>907</v>
      </c>
      <c r="B908" s="22" t="s">
        <v>1295</v>
      </c>
      <c r="C908" s="22" t="s">
        <v>48</v>
      </c>
      <c r="D908" s="21" t="s">
        <v>69</v>
      </c>
      <c r="E908" s="21"/>
      <c r="F908" s="21"/>
      <c r="G908" s="21"/>
      <c r="H908" s="21"/>
      <c r="I908" s="21">
        <v>1</v>
      </c>
      <c r="J908" s="24">
        <v>-12.4</v>
      </c>
      <c r="K908" s="21"/>
    </row>
    <row r="909" spans="1:11" ht="17.25" customHeight="1" x14ac:dyDescent="0.2">
      <c r="A909" s="21">
        <v>908</v>
      </c>
      <c r="B909" s="22" t="s">
        <v>1631</v>
      </c>
      <c r="C909" s="22" t="s">
        <v>211</v>
      </c>
      <c r="D909" s="21" t="s">
        <v>69</v>
      </c>
      <c r="E909" s="21"/>
      <c r="F909" s="21"/>
      <c r="G909" s="21"/>
      <c r="H909" s="21"/>
      <c r="I909" s="21">
        <v>1</v>
      </c>
      <c r="J909" s="24">
        <v>-12.4</v>
      </c>
      <c r="K909" s="21"/>
    </row>
    <row r="910" spans="1:11" ht="17.25" customHeight="1" x14ac:dyDescent="0.2">
      <c r="A910" s="21">
        <v>909</v>
      </c>
      <c r="B910" s="22" t="s">
        <v>1632</v>
      </c>
      <c r="C910" s="22" t="s">
        <v>55</v>
      </c>
      <c r="D910" s="21" t="s">
        <v>69</v>
      </c>
      <c r="E910" s="21"/>
      <c r="F910" s="21"/>
      <c r="G910" s="21"/>
      <c r="H910" s="21"/>
      <c r="I910" s="21">
        <v>1.1000000000000001</v>
      </c>
      <c r="J910" s="24">
        <v>-12.4</v>
      </c>
      <c r="K910" s="21"/>
    </row>
    <row r="911" spans="1:11" ht="17.25" customHeight="1" x14ac:dyDescent="0.2">
      <c r="A911" s="21">
        <v>910</v>
      </c>
      <c r="B911" s="22" t="s">
        <v>1633</v>
      </c>
      <c r="C911" s="22" t="s">
        <v>52</v>
      </c>
      <c r="D911" s="21" t="s">
        <v>69</v>
      </c>
      <c r="E911" s="21"/>
      <c r="F911" s="21"/>
      <c r="G911" s="21"/>
      <c r="H911" s="21"/>
      <c r="I911" s="21">
        <v>16</v>
      </c>
      <c r="J911" s="24">
        <v>-12.4</v>
      </c>
      <c r="K911" s="21"/>
    </row>
    <row r="912" spans="1:11" ht="17.25" customHeight="1" x14ac:dyDescent="0.2">
      <c r="A912" s="21">
        <v>911</v>
      </c>
      <c r="B912" s="22" t="s">
        <v>1634</v>
      </c>
      <c r="C912" s="22" t="s">
        <v>46</v>
      </c>
      <c r="D912" s="21" t="s">
        <v>69</v>
      </c>
      <c r="E912" s="21"/>
      <c r="F912" s="21"/>
      <c r="G912" s="21"/>
      <c r="H912" s="21"/>
      <c r="I912" s="21">
        <v>11.1</v>
      </c>
      <c r="J912" s="24">
        <v>-12.4</v>
      </c>
      <c r="K912" s="21"/>
    </row>
    <row r="913" spans="1:11" ht="17.25" customHeight="1" x14ac:dyDescent="0.2">
      <c r="A913" s="21">
        <v>912</v>
      </c>
      <c r="B913" s="22" t="s">
        <v>1635</v>
      </c>
      <c r="C913" s="22" t="s">
        <v>55</v>
      </c>
      <c r="D913" s="21" t="s">
        <v>69</v>
      </c>
      <c r="E913" s="21"/>
      <c r="F913" s="21"/>
      <c r="G913" s="21"/>
      <c r="H913" s="21"/>
      <c r="I913" s="21">
        <v>28.1</v>
      </c>
      <c r="J913" s="24">
        <v>-12.4</v>
      </c>
      <c r="K913" s="21"/>
    </row>
    <row r="914" spans="1:11" ht="17.25" customHeight="1" x14ac:dyDescent="0.2">
      <c r="A914" s="21">
        <v>913</v>
      </c>
      <c r="B914" s="22" t="s">
        <v>1636</v>
      </c>
      <c r="C914" s="22" t="s">
        <v>89</v>
      </c>
      <c r="D914" s="21" t="s">
        <v>69</v>
      </c>
      <c r="E914" s="21"/>
      <c r="F914" s="21"/>
      <c r="G914" s="21"/>
      <c r="H914" s="21"/>
      <c r="I914" s="21">
        <v>1</v>
      </c>
      <c r="J914" s="24">
        <v>-12.4</v>
      </c>
      <c r="K914" s="21"/>
    </row>
    <row r="915" spans="1:11" ht="17.25" customHeight="1" x14ac:dyDescent="0.2">
      <c r="A915" s="21">
        <v>914</v>
      </c>
      <c r="B915" s="22" t="s">
        <v>1637</v>
      </c>
      <c r="C915" s="22" t="s">
        <v>24</v>
      </c>
      <c r="D915" s="21" t="s">
        <v>69</v>
      </c>
      <c r="E915" s="21"/>
      <c r="F915" s="21"/>
      <c r="G915" s="21"/>
      <c r="H915" s="21"/>
      <c r="I915" s="21">
        <v>31</v>
      </c>
      <c r="J915" s="24">
        <v>-12.4</v>
      </c>
      <c r="K915" s="21"/>
    </row>
    <row r="916" spans="1:11" ht="17.25" customHeight="1" x14ac:dyDescent="0.2">
      <c r="A916" s="21">
        <v>915</v>
      </c>
      <c r="B916" s="22" t="s">
        <v>1638</v>
      </c>
      <c r="C916" s="21"/>
      <c r="D916" s="21" t="s">
        <v>69</v>
      </c>
      <c r="E916" s="21"/>
      <c r="F916" s="21"/>
      <c r="G916" s="21"/>
      <c r="H916" s="21"/>
      <c r="I916" s="21">
        <v>11</v>
      </c>
      <c r="J916" s="24">
        <v>-12.4</v>
      </c>
      <c r="K916" s="21"/>
    </row>
    <row r="917" spans="1:11" ht="17.25" customHeight="1" x14ac:dyDescent="0.2">
      <c r="A917" s="21">
        <v>916</v>
      </c>
      <c r="B917" s="22" t="s">
        <v>1271</v>
      </c>
      <c r="C917" s="22" t="s">
        <v>140</v>
      </c>
      <c r="D917" s="21" t="s">
        <v>69</v>
      </c>
      <c r="E917" s="21"/>
      <c r="F917" s="21"/>
      <c r="G917" s="21"/>
      <c r="H917" s="21"/>
      <c r="I917" s="21">
        <v>2</v>
      </c>
      <c r="J917" s="24">
        <v>-12.4</v>
      </c>
      <c r="K917" s="21"/>
    </row>
    <row r="918" spans="1:11" ht="17.25" customHeight="1" x14ac:dyDescent="0.2">
      <c r="A918" s="21">
        <v>917</v>
      </c>
      <c r="B918" s="22" t="s">
        <v>1639</v>
      </c>
      <c r="C918" s="21"/>
      <c r="D918" s="21" t="s">
        <v>69</v>
      </c>
      <c r="E918" s="21"/>
      <c r="F918" s="21"/>
      <c r="G918" s="21"/>
      <c r="H918" s="21"/>
      <c r="I918" s="21">
        <v>17</v>
      </c>
      <c r="J918" s="24">
        <v>-12.4</v>
      </c>
      <c r="K918" s="21"/>
    </row>
    <row r="919" spans="1:11" ht="17.25" customHeight="1" x14ac:dyDescent="0.2">
      <c r="A919" s="21">
        <v>918</v>
      </c>
      <c r="B919" s="22" t="s">
        <v>806</v>
      </c>
      <c r="C919" s="22" t="s">
        <v>27</v>
      </c>
      <c r="D919" s="21" t="s">
        <v>69</v>
      </c>
      <c r="E919" s="21"/>
      <c r="F919" s="21"/>
      <c r="G919" s="21"/>
      <c r="H919" s="21"/>
      <c r="I919" s="21">
        <v>0.1</v>
      </c>
      <c r="J919" s="24">
        <v>-12.4</v>
      </c>
      <c r="K919" s="21"/>
    </row>
    <row r="920" spans="1:11" ht="17.25" customHeight="1" x14ac:dyDescent="0.2">
      <c r="A920" s="21">
        <v>919</v>
      </c>
      <c r="B920" s="22" t="s">
        <v>777</v>
      </c>
      <c r="C920" s="21"/>
      <c r="D920" s="21" t="s">
        <v>74</v>
      </c>
      <c r="E920" s="21"/>
      <c r="F920" s="21"/>
      <c r="G920" s="21"/>
      <c r="H920" s="21">
        <v>10</v>
      </c>
      <c r="I920" s="21"/>
      <c r="J920" s="24">
        <v>-12.5</v>
      </c>
      <c r="K920" s="21"/>
    </row>
    <row r="921" spans="1:11" ht="17.25" customHeight="1" x14ac:dyDescent="0.2">
      <c r="A921" s="21">
        <v>920</v>
      </c>
      <c r="B921" s="22" t="s">
        <v>1640</v>
      </c>
      <c r="C921" s="22" t="s">
        <v>132</v>
      </c>
      <c r="D921" s="21" t="s">
        <v>69</v>
      </c>
      <c r="E921" s="21"/>
      <c r="F921" s="21"/>
      <c r="G921" s="21"/>
      <c r="H921" s="21"/>
      <c r="I921" s="21">
        <v>21</v>
      </c>
      <c r="J921" s="24">
        <v>-12.5</v>
      </c>
      <c r="K921" s="21"/>
    </row>
    <row r="922" spans="1:11" ht="17.25" customHeight="1" x14ac:dyDescent="0.2">
      <c r="A922" s="21">
        <v>921</v>
      </c>
      <c r="B922" s="22" t="s">
        <v>1641</v>
      </c>
      <c r="C922" s="22" t="s">
        <v>27</v>
      </c>
      <c r="D922" s="21" t="s">
        <v>69</v>
      </c>
      <c r="E922" s="21"/>
      <c r="F922" s="21"/>
      <c r="G922" s="21"/>
      <c r="H922" s="21"/>
      <c r="I922" s="21">
        <v>11.1</v>
      </c>
      <c r="J922" s="24">
        <v>-12.5</v>
      </c>
      <c r="K922" s="21"/>
    </row>
    <row r="923" spans="1:11" ht="17.25" customHeight="1" x14ac:dyDescent="0.2">
      <c r="A923" s="21">
        <v>922</v>
      </c>
      <c r="B923" s="22" t="s">
        <v>728</v>
      </c>
      <c r="C923" s="22" t="s">
        <v>89</v>
      </c>
      <c r="D923" s="21" t="s">
        <v>69</v>
      </c>
      <c r="E923" s="21"/>
      <c r="F923" s="21"/>
      <c r="G923" s="21"/>
      <c r="H923" s="21"/>
      <c r="I923" s="21">
        <v>0</v>
      </c>
      <c r="J923" s="24">
        <v>-12.5</v>
      </c>
      <c r="K923" s="21"/>
    </row>
    <row r="924" spans="1:11" ht="17.25" customHeight="1" x14ac:dyDescent="0.2">
      <c r="A924" s="21">
        <v>923</v>
      </c>
      <c r="B924" s="22" t="s">
        <v>635</v>
      </c>
      <c r="C924" s="22" t="s">
        <v>36</v>
      </c>
      <c r="D924" s="21" t="s">
        <v>69</v>
      </c>
      <c r="E924" s="21"/>
      <c r="F924" s="21"/>
      <c r="G924" s="21"/>
      <c r="H924" s="21"/>
      <c r="I924" s="21">
        <v>8</v>
      </c>
      <c r="J924" s="24">
        <v>-12.5</v>
      </c>
      <c r="K924" s="21"/>
    </row>
    <row r="925" spans="1:11" ht="17.25" customHeight="1" x14ac:dyDescent="0.2">
      <c r="A925" s="21">
        <v>924</v>
      </c>
      <c r="B925" s="22" t="s">
        <v>1642</v>
      </c>
      <c r="C925" s="22" t="s">
        <v>64</v>
      </c>
      <c r="D925" s="21" t="s">
        <v>69</v>
      </c>
      <c r="E925" s="21"/>
      <c r="F925" s="21"/>
      <c r="G925" s="21"/>
      <c r="H925" s="21"/>
      <c r="I925" s="21">
        <v>9</v>
      </c>
      <c r="J925" s="24">
        <v>-12.5</v>
      </c>
      <c r="K925" s="21"/>
    </row>
    <row r="926" spans="1:11" ht="17.25" customHeight="1" x14ac:dyDescent="0.2">
      <c r="A926" s="21">
        <v>925</v>
      </c>
      <c r="B926" s="22" t="s">
        <v>1643</v>
      </c>
      <c r="C926" s="22" t="s">
        <v>18</v>
      </c>
      <c r="D926" s="21" t="s">
        <v>69</v>
      </c>
      <c r="E926" s="21"/>
      <c r="F926" s="21"/>
      <c r="G926" s="21"/>
      <c r="H926" s="21"/>
      <c r="I926" s="21">
        <v>1</v>
      </c>
      <c r="J926" s="24">
        <v>-12.5</v>
      </c>
      <c r="K926" s="21"/>
    </row>
    <row r="927" spans="1:11" ht="17.25" customHeight="1" x14ac:dyDescent="0.2">
      <c r="A927" s="21">
        <v>926</v>
      </c>
      <c r="B927" s="22" t="s">
        <v>676</v>
      </c>
      <c r="C927" s="21"/>
      <c r="D927" s="21" t="s">
        <v>69</v>
      </c>
      <c r="E927" s="21"/>
      <c r="F927" s="21"/>
      <c r="G927" s="21"/>
      <c r="H927" s="21"/>
      <c r="I927" s="21">
        <v>1.1000000000000001</v>
      </c>
      <c r="J927" s="24">
        <v>-12.5</v>
      </c>
      <c r="K927" s="21"/>
    </row>
    <row r="928" spans="1:11" ht="17.25" customHeight="1" x14ac:dyDescent="0.2">
      <c r="A928" s="21">
        <v>927</v>
      </c>
      <c r="B928" s="22" t="s">
        <v>580</v>
      </c>
      <c r="C928" s="22" t="s">
        <v>52</v>
      </c>
      <c r="D928" s="21" t="s">
        <v>28</v>
      </c>
      <c r="E928" s="21"/>
      <c r="F928" s="21"/>
      <c r="G928" s="21"/>
      <c r="H928" s="21"/>
      <c r="I928" s="21">
        <v>154</v>
      </c>
      <c r="J928" s="24">
        <v>-12.5</v>
      </c>
      <c r="K928" s="21"/>
    </row>
    <row r="929" spans="1:11" ht="17.25" customHeight="1" x14ac:dyDescent="0.2">
      <c r="A929" s="21">
        <v>928</v>
      </c>
      <c r="B929" s="22" t="s">
        <v>1644</v>
      </c>
      <c r="C929" s="22" t="s">
        <v>117</v>
      </c>
      <c r="D929" s="21" t="s">
        <v>69</v>
      </c>
      <c r="E929" s="21"/>
      <c r="F929" s="21"/>
      <c r="G929" s="21"/>
      <c r="H929" s="21"/>
      <c r="I929" s="21">
        <v>46</v>
      </c>
      <c r="J929" s="24">
        <v>-12.5</v>
      </c>
      <c r="K929" s="21"/>
    </row>
    <row r="930" spans="1:11" ht="17.25" customHeight="1" x14ac:dyDescent="0.2">
      <c r="A930" s="21">
        <v>929</v>
      </c>
      <c r="B930" s="22" t="s">
        <v>1645</v>
      </c>
      <c r="C930" s="22" t="s">
        <v>66</v>
      </c>
      <c r="D930" s="21" t="s">
        <v>69</v>
      </c>
      <c r="E930" s="21"/>
      <c r="F930" s="21"/>
      <c r="G930" s="21"/>
      <c r="H930" s="21"/>
      <c r="I930" s="21">
        <v>7</v>
      </c>
      <c r="J930" s="24">
        <v>-12.5</v>
      </c>
      <c r="K930" s="21"/>
    </row>
    <row r="931" spans="1:11" ht="17.25" customHeight="1" x14ac:dyDescent="0.2">
      <c r="A931" s="21">
        <v>930</v>
      </c>
      <c r="B931" s="22" t="s">
        <v>1646</v>
      </c>
      <c r="C931" s="22" t="s">
        <v>232</v>
      </c>
      <c r="D931" s="21" t="s">
        <v>69</v>
      </c>
      <c r="E931" s="21"/>
      <c r="F931" s="21"/>
      <c r="G931" s="21"/>
      <c r="H931" s="21"/>
      <c r="I931" s="21">
        <v>1</v>
      </c>
      <c r="J931" s="24">
        <v>-12.5</v>
      </c>
      <c r="K931" s="21"/>
    </row>
    <row r="932" spans="1:11" ht="17.25" customHeight="1" x14ac:dyDescent="0.2">
      <c r="A932" s="21">
        <v>931</v>
      </c>
      <c r="B932" s="22" t="s">
        <v>425</v>
      </c>
      <c r="C932" s="22" t="s">
        <v>27</v>
      </c>
      <c r="D932" s="21" t="s">
        <v>69</v>
      </c>
      <c r="E932" s="21"/>
      <c r="F932" s="21"/>
      <c r="G932" s="21"/>
      <c r="H932" s="21"/>
      <c r="I932" s="21">
        <v>3.1</v>
      </c>
      <c r="J932" s="24">
        <v>-12.6</v>
      </c>
      <c r="K932" s="21"/>
    </row>
    <row r="933" spans="1:11" ht="17.25" customHeight="1" x14ac:dyDescent="0.2">
      <c r="A933" s="21">
        <v>932</v>
      </c>
      <c r="B933" s="22" t="s">
        <v>949</v>
      </c>
      <c r="C933" s="22" t="s">
        <v>60</v>
      </c>
      <c r="D933" s="21" t="s">
        <v>69</v>
      </c>
      <c r="E933" s="21"/>
      <c r="F933" s="21"/>
      <c r="G933" s="21"/>
      <c r="H933" s="21"/>
      <c r="I933" s="21">
        <v>1</v>
      </c>
      <c r="J933" s="24">
        <v>-12.6</v>
      </c>
      <c r="K933" s="21"/>
    </row>
    <row r="934" spans="1:11" ht="17.25" customHeight="1" x14ac:dyDescent="0.2">
      <c r="A934" s="21">
        <v>933</v>
      </c>
      <c r="B934" s="22" t="s">
        <v>1647</v>
      </c>
      <c r="C934" s="22" t="s">
        <v>15</v>
      </c>
      <c r="D934" s="21" t="s">
        <v>69</v>
      </c>
      <c r="E934" s="21"/>
      <c r="F934" s="21"/>
      <c r="G934" s="21"/>
      <c r="H934" s="21"/>
      <c r="I934" s="21">
        <v>1</v>
      </c>
      <c r="J934" s="24">
        <v>-12.6</v>
      </c>
      <c r="K934" s="21"/>
    </row>
    <row r="935" spans="1:11" ht="17.25" customHeight="1" x14ac:dyDescent="0.2">
      <c r="A935" s="21">
        <v>934</v>
      </c>
      <c r="B935" s="22" t="s">
        <v>1648</v>
      </c>
      <c r="C935" s="22" t="s">
        <v>34</v>
      </c>
      <c r="D935" s="21" t="s">
        <v>69</v>
      </c>
      <c r="E935" s="21"/>
      <c r="F935" s="21"/>
      <c r="G935" s="21"/>
      <c r="H935" s="21"/>
      <c r="I935" s="21">
        <v>10</v>
      </c>
      <c r="J935" s="24">
        <v>-12.6</v>
      </c>
      <c r="K935" s="21"/>
    </row>
    <row r="936" spans="1:11" ht="17.25" customHeight="1" x14ac:dyDescent="0.2">
      <c r="A936" s="21">
        <v>935</v>
      </c>
      <c r="B936" s="22" t="s">
        <v>1649</v>
      </c>
      <c r="C936" s="22" t="s">
        <v>24</v>
      </c>
      <c r="D936" s="21" t="s">
        <v>69</v>
      </c>
      <c r="E936" s="21"/>
      <c r="F936" s="21"/>
      <c r="G936" s="21"/>
      <c r="H936" s="21"/>
      <c r="I936" s="21">
        <v>9.1</v>
      </c>
      <c r="J936" s="24">
        <v>-12.6</v>
      </c>
      <c r="K936" s="21"/>
    </row>
    <row r="937" spans="1:11" ht="17.25" customHeight="1" x14ac:dyDescent="0.2">
      <c r="A937" s="21">
        <v>936</v>
      </c>
      <c r="B937" s="22" t="s">
        <v>1650</v>
      </c>
      <c r="C937" s="22" t="s">
        <v>313</v>
      </c>
      <c r="D937" s="21" t="s">
        <v>69</v>
      </c>
      <c r="E937" s="21"/>
      <c r="F937" s="21"/>
      <c r="G937" s="21"/>
      <c r="H937" s="21"/>
      <c r="I937" s="21">
        <v>69.099999999999994</v>
      </c>
      <c r="J937" s="24">
        <v>-12.6</v>
      </c>
      <c r="K937" s="21"/>
    </row>
    <row r="938" spans="1:11" ht="17.25" customHeight="1" x14ac:dyDescent="0.2">
      <c r="A938" s="21">
        <v>937</v>
      </c>
      <c r="B938" s="22" t="s">
        <v>341</v>
      </c>
      <c r="C938" s="21"/>
      <c r="D938" s="21" t="s">
        <v>69</v>
      </c>
      <c r="E938" s="21"/>
      <c r="F938" s="23">
        <v>0.04</v>
      </c>
      <c r="G938" s="23">
        <v>0</v>
      </c>
      <c r="H938" s="21"/>
      <c r="I938" s="21">
        <v>11</v>
      </c>
      <c r="J938" s="24">
        <v>-12.6</v>
      </c>
      <c r="K938" s="21"/>
    </row>
    <row r="939" spans="1:11" ht="17.25" customHeight="1" x14ac:dyDescent="0.2">
      <c r="A939" s="21">
        <v>938</v>
      </c>
      <c r="B939" s="22" t="s">
        <v>924</v>
      </c>
      <c r="C939" s="22" t="s">
        <v>32</v>
      </c>
      <c r="D939" s="21" t="s">
        <v>69</v>
      </c>
      <c r="E939" s="21"/>
      <c r="F939" s="21"/>
      <c r="G939" s="21"/>
      <c r="H939" s="21"/>
      <c r="I939" s="21">
        <v>16.100000000000001</v>
      </c>
      <c r="J939" s="24">
        <v>-12.6</v>
      </c>
      <c r="K939" s="21"/>
    </row>
    <row r="940" spans="1:11" ht="17.25" customHeight="1" x14ac:dyDescent="0.2">
      <c r="A940" s="21">
        <v>939</v>
      </c>
      <c r="B940" s="22" t="s">
        <v>1276</v>
      </c>
      <c r="C940" s="22" t="s">
        <v>117</v>
      </c>
      <c r="D940" s="21" t="s">
        <v>74</v>
      </c>
      <c r="E940" s="21"/>
      <c r="F940" s="21"/>
      <c r="G940" s="21"/>
      <c r="H940" s="21">
        <v>34</v>
      </c>
      <c r="I940" s="21"/>
      <c r="J940" s="24">
        <v>-12.6</v>
      </c>
      <c r="K940" s="21"/>
    </row>
    <row r="941" spans="1:11" ht="17.25" customHeight="1" x14ac:dyDescent="0.2">
      <c r="A941" s="21">
        <v>940</v>
      </c>
      <c r="B941" s="22" t="s">
        <v>814</v>
      </c>
      <c r="C941" s="22" t="s">
        <v>36</v>
      </c>
      <c r="D941" s="21" t="s">
        <v>28</v>
      </c>
      <c r="E941" s="21"/>
      <c r="F941" s="21"/>
      <c r="G941" s="21"/>
      <c r="H941" s="21"/>
      <c r="I941" s="21">
        <v>98</v>
      </c>
      <c r="J941" s="24">
        <v>-12.6</v>
      </c>
      <c r="K941" s="21"/>
    </row>
    <row r="942" spans="1:11" ht="17.25" customHeight="1" x14ac:dyDescent="0.2">
      <c r="A942" s="21">
        <v>941</v>
      </c>
      <c r="B942" s="22" t="s">
        <v>913</v>
      </c>
      <c r="C942" s="22" t="s">
        <v>117</v>
      </c>
      <c r="D942" s="21" t="s">
        <v>69</v>
      </c>
      <c r="E942" s="21"/>
      <c r="F942" s="21"/>
      <c r="G942" s="21"/>
      <c r="H942" s="21"/>
      <c r="I942" s="21">
        <v>1.1000000000000001</v>
      </c>
      <c r="J942" s="24">
        <v>-12.6</v>
      </c>
      <c r="K942" s="21"/>
    </row>
    <row r="943" spans="1:11" ht="17.25" customHeight="1" x14ac:dyDescent="0.2">
      <c r="A943" s="21">
        <v>942</v>
      </c>
      <c r="B943" s="22" t="s">
        <v>1277</v>
      </c>
      <c r="C943" s="22" t="s">
        <v>32</v>
      </c>
      <c r="D943" s="21" t="s">
        <v>87</v>
      </c>
      <c r="E943" s="21"/>
      <c r="F943" s="21"/>
      <c r="G943" s="21"/>
      <c r="H943" s="21">
        <v>218</v>
      </c>
      <c r="I943" s="21"/>
      <c r="J943" s="24">
        <v>-12.6</v>
      </c>
      <c r="K943" s="21"/>
    </row>
    <row r="944" spans="1:11" ht="17.25" customHeight="1" x14ac:dyDescent="0.2">
      <c r="A944" s="21">
        <v>943</v>
      </c>
      <c r="B944" s="22" t="s">
        <v>1278</v>
      </c>
      <c r="C944" s="22" t="s">
        <v>232</v>
      </c>
      <c r="D944" s="21" t="s">
        <v>87</v>
      </c>
      <c r="E944" s="21"/>
      <c r="F944" s="21"/>
      <c r="G944" s="21"/>
      <c r="H944" s="21">
        <v>295</v>
      </c>
      <c r="I944" s="21"/>
      <c r="J944" s="24">
        <v>-12.6</v>
      </c>
      <c r="K944" s="21"/>
    </row>
    <row r="945" spans="1:11" ht="17.25" customHeight="1" x14ac:dyDescent="0.2">
      <c r="A945" s="21">
        <v>944</v>
      </c>
      <c r="B945" s="22" t="s">
        <v>1279</v>
      </c>
      <c r="C945" s="22" t="s">
        <v>55</v>
      </c>
      <c r="D945" s="21" t="s">
        <v>78</v>
      </c>
      <c r="E945" s="21"/>
      <c r="F945" s="21"/>
      <c r="G945" s="21"/>
      <c r="H945" s="21">
        <v>191</v>
      </c>
      <c r="I945" s="21"/>
      <c r="J945" s="24">
        <v>-12.6</v>
      </c>
      <c r="K945" s="21"/>
    </row>
    <row r="946" spans="1:11" ht="17.25" customHeight="1" x14ac:dyDescent="0.2">
      <c r="A946" s="21">
        <v>945</v>
      </c>
      <c r="B946" s="22" t="s">
        <v>694</v>
      </c>
      <c r="C946" s="22" t="s">
        <v>18</v>
      </c>
      <c r="D946" s="21" t="s">
        <v>69</v>
      </c>
      <c r="E946" s="21"/>
      <c r="F946" s="21"/>
      <c r="G946" s="21"/>
      <c r="H946" s="21"/>
      <c r="I946" s="21">
        <v>4</v>
      </c>
      <c r="J946" s="24">
        <v>-12.6</v>
      </c>
      <c r="K946" s="21"/>
    </row>
    <row r="947" spans="1:11" ht="17.25" customHeight="1" x14ac:dyDescent="0.2">
      <c r="A947" s="21">
        <v>946</v>
      </c>
      <c r="B947" s="22" t="s">
        <v>1651</v>
      </c>
      <c r="C947" s="22" t="s">
        <v>232</v>
      </c>
      <c r="D947" s="21" t="s">
        <v>69</v>
      </c>
      <c r="E947" s="21"/>
      <c r="F947" s="21"/>
      <c r="G947" s="21"/>
      <c r="H947" s="21"/>
      <c r="I947" s="21">
        <v>8</v>
      </c>
      <c r="J947" s="24">
        <v>-12.7</v>
      </c>
      <c r="K947" s="21"/>
    </row>
    <row r="948" spans="1:11" ht="17.25" customHeight="1" x14ac:dyDescent="0.2">
      <c r="A948" s="21">
        <v>947</v>
      </c>
      <c r="B948" s="22" t="s">
        <v>781</v>
      </c>
      <c r="C948" s="21"/>
      <c r="D948" s="21" t="s">
        <v>74</v>
      </c>
      <c r="E948" s="21"/>
      <c r="F948" s="21"/>
      <c r="G948" s="21"/>
      <c r="H948" s="21">
        <v>7</v>
      </c>
      <c r="I948" s="21"/>
      <c r="J948" s="24">
        <v>-12.7</v>
      </c>
      <c r="K948" s="21"/>
    </row>
    <row r="949" spans="1:11" ht="17.25" customHeight="1" x14ac:dyDescent="0.2">
      <c r="A949" s="21">
        <v>948</v>
      </c>
      <c r="B949" s="22" t="s">
        <v>1652</v>
      </c>
      <c r="C949" s="22" t="s">
        <v>313</v>
      </c>
      <c r="D949" s="21" t="s">
        <v>69</v>
      </c>
      <c r="E949" s="21"/>
      <c r="F949" s="21"/>
      <c r="G949" s="21"/>
      <c r="H949" s="21"/>
      <c r="I949" s="21">
        <v>35</v>
      </c>
      <c r="J949" s="24">
        <v>-12.7</v>
      </c>
      <c r="K949" s="21"/>
    </row>
    <row r="950" spans="1:11" ht="17.25" customHeight="1" x14ac:dyDescent="0.2">
      <c r="A950" s="21">
        <v>949</v>
      </c>
      <c r="B950" s="22" t="s">
        <v>1322</v>
      </c>
      <c r="C950" s="22" t="s">
        <v>24</v>
      </c>
      <c r="D950" s="21" t="s">
        <v>69</v>
      </c>
      <c r="E950" s="21"/>
      <c r="F950" s="21"/>
      <c r="G950" s="21"/>
      <c r="H950" s="21"/>
      <c r="I950" s="21">
        <v>0</v>
      </c>
      <c r="J950" s="24">
        <v>-12.7</v>
      </c>
      <c r="K950" s="21"/>
    </row>
    <row r="951" spans="1:11" ht="17.25" customHeight="1" x14ac:dyDescent="0.2">
      <c r="A951" s="21">
        <v>950</v>
      </c>
      <c r="B951" s="22" t="s">
        <v>1653</v>
      </c>
      <c r="C951" s="22" t="s">
        <v>115</v>
      </c>
      <c r="D951" s="21" t="s">
        <v>69</v>
      </c>
      <c r="E951" s="21"/>
      <c r="F951" s="21"/>
      <c r="G951" s="21"/>
      <c r="H951" s="21"/>
      <c r="I951" s="21">
        <v>17.100000000000001</v>
      </c>
      <c r="J951" s="24">
        <v>-12.7</v>
      </c>
      <c r="K951" s="21"/>
    </row>
    <row r="952" spans="1:11" ht="17.25" customHeight="1" x14ac:dyDescent="0.2">
      <c r="A952" s="21">
        <v>951</v>
      </c>
      <c r="B952" s="22" t="s">
        <v>1654</v>
      </c>
      <c r="C952" s="22" t="s">
        <v>30</v>
      </c>
      <c r="D952" s="21" t="s">
        <v>28</v>
      </c>
      <c r="E952" s="21"/>
      <c r="F952" s="21"/>
      <c r="G952" s="21"/>
      <c r="H952" s="21"/>
      <c r="I952" s="21">
        <v>57.1</v>
      </c>
      <c r="J952" s="24">
        <v>-12.7</v>
      </c>
      <c r="K952" s="21"/>
    </row>
    <row r="953" spans="1:11" ht="17.25" customHeight="1" x14ac:dyDescent="0.2">
      <c r="A953" s="21">
        <v>952</v>
      </c>
      <c r="B953" s="22" t="s">
        <v>658</v>
      </c>
      <c r="C953" s="22" t="s">
        <v>48</v>
      </c>
      <c r="D953" s="21" t="s">
        <v>69</v>
      </c>
      <c r="E953" s="21"/>
      <c r="F953" s="21"/>
      <c r="G953" s="21"/>
      <c r="H953" s="21"/>
      <c r="I953" s="21">
        <v>6.1</v>
      </c>
      <c r="J953" s="24">
        <v>-12.7</v>
      </c>
      <c r="K953" s="21"/>
    </row>
    <row r="954" spans="1:11" ht="17.25" customHeight="1" x14ac:dyDescent="0.2">
      <c r="A954" s="21">
        <v>953</v>
      </c>
      <c r="B954" s="22" t="s">
        <v>1283</v>
      </c>
      <c r="C954" s="22" t="s">
        <v>55</v>
      </c>
      <c r="D954" s="21" t="s">
        <v>69</v>
      </c>
      <c r="E954" s="21"/>
      <c r="F954" s="21"/>
      <c r="G954" s="21"/>
      <c r="H954" s="21"/>
      <c r="I954" s="21">
        <v>1</v>
      </c>
      <c r="J954" s="24">
        <v>-12.7</v>
      </c>
      <c r="K954" s="21"/>
    </row>
    <row r="955" spans="1:11" ht="17.25" customHeight="1" x14ac:dyDescent="0.2">
      <c r="A955" s="21">
        <v>954</v>
      </c>
      <c r="B955" s="22" t="s">
        <v>1338</v>
      </c>
      <c r="C955" s="22" t="s">
        <v>60</v>
      </c>
      <c r="D955" s="21" t="s">
        <v>69</v>
      </c>
      <c r="E955" s="21"/>
      <c r="F955" s="21"/>
      <c r="G955" s="21"/>
      <c r="H955" s="21"/>
      <c r="I955" s="21">
        <v>2</v>
      </c>
      <c r="J955" s="24">
        <v>-12.7</v>
      </c>
      <c r="K955" s="21"/>
    </row>
    <row r="956" spans="1:11" ht="17.25" customHeight="1" x14ac:dyDescent="0.2">
      <c r="A956" s="21">
        <v>955</v>
      </c>
      <c r="B956" s="22" t="s">
        <v>627</v>
      </c>
      <c r="C956" s="22" t="s">
        <v>24</v>
      </c>
      <c r="D956" s="21" t="s">
        <v>750</v>
      </c>
      <c r="E956" s="21"/>
      <c r="F956" s="21"/>
      <c r="G956" s="21"/>
      <c r="H956" s="21">
        <v>44</v>
      </c>
      <c r="I956" s="21"/>
      <c r="J956" s="24">
        <v>-12.7</v>
      </c>
      <c r="K956" s="21"/>
    </row>
    <row r="957" spans="1:11" ht="17.25" customHeight="1" x14ac:dyDescent="0.2">
      <c r="A957" s="21">
        <v>956</v>
      </c>
      <c r="B957" s="22" t="s">
        <v>463</v>
      </c>
      <c r="C957" s="22" t="s">
        <v>60</v>
      </c>
      <c r="D957" s="21" t="s">
        <v>69</v>
      </c>
      <c r="E957" s="21"/>
      <c r="F957" s="21"/>
      <c r="G957" s="21"/>
      <c r="H957" s="21"/>
      <c r="I957" s="21">
        <v>17.100000000000001</v>
      </c>
      <c r="J957" s="24">
        <v>-12.7</v>
      </c>
      <c r="K957" s="21"/>
    </row>
    <row r="958" spans="1:11" ht="17.25" customHeight="1" x14ac:dyDescent="0.2">
      <c r="A958" s="21">
        <v>957</v>
      </c>
      <c r="B958" s="22" t="s">
        <v>1655</v>
      </c>
      <c r="C958" s="22" t="s">
        <v>27</v>
      </c>
      <c r="D958" s="21" t="s">
        <v>69</v>
      </c>
      <c r="E958" s="21"/>
      <c r="F958" s="21"/>
      <c r="G958" s="21"/>
      <c r="H958" s="21"/>
      <c r="I958" s="21">
        <v>3</v>
      </c>
      <c r="J958" s="24">
        <v>-12.8</v>
      </c>
      <c r="K958" s="21"/>
    </row>
    <row r="959" spans="1:11" ht="17.25" customHeight="1" x14ac:dyDescent="0.2">
      <c r="A959" s="21">
        <v>958</v>
      </c>
      <c r="B959" s="22" t="s">
        <v>894</v>
      </c>
      <c r="C959" s="22" t="s">
        <v>60</v>
      </c>
      <c r="D959" s="21" t="s">
        <v>69</v>
      </c>
      <c r="E959" s="21"/>
      <c r="F959" s="21"/>
      <c r="G959" s="21"/>
      <c r="H959" s="21"/>
      <c r="I959" s="21">
        <v>1</v>
      </c>
      <c r="J959" s="24">
        <v>-12.8</v>
      </c>
      <c r="K959" s="21"/>
    </row>
    <row r="960" spans="1:11" ht="17.25" customHeight="1" x14ac:dyDescent="0.2">
      <c r="A960" s="21">
        <v>959</v>
      </c>
      <c r="B960" s="22" t="s">
        <v>674</v>
      </c>
      <c r="C960" s="22" t="s">
        <v>140</v>
      </c>
      <c r="D960" s="21" t="s">
        <v>69</v>
      </c>
      <c r="E960" s="21"/>
      <c r="F960" s="21"/>
      <c r="G960" s="21"/>
      <c r="H960" s="21"/>
      <c r="I960" s="21">
        <v>2</v>
      </c>
      <c r="J960" s="24">
        <v>-12.8</v>
      </c>
      <c r="K960" s="21"/>
    </row>
    <row r="961" spans="1:11" ht="17.25" customHeight="1" x14ac:dyDescent="0.2">
      <c r="A961" s="21">
        <v>960</v>
      </c>
      <c r="B961" s="22" t="s">
        <v>1656</v>
      </c>
      <c r="C961" s="21"/>
      <c r="D961" s="21" t="s">
        <v>69</v>
      </c>
      <c r="E961" s="21"/>
      <c r="F961" s="21"/>
      <c r="G961" s="21"/>
      <c r="H961" s="21"/>
      <c r="I961" s="21">
        <v>2</v>
      </c>
      <c r="J961" s="24">
        <v>-12.8</v>
      </c>
      <c r="K961" s="21"/>
    </row>
    <row r="962" spans="1:11" ht="17.25" customHeight="1" x14ac:dyDescent="0.2">
      <c r="A962" s="21">
        <v>961</v>
      </c>
      <c r="B962" s="22" t="s">
        <v>554</v>
      </c>
      <c r="C962" s="22" t="s">
        <v>18</v>
      </c>
      <c r="D962" s="21" t="s">
        <v>69</v>
      </c>
      <c r="E962" s="21"/>
      <c r="F962" s="21"/>
      <c r="G962" s="21"/>
      <c r="H962" s="21"/>
      <c r="I962" s="21">
        <v>4</v>
      </c>
      <c r="J962" s="24">
        <v>-12.8</v>
      </c>
      <c r="K962" s="21"/>
    </row>
    <row r="963" spans="1:11" ht="17.25" customHeight="1" x14ac:dyDescent="0.2">
      <c r="A963" s="21">
        <v>962</v>
      </c>
      <c r="B963" s="22" t="s">
        <v>713</v>
      </c>
      <c r="C963" s="22" t="s">
        <v>21</v>
      </c>
      <c r="D963" s="21" t="s">
        <v>25</v>
      </c>
      <c r="E963" s="21"/>
      <c r="F963" s="21"/>
      <c r="G963" s="21"/>
      <c r="H963" s="21">
        <v>403</v>
      </c>
      <c r="I963" s="21"/>
      <c r="J963" s="24">
        <v>-12.8</v>
      </c>
      <c r="K963" s="21"/>
    </row>
    <row r="964" spans="1:11" ht="17.25" customHeight="1" x14ac:dyDescent="0.2">
      <c r="A964" s="21">
        <v>963</v>
      </c>
      <c r="B964" s="22" t="s">
        <v>1280</v>
      </c>
      <c r="C964" s="22" t="s">
        <v>21</v>
      </c>
      <c r="D964" s="21" t="s">
        <v>74</v>
      </c>
      <c r="E964" s="21"/>
      <c r="F964" s="21"/>
      <c r="G964" s="21"/>
      <c r="H964" s="21">
        <v>7</v>
      </c>
      <c r="I964" s="21"/>
      <c r="J964" s="24">
        <v>-12.8</v>
      </c>
      <c r="K964" s="21"/>
    </row>
    <row r="965" spans="1:11" ht="17.25" customHeight="1" x14ac:dyDescent="0.2">
      <c r="A965" s="21">
        <v>964</v>
      </c>
      <c r="B965" s="22" t="s">
        <v>1281</v>
      </c>
      <c r="C965" s="22" t="s">
        <v>36</v>
      </c>
      <c r="D965" s="21" t="s">
        <v>74</v>
      </c>
      <c r="E965" s="21"/>
      <c r="F965" s="21"/>
      <c r="G965" s="21"/>
      <c r="H965" s="21">
        <v>12</v>
      </c>
      <c r="I965" s="21"/>
      <c r="J965" s="24">
        <v>-12.8</v>
      </c>
      <c r="K965" s="21"/>
    </row>
    <row r="966" spans="1:11" ht="17.25" customHeight="1" x14ac:dyDescent="0.2">
      <c r="A966" s="21">
        <v>965</v>
      </c>
      <c r="B966" s="22" t="s">
        <v>1657</v>
      </c>
      <c r="C966" s="22" t="s">
        <v>21</v>
      </c>
      <c r="D966" s="21" t="s">
        <v>69</v>
      </c>
      <c r="E966" s="21"/>
      <c r="F966" s="21"/>
      <c r="G966" s="21"/>
      <c r="H966" s="21"/>
      <c r="I966" s="21">
        <v>4.0999999999999996</v>
      </c>
      <c r="J966" s="24">
        <v>-12.8</v>
      </c>
      <c r="K966" s="21"/>
    </row>
    <row r="967" spans="1:11" ht="17.25" customHeight="1" x14ac:dyDescent="0.2">
      <c r="A967" s="21">
        <v>966</v>
      </c>
      <c r="B967" s="22" t="s">
        <v>430</v>
      </c>
      <c r="C967" s="21"/>
      <c r="D967" s="21" t="s">
        <v>28</v>
      </c>
      <c r="E967" s="21"/>
      <c r="F967" s="21"/>
      <c r="G967" s="21"/>
      <c r="H967" s="21"/>
      <c r="I967" s="21">
        <v>122</v>
      </c>
      <c r="J967" s="24">
        <v>-12.8</v>
      </c>
      <c r="K967" s="21"/>
    </row>
    <row r="968" spans="1:11" ht="17.25" customHeight="1" x14ac:dyDescent="0.2">
      <c r="A968" s="21">
        <v>967</v>
      </c>
      <c r="B968" s="22" t="s">
        <v>519</v>
      </c>
      <c r="C968" s="22" t="s">
        <v>64</v>
      </c>
      <c r="D968" s="21" t="s">
        <v>69</v>
      </c>
      <c r="E968" s="21"/>
      <c r="F968" s="21"/>
      <c r="G968" s="21"/>
      <c r="H968" s="21"/>
      <c r="I968" s="21">
        <v>42</v>
      </c>
      <c r="J968" s="24">
        <v>-12.8</v>
      </c>
      <c r="K968" s="21"/>
    </row>
    <row r="969" spans="1:11" ht="17.25" customHeight="1" x14ac:dyDescent="0.2">
      <c r="A969" s="21">
        <v>968</v>
      </c>
      <c r="B969" s="22" t="s">
        <v>1282</v>
      </c>
      <c r="C969" s="22" t="s">
        <v>24</v>
      </c>
      <c r="D969" s="21" t="s">
        <v>74</v>
      </c>
      <c r="E969" s="21"/>
      <c r="F969" s="21"/>
      <c r="G969" s="21"/>
      <c r="H969" s="21">
        <v>78</v>
      </c>
      <c r="I969" s="21"/>
      <c r="J969" s="24">
        <v>-12.8</v>
      </c>
      <c r="K969" s="21"/>
    </row>
    <row r="970" spans="1:11" ht="17.25" customHeight="1" x14ac:dyDescent="0.2">
      <c r="A970" s="21">
        <v>969</v>
      </c>
      <c r="B970" s="22" t="s">
        <v>1658</v>
      </c>
      <c r="C970" s="22" t="s">
        <v>117</v>
      </c>
      <c r="D970" s="21" t="s">
        <v>69</v>
      </c>
      <c r="E970" s="21"/>
      <c r="F970" s="21"/>
      <c r="G970" s="21"/>
      <c r="H970" s="21"/>
      <c r="I970" s="21">
        <v>3</v>
      </c>
      <c r="J970" s="24">
        <v>-12.8</v>
      </c>
      <c r="K970" s="21"/>
    </row>
    <row r="971" spans="1:11" ht="17.25" customHeight="1" x14ac:dyDescent="0.2">
      <c r="A971" s="21">
        <v>970</v>
      </c>
      <c r="B971" s="22" t="s">
        <v>1659</v>
      </c>
      <c r="C971" s="22" t="s">
        <v>211</v>
      </c>
      <c r="D971" s="21" t="s">
        <v>69</v>
      </c>
      <c r="E971" s="21"/>
      <c r="F971" s="21"/>
      <c r="G971" s="21"/>
      <c r="H971" s="21"/>
      <c r="I971" s="21">
        <v>18</v>
      </c>
      <c r="J971" s="24">
        <v>-12.8</v>
      </c>
      <c r="K971" s="21"/>
    </row>
    <row r="972" spans="1:11" ht="17.25" customHeight="1" x14ac:dyDescent="0.2">
      <c r="A972" s="21">
        <v>971</v>
      </c>
      <c r="B972" s="22" t="s">
        <v>1660</v>
      </c>
      <c r="C972" s="22" t="s">
        <v>125</v>
      </c>
      <c r="D972" s="21" t="s">
        <v>69</v>
      </c>
      <c r="E972" s="21"/>
      <c r="F972" s="21"/>
      <c r="G972" s="21"/>
      <c r="H972" s="21"/>
      <c r="I972" s="21">
        <v>60</v>
      </c>
      <c r="J972" s="24">
        <v>-12.8</v>
      </c>
      <c r="K972" s="21"/>
    </row>
    <row r="973" spans="1:11" ht="17.25" customHeight="1" x14ac:dyDescent="0.2">
      <c r="A973" s="21">
        <v>972</v>
      </c>
      <c r="B973" s="22" t="s">
        <v>497</v>
      </c>
      <c r="C973" s="22" t="s">
        <v>42</v>
      </c>
      <c r="D973" s="21" t="s">
        <v>69</v>
      </c>
      <c r="E973" s="21"/>
      <c r="F973" s="21"/>
      <c r="G973" s="21"/>
      <c r="H973" s="21"/>
      <c r="I973" s="21">
        <v>11.1</v>
      </c>
      <c r="J973" s="24">
        <v>-12.8</v>
      </c>
      <c r="K973" s="21"/>
    </row>
    <row r="974" spans="1:11" ht="17.25" customHeight="1" x14ac:dyDescent="0.2">
      <c r="A974" s="21">
        <v>973</v>
      </c>
      <c r="B974" s="22" t="s">
        <v>458</v>
      </c>
      <c r="C974" s="21"/>
      <c r="D974" s="21" t="s">
        <v>280</v>
      </c>
      <c r="E974" s="21"/>
      <c r="F974" s="21"/>
      <c r="G974" s="21"/>
      <c r="H974" s="21">
        <v>343</v>
      </c>
      <c r="I974" s="21"/>
      <c r="J974" s="24">
        <v>-12.8</v>
      </c>
      <c r="K974" s="21"/>
    </row>
    <row r="975" spans="1:11" ht="17.25" customHeight="1" x14ac:dyDescent="0.2">
      <c r="A975" s="21">
        <v>974</v>
      </c>
      <c r="B975" s="22" t="s">
        <v>756</v>
      </c>
      <c r="C975" s="22" t="s">
        <v>89</v>
      </c>
      <c r="D975" s="21" t="s">
        <v>74</v>
      </c>
      <c r="E975" s="21"/>
      <c r="F975" s="21"/>
      <c r="G975" s="21"/>
      <c r="H975" s="21">
        <v>9</v>
      </c>
      <c r="I975" s="21"/>
      <c r="J975" s="24">
        <v>-12.8</v>
      </c>
      <c r="K975" s="21"/>
    </row>
    <row r="976" spans="1:11" ht="17.25" customHeight="1" x14ac:dyDescent="0.2">
      <c r="A976" s="21">
        <v>975</v>
      </c>
      <c r="B976" s="22" t="s">
        <v>404</v>
      </c>
      <c r="C976" s="22" t="s">
        <v>313</v>
      </c>
      <c r="D976" s="21" t="s">
        <v>69</v>
      </c>
      <c r="E976" s="21"/>
      <c r="F976" s="21"/>
      <c r="G976" s="21"/>
      <c r="H976" s="21"/>
      <c r="I976" s="21">
        <v>3</v>
      </c>
      <c r="J976" s="24">
        <v>-12.8</v>
      </c>
      <c r="K976" s="21"/>
    </row>
    <row r="977" spans="1:11" ht="17.25" customHeight="1" x14ac:dyDescent="0.2">
      <c r="A977" s="21">
        <v>976</v>
      </c>
      <c r="B977" s="22" t="s">
        <v>696</v>
      </c>
      <c r="C977" s="22" t="s">
        <v>55</v>
      </c>
      <c r="D977" s="21" t="s">
        <v>69</v>
      </c>
      <c r="E977" s="21"/>
      <c r="F977" s="21"/>
      <c r="G977" s="21"/>
      <c r="H977" s="21"/>
      <c r="I977" s="21">
        <v>10</v>
      </c>
      <c r="J977" s="24">
        <v>-12.8</v>
      </c>
      <c r="K977" s="21"/>
    </row>
    <row r="978" spans="1:11" ht="17.25" customHeight="1" x14ac:dyDescent="0.2">
      <c r="A978" s="21">
        <v>977</v>
      </c>
      <c r="B978" s="22" t="s">
        <v>1661</v>
      </c>
      <c r="C978" s="22" t="s">
        <v>27</v>
      </c>
      <c r="D978" s="21" t="s">
        <v>69</v>
      </c>
      <c r="E978" s="21"/>
      <c r="F978" s="21"/>
      <c r="G978" s="21"/>
      <c r="H978" s="21"/>
      <c r="I978" s="21">
        <v>3</v>
      </c>
      <c r="J978" s="24">
        <v>-12.8</v>
      </c>
      <c r="K978" s="21"/>
    </row>
    <row r="979" spans="1:11" ht="17.25" customHeight="1" x14ac:dyDescent="0.2">
      <c r="A979" s="21">
        <v>978</v>
      </c>
      <c r="B979" s="22" t="s">
        <v>571</v>
      </c>
      <c r="C979" s="22" t="s">
        <v>48</v>
      </c>
      <c r="D979" s="21" t="s">
        <v>69</v>
      </c>
      <c r="E979" s="21"/>
      <c r="F979" s="21"/>
      <c r="G979" s="21"/>
      <c r="H979" s="21"/>
      <c r="I979" s="21">
        <v>35</v>
      </c>
      <c r="J979" s="24">
        <v>-12.8</v>
      </c>
      <c r="K979" s="21"/>
    </row>
    <row r="980" spans="1:11" ht="17.25" customHeight="1" x14ac:dyDescent="0.2">
      <c r="A980" s="21">
        <v>979</v>
      </c>
      <c r="B980" s="22" t="s">
        <v>639</v>
      </c>
      <c r="C980" s="21"/>
      <c r="D980" s="21" t="s">
        <v>69</v>
      </c>
      <c r="E980" s="21"/>
      <c r="F980" s="21"/>
      <c r="G980" s="21"/>
      <c r="H980" s="21"/>
      <c r="I980" s="21">
        <v>41</v>
      </c>
      <c r="J980" s="24">
        <v>-12.8</v>
      </c>
      <c r="K980" s="21"/>
    </row>
    <row r="981" spans="1:11" ht="17.25" customHeight="1" x14ac:dyDescent="0.2">
      <c r="A981" s="21">
        <v>980</v>
      </c>
      <c r="B981" s="22" t="s">
        <v>486</v>
      </c>
      <c r="C981" s="22" t="s">
        <v>34</v>
      </c>
      <c r="D981" s="21" t="s">
        <v>69</v>
      </c>
      <c r="E981" s="21"/>
      <c r="F981" s="21"/>
      <c r="G981" s="21"/>
      <c r="H981" s="21"/>
      <c r="I981" s="21">
        <v>2</v>
      </c>
      <c r="J981" s="24">
        <v>-12.9</v>
      </c>
      <c r="K981" s="21"/>
    </row>
    <row r="982" spans="1:11" ht="17.25" customHeight="1" x14ac:dyDescent="0.2">
      <c r="A982" s="21">
        <v>981</v>
      </c>
      <c r="B982" s="22" t="s">
        <v>1662</v>
      </c>
      <c r="C982" s="22" t="s">
        <v>46</v>
      </c>
      <c r="D982" s="21" t="s">
        <v>69</v>
      </c>
      <c r="E982" s="21"/>
      <c r="F982" s="21"/>
      <c r="G982" s="21"/>
      <c r="H982" s="21"/>
      <c r="I982" s="21">
        <v>10.1</v>
      </c>
      <c r="J982" s="24">
        <v>-12.9</v>
      </c>
      <c r="K982" s="21"/>
    </row>
    <row r="983" spans="1:11" ht="17.25" customHeight="1" x14ac:dyDescent="0.2">
      <c r="A983" s="21">
        <v>982</v>
      </c>
      <c r="B983" s="22" t="s">
        <v>1663</v>
      </c>
      <c r="C983" s="22" t="s">
        <v>232</v>
      </c>
      <c r="D983" s="21" t="s">
        <v>69</v>
      </c>
      <c r="E983" s="21"/>
      <c r="F983" s="21"/>
      <c r="G983" s="21"/>
      <c r="H983" s="21"/>
      <c r="I983" s="21">
        <v>8</v>
      </c>
      <c r="J983" s="24">
        <v>-12.9</v>
      </c>
      <c r="K983" s="21"/>
    </row>
    <row r="984" spans="1:11" ht="17.25" customHeight="1" x14ac:dyDescent="0.2">
      <c r="A984" s="21">
        <v>983</v>
      </c>
      <c r="B984" s="22" t="s">
        <v>1283</v>
      </c>
      <c r="C984" s="22" t="s">
        <v>55</v>
      </c>
      <c r="D984" s="21" t="s">
        <v>74</v>
      </c>
      <c r="E984" s="21"/>
      <c r="F984" s="21"/>
      <c r="G984" s="21"/>
      <c r="H984" s="21">
        <v>9</v>
      </c>
      <c r="I984" s="21"/>
      <c r="J984" s="24">
        <v>-12.9</v>
      </c>
      <c r="K984" s="21"/>
    </row>
    <row r="985" spans="1:11" ht="17.25" customHeight="1" x14ac:dyDescent="0.2">
      <c r="A985" s="21">
        <v>984</v>
      </c>
      <c r="B985" s="22" t="s">
        <v>1664</v>
      </c>
      <c r="C985" s="22" t="s">
        <v>21</v>
      </c>
      <c r="D985" s="21" t="s">
        <v>69</v>
      </c>
      <c r="E985" s="21"/>
      <c r="F985" s="21"/>
      <c r="G985" s="21"/>
      <c r="H985" s="21"/>
      <c r="I985" s="21">
        <v>1</v>
      </c>
      <c r="J985" s="24">
        <v>-12.9</v>
      </c>
      <c r="K985" s="21"/>
    </row>
    <row r="986" spans="1:11" ht="17.25" customHeight="1" x14ac:dyDescent="0.2">
      <c r="A986" s="21">
        <v>985</v>
      </c>
      <c r="B986" s="22" t="s">
        <v>1665</v>
      </c>
      <c r="C986" s="22" t="s">
        <v>52</v>
      </c>
      <c r="D986" s="21" t="s">
        <v>69</v>
      </c>
      <c r="E986" s="21"/>
      <c r="F986" s="21"/>
      <c r="G986" s="21"/>
      <c r="H986" s="21"/>
      <c r="I986" s="21">
        <v>2</v>
      </c>
      <c r="J986" s="24">
        <v>-12.9</v>
      </c>
      <c r="K986" s="21"/>
    </row>
    <row r="987" spans="1:11" ht="17.25" customHeight="1" x14ac:dyDescent="0.2">
      <c r="A987" s="21">
        <v>986</v>
      </c>
      <c r="B987" s="22" t="s">
        <v>1666</v>
      </c>
      <c r="C987" s="22" t="s">
        <v>36</v>
      </c>
      <c r="D987" s="21" t="s">
        <v>69</v>
      </c>
      <c r="E987" s="21"/>
      <c r="F987" s="21"/>
      <c r="G987" s="21"/>
      <c r="H987" s="21"/>
      <c r="I987" s="21">
        <v>2.1</v>
      </c>
      <c r="J987" s="24">
        <v>-12.9</v>
      </c>
      <c r="K987" s="21"/>
    </row>
    <row r="988" spans="1:11" ht="17.25" customHeight="1" x14ac:dyDescent="0.2">
      <c r="A988" s="21">
        <v>987</v>
      </c>
      <c r="B988" s="22" t="s">
        <v>682</v>
      </c>
      <c r="C988" s="22" t="s">
        <v>64</v>
      </c>
      <c r="D988" s="21" t="s">
        <v>69</v>
      </c>
      <c r="E988" s="21"/>
      <c r="F988" s="21"/>
      <c r="G988" s="21"/>
      <c r="H988" s="21"/>
      <c r="I988" s="21">
        <v>3</v>
      </c>
      <c r="J988" s="24">
        <v>-12.9</v>
      </c>
      <c r="K988" s="21"/>
    </row>
    <row r="989" spans="1:11" ht="17.25" customHeight="1" x14ac:dyDescent="0.2">
      <c r="A989" s="21">
        <v>988</v>
      </c>
      <c r="B989" s="22" t="s">
        <v>981</v>
      </c>
      <c r="C989" s="22" t="s">
        <v>48</v>
      </c>
      <c r="D989" s="21" t="s">
        <v>69</v>
      </c>
      <c r="E989" s="21"/>
      <c r="F989" s="21"/>
      <c r="G989" s="21"/>
      <c r="H989" s="21"/>
      <c r="I989" s="21">
        <v>3</v>
      </c>
      <c r="J989" s="24">
        <v>-12.9</v>
      </c>
      <c r="K989" s="21"/>
    </row>
    <row r="990" spans="1:11" ht="17.25" customHeight="1" x14ac:dyDescent="0.2">
      <c r="A990" s="21">
        <v>989</v>
      </c>
      <c r="B990" s="22" t="s">
        <v>764</v>
      </c>
      <c r="C990" s="22" t="s">
        <v>36</v>
      </c>
      <c r="D990" s="21" t="s">
        <v>69</v>
      </c>
      <c r="E990" s="21"/>
      <c r="F990" s="21"/>
      <c r="G990" s="21"/>
      <c r="H990" s="21"/>
      <c r="I990" s="21">
        <v>1</v>
      </c>
      <c r="J990" s="24">
        <v>-12.9</v>
      </c>
      <c r="K990" s="21"/>
    </row>
    <row r="991" spans="1:11" ht="17.25" customHeight="1" x14ac:dyDescent="0.2">
      <c r="A991" s="21">
        <v>990</v>
      </c>
      <c r="B991" s="22" t="s">
        <v>640</v>
      </c>
      <c r="C991" s="22" t="s">
        <v>39</v>
      </c>
      <c r="D991" s="21" t="s">
        <v>69</v>
      </c>
      <c r="E991" s="21"/>
      <c r="F991" s="21"/>
      <c r="G991" s="21"/>
      <c r="H991" s="21"/>
      <c r="I991" s="21">
        <v>1</v>
      </c>
      <c r="J991" s="24">
        <v>-12.9</v>
      </c>
      <c r="K991" s="21"/>
    </row>
    <row r="992" spans="1:11" ht="17.25" customHeight="1" x14ac:dyDescent="0.2">
      <c r="A992" s="21">
        <v>991</v>
      </c>
      <c r="B992" s="22" t="s">
        <v>801</v>
      </c>
      <c r="C992" s="22" t="s">
        <v>140</v>
      </c>
      <c r="D992" s="21" t="s">
        <v>69</v>
      </c>
      <c r="E992" s="21"/>
      <c r="F992" s="21"/>
      <c r="G992" s="21"/>
      <c r="H992" s="21"/>
      <c r="I992" s="21">
        <v>1</v>
      </c>
      <c r="J992" s="24">
        <v>-12.9</v>
      </c>
      <c r="K992" s="21"/>
    </row>
    <row r="993" spans="1:11" ht="17.25" customHeight="1" x14ac:dyDescent="0.2">
      <c r="A993" s="21">
        <v>992</v>
      </c>
      <c r="B993" s="22" t="s">
        <v>1667</v>
      </c>
      <c r="C993" s="21"/>
      <c r="D993" s="21" t="s">
        <v>69</v>
      </c>
      <c r="E993" s="21"/>
      <c r="F993" s="21"/>
      <c r="G993" s="21"/>
      <c r="H993" s="21"/>
      <c r="I993" s="21">
        <v>38.1</v>
      </c>
      <c r="J993" s="24">
        <v>-12.9</v>
      </c>
      <c r="K993" s="21"/>
    </row>
    <row r="994" spans="1:11" ht="17.25" customHeight="1" x14ac:dyDescent="0.2">
      <c r="A994" s="21">
        <v>993</v>
      </c>
      <c r="B994" s="22" t="s">
        <v>1668</v>
      </c>
      <c r="C994" s="22" t="s">
        <v>46</v>
      </c>
      <c r="D994" s="21" t="s">
        <v>69</v>
      </c>
      <c r="E994" s="21"/>
      <c r="F994" s="21"/>
      <c r="G994" s="21"/>
      <c r="H994" s="21"/>
      <c r="I994" s="21">
        <v>3</v>
      </c>
      <c r="J994" s="24">
        <v>-12.9</v>
      </c>
      <c r="K994" s="21"/>
    </row>
    <row r="995" spans="1:11" ht="17.25" customHeight="1" x14ac:dyDescent="0.2">
      <c r="A995" s="21">
        <v>994</v>
      </c>
      <c r="B995" s="22" t="s">
        <v>1669</v>
      </c>
      <c r="C995" s="21"/>
      <c r="D995" s="21" t="s">
        <v>69</v>
      </c>
      <c r="E995" s="21"/>
      <c r="F995" s="21"/>
      <c r="G995" s="21"/>
      <c r="H995" s="21"/>
      <c r="I995" s="21">
        <v>3</v>
      </c>
      <c r="J995" s="24">
        <v>-12.9</v>
      </c>
      <c r="K995" s="21"/>
    </row>
    <row r="996" spans="1:11" ht="17.25" customHeight="1" x14ac:dyDescent="0.2">
      <c r="A996" s="21">
        <v>995</v>
      </c>
      <c r="B996" s="22" t="s">
        <v>1670</v>
      </c>
      <c r="C996" s="22" t="s">
        <v>55</v>
      </c>
      <c r="D996" s="21" t="s">
        <v>69</v>
      </c>
      <c r="E996" s="21"/>
      <c r="F996" s="21"/>
      <c r="G996" s="21"/>
      <c r="H996" s="21"/>
      <c r="I996" s="21">
        <v>5.0999999999999996</v>
      </c>
      <c r="J996" s="24">
        <v>-13</v>
      </c>
      <c r="K996" s="21"/>
    </row>
    <row r="997" spans="1:11" ht="17.25" customHeight="1" x14ac:dyDescent="0.2">
      <c r="A997" s="21">
        <v>996</v>
      </c>
      <c r="B997" s="22" t="s">
        <v>1671</v>
      </c>
      <c r="C997" s="22" t="s">
        <v>66</v>
      </c>
      <c r="D997" s="21" t="s">
        <v>69</v>
      </c>
      <c r="E997" s="21"/>
      <c r="F997" s="21"/>
      <c r="G997" s="21"/>
      <c r="H997" s="21"/>
      <c r="I997" s="21">
        <v>3.1</v>
      </c>
      <c r="J997" s="24">
        <v>-13</v>
      </c>
      <c r="K997" s="21"/>
    </row>
    <row r="998" spans="1:11" ht="17.25" customHeight="1" x14ac:dyDescent="0.2">
      <c r="A998" s="21">
        <v>997</v>
      </c>
      <c r="B998" s="22" t="s">
        <v>732</v>
      </c>
      <c r="C998" s="22" t="s">
        <v>57</v>
      </c>
      <c r="D998" s="21" t="s">
        <v>69</v>
      </c>
      <c r="E998" s="21"/>
      <c r="F998" s="21"/>
      <c r="G998" s="21"/>
      <c r="H998" s="21"/>
      <c r="I998" s="21">
        <v>60</v>
      </c>
      <c r="J998" s="24">
        <v>-13</v>
      </c>
      <c r="K998" s="21"/>
    </row>
    <row r="999" spans="1:11" ht="17.25" customHeight="1" x14ac:dyDescent="0.2">
      <c r="A999" s="21">
        <v>998</v>
      </c>
      <c r="B999" s="22" t="s">
        <v>1672</v>
      </c>
      <c r="C999" s="22" t="s">
        <v>140</v>
      </c>
      <c r="D999" s="21" t="s">
        <v>69</v>
      </c>
      <c r="E999" s="21"/>
      <c r="F999" s="21"/>
      <c r="G999" s="21"/>
      <c r="H999" s="21"/>
      <c r="I999" s="21">
        <v>26</v>
      </c>
      <c r="J999" s="24">
        <v>-13</v>
      </c>
      <c r="K999" s="21"/>
    </row>
    <row r="1000" spans="1:11" ht="17.25" customHeight="1" x14ac:dyDescent="0.2">
      <c r="A1000" s="21">
        <v>999</v>
      </c>
      <c r="B1000" s="22" t="s">
        <v>1673</v>
      </c>
      <c r="C1000" s="22" t="s">
        <v>30</v>
      </c>
      <c r="D1000" s="21" t="s">
        <v>69</v>
      </c>
      <c r="E1000" s="21"/>
      <c r="F1000" s="21"/>
      <c r="G1000" s="21"/>
      <c r="H1000" s="21"/>
      <c r="I1000" s="21">
        <v>19.100000000000001</v>
      </c>
      <c r="J1000" s="24">
        <v>-13</v>
      </c>
      <c r="K1000" s="21"/>
    </row>
    <row r="1001" spans="1:11" ht="17.25" customHeight="1" x14ac:dyDescent="0.2">
      <c r="A1001" s="21">
        <v>1000</v>
      </c>
      <c r="B1001" s="22" t="s">
        <v>1674</v>
      </c>
      <c r="C1001" s="22" t="s">
        <v>64</v>
      </c>
      <c r="D1001" s="21" t="s">
        <v>69</v>
      </c>
      <c r="E1001" s="21"/>
      <c r="F1001" s="21"/>
      <c r="G1001" s="21"/>
      <c r="H1001" s="21"/>
      <c r="I1001" s="21">
        <v>2.1</v>
      </c>
      <c r="J1001" s="24">
        <v>-13</v>
      </c>
      <c r="K1001" s="21"/>
    </row>
    <row r="1002" spans="1:11" ht="17.25" customHeight="1" x14ac:dyDescent="0.2">
      <c r="A1002" s="21">
        <v>1001</v>
      </c>
      <c r="B1002" s="22" t="s">
        <v>736</v>
      </c>
      <c r="C1002" s="22" t="s">
        <v>36</v>
      </c>
      <c r="D1002" s="21" t="s">
        <v>74</v>
      </c>
      <c r="E1002" s="21"/>
      <c r="F1002" s="21"/>
      <c r="G1002" s="21"/>
      <c r="H1002" s="21">
        <v>22</v>
      </c>
      <c r="I1002" s="21"/>
      <c r="J1002" s="24">
        <v>-13</v>
      </c>
      <c r="K1002" s="21"/>
    </row>
    <row r="1003" spans="1:11" ht="17.25" customHeight="1" x14ac:dyDescent="0.2">
      <c r="A1003" s="21">
        <v>1002</v>
      </c>
      <c r="B1003" s="22" t="s">
        <v>538</v>
      </c>
      <c r="C1003" s="22" t="s">
        <v>12</v>
      </c>
      <c r="D1003" s="21" t="s">
        <v>810</v>
      </c>
      <c r="E1003" s="21"/>
      <c r="F1003" s="21"/>
      <c r="G1003" s="21"/>
      <c r="H1003" s="21">
        <v>256</v>
      </c>
      <c r="I1003" s="21"/>
      <c r="J1003" s="24">
        <v>-13</v>
      </c>
      <c r="K1003" s="21"/>
    </row>
    <row r="1004" spans="1:11" ht="17.25" customHeight="1" x14ac:dyDescent="0.2">
      <c r="A1004" s="21">
        <v>1003</v>
      </c>
      <c r="B1004" s="22" t="s">
        <v>826</v>
      </c>
      <c r="C1004" s="22" t="s">
        <v>12</v>
      </c>
      <c r="D1004" s="21" t="s">
        <v>74</v>
      </c>
      <c r="E1004" s="21"/>
      <c r="F1004" s="21"/>
      <c r="G1004" s="21"/>
      <c r="H1004" s="21">
        <v>2</v>
      </c>
      <c r="I1004" s="21"/>
      <c r="J1004" s="24">
        <v>-13</v>
      </c>
      <c r="K1004" s="21"/>
    </row>
    <row r="1005" spans="1:11" ht="17.25" customHeight="1" x14ac:dyDescent="0.2">
      <c r="A1005" s="21">
        <v>1004</v>
      </c>
      <c r="B1005" s="22" t="s">
        <v>540</v>
      </c>
      <c r="C1005" s="22" t="s">
        <v>15</v>
      </c>
      <c r="D1005" s="21" t="s">
        <v>87</v>
      </c>
      <c r="E1005" s="21"/>
      <c r="F1005" s="21"/>
      <c r="G1005" s="21"/>
      <c r="H1005" s="21">
        <v>191</v>
      </c>
      <c r="I1005" s="21"/>
      <c r="J1005" s="24">
        <v>-13.1</v>
      </c>
      <c r="K1005" s="21"/>
    </row>
    <row r="1006" spans="1:11" ht="17.25" customHeight="1" x14ac:dyDescent="0.2">
      <c r="A1006" s="21">
        <v>1005</v>
      </c>
      <c r="B1006" s="22" t="s">
        <v>701</v>
      </c>
      <c r="C1006" s="22" t="s">
        <v>50</v>
      </c>
      <c r="D1006" s="21" t="s">
        <v>40</v>
      </c>
      <c r="E1006" s="21"/>
      <c r="F1006" s="21"/>
      <c r="G1006" s="21"/>
      <c r="H1006" s="21">
        <v>16</v>
      </c>
      <c r="I1006" s="21"/>
      <c r="J1006" s="24">
        <v>-13.1</v>
      </c>
      <c r="K1006" s="21"/>
    </row>
    <row r="1007" spans="1:11" ht="17.25" customHeight="1" x14ac:dyDescent="0.2">
      <c r="A1007" s="21">
        <v>1006</v>
      </c>
      <c r="B1007" s="22" t="s">
        <v>770</v>
      </c>
      <c r="C1007" s="22" t="s">
        <v>15</v>
      </c>
      <c r="D1007" s="21" t="s">
        <v>750</v>
      </c>
      <c r="E1007" s="21"/>
      <c r="F1007" s="21"/>
      <c r="G1007" s="21"/>
      <c r="H1007" s="21">
        <v>23</v>
      </c>
      <c r="I1007" s="21"/>
      <c r="J1007" s="24">
        <v>-13.1</v>
      </c>
      <c r="K1007" s="21"/>
    </row>
    <row r="1008" spans="1:11" ht="17.25" customHeight="1" x14ac:dyDescent="0.2">
      <c r="A1008" s="21">
        <v>1007</v>
      </c>
      <c r="B1008" s="22" t="s">
        <v>1675</v>
      </c>
      <c r="C1008" s="21"/>
      <c r="D1008" s="21" t="s">
        <v>69</v>
      </c>
      <c r="E1008" s="21"/>
      <c r="F1008" s="21"/>
      <c r="G1008" s="21"/>
      <c r="H1008" s="21"/>
      <c r="I1008" s="21">
        <v>2</v>
      </c>
      <c r="J1008" s="24">
        <v>-13.1</v>
      </c>
      <c r="K1008" s="21"/>
    </row>
    <row r="1009" spans="1:11" ht="17.25" customHeight="1" x14ac:dyDescent="0.2">
      <c r="A1009" s="21">
        <v>1008</v>
      </c>
      <c r="B1009" s="22" t="s">
        <v>517</v>
      </c>
      <c r="C1009" s="22" t="s">
        <v>24</v>
      </c>
      <c r="D1009" s="21" t="s">
        <v>74</v>
      </c>
      <c r="E1009" s="21"/>
      <c r="F1009" s="21"/>
      <c r="G1009" s="21"/>
      <c r="H1009" s="21">
        <v>128</v>
      </c>
      <c r="I1009" s="21"/>
      <c r="J1009" s="24">
        <v>-13.1</v>
      </c>
      <c r="K1009" s="21"/>
    </row>
    <row r="1010" spans="1:11" ht="17.25" customHeight="1" x14ac:dyDescent="0.2">
      <c r="A1010" s="21">
        <v>1009</v>
      </c>
      <c r="B1010" s="22" t="s">
        <v>1676</v>
      </c>
      <c r="C1010" s="22" t="s">
        <v>55</v>
      </c>
      <c r="D1010" s="21" t="s">
        <v>69</v>
      </c>
      <c r="E1010" s="21"/>
      <c r="F1010" s="21"/>
      <c r="G1010" s="21"/>
      <c r="H1010" s="21"/>
      <c r="I1010" s="21">
        <v>31</v>
      </c>
      <c r="J1010" s="24">
        <v>-13.1</v>
      </c>
      <c r="K1010" s="21"/>
    </row>
    <row r="1011" spans="1:11" ht="17.25" customHeight="1" x14ac:dyDescent="0.2">
      <c r="A1011" s="21">
        <v>1010</v>
      </c>
      <c r="B1011" s="22" t="s">
        <v>1677</v>
      </c>
      <c r="C1011" s="22" t="s">
        <v>32</v>
      </c>
      <c r="D1011" s="21" t="s">
        <v>69</v>
      </c>
      <c r="E1011" s="21"/>
      <c r="F1011" s="21"/>
      <c r="G1011" s="21"/>
      <c r="H1011" s="21"/>
      <c r="I1011" s="21">
        <v>13</v>
      </c>
      <c r="J1011" s="24">
        <v>-13.1</v>
      </c>
      <c r="K1011" s="21"/>
    </row>
    <row r="1012" spans="1:11" ht="17.25" customHeight="1" x14ac:dyDescent="0.2">
      <c r="A1012" s="21">
        <v>1011</v>
      </c>
      <c r="B1012" s="22" t="s">
        <v>1678</v>
      </c>
      <c r="C1012" s="22" t="s">
        <v>232</v>
      </c>
      <c r="D1012" s="21" t="s">
        <v>69</v>
      </c>
      <c r="E1012" s="21"/>
      <c r="F1012" s="21"/>
      <c r="G1012" s="21"/>
      <c r="H1012" s="21"/>
      <c r="I1012" s="21">
        <v>17</v>
      </c>
      <c r="J1012" s="24">
        <v>-13.1</v>
      </c>
      <c r="K1012" s="21"/>
    </row>
    <row r="1013" spans="1:11" ht="17.25" customHeight="1" x14ac:dyDescent="0.2">
      <c r="A1013" s="21">
        <v>1012</v>
      </c>
      <c r="B1013" s="22" t="s">
        <v>1679</v>
      </c>
      <c r="C1013" s="22" t="s">
        <v>24</v>
      </c>
      <c r="D1013" s="21" t="s">
        <v>69</v>
      </c>
      <c r="E1013" s="21"/>
      <c r="F1013" s="21"/>
      <c r="G1013" s="21"/>
      <c r="H1013" s="21"/>
      <c r="I1013" s="21">
        <v>6.1</v>
      </c>
      <c r="J1013" s="24">
        <v>-13.2</v>
      </c>
      <c r="K1013" s="21"/>
    </row>
    <row r="1014" spans="1:11" ht="17.25" customHeight="1" x14ac:dyDescent="0.2">
      <c r="A1014" s="21">
        <v>1013</v>
      </c>
      <c r="B1014" s="22" t="s">
        <v>1680</v>
      </c>
      <c r="C1014" s="22" t="s">
        <v>52</v>
      </c>
      <c r="D1014" s="21" t="s">
        <v>69</v>
      </c>
      <c r="E1014" s="21"/>
      <c r="F1014" s="21"/>
      <c r="G1014" s="21"/>
      <c r="H1014" s="21"/>
      <c r="I1014" s="21">
        <v>3.1</v>
      </c>
      <c r="J1014" s="24">
        <v>-13.2</v>
      </c>
      <c r="K1014" s="21"/>
    </row>
    <row r="1015" spans="1:11" ht="17.25" customHeight="1" x14ac:dyDescent="0.2">
      <c r="A1015" s="21">
        <v>1014</v>
      </c>
      <c r="B1015" s="22" t="s">
        <v>770</v>
      </c>
      <c r="C1015" s="22" t="s">
        <v>15</v>
      </c>
      <c r="D1015" s="21" t="s">
        <v>69</v>
      </c>
      <c r="E1015" s="21"/>
      <c r="F1015" s="21"/>
      <c r="G1015" s="21"/>
      <c r="H1015" s="21"/>
      <c r="I1015" s="21">
        <v>1</v>
      </c>
      <c r="J1015" s="24">
        <v>-13.2</v>
      </c>
      <c r="K1015" s="21"/>
    </row>
    <row r="1016" spans="1:11" ht="17.25" customHeight="1" x14ac:dyDescent="0.2">
      <c r="A1016" s="21">
        <v>1015</v>
      </c>
      <c r="B1016" s="22" t="s">
        <v>1681</v>
      </c>
      <c r="C1016" s="22" t="s">
        <v>12</v>
      </c>
      <c r="D1016" s="21" t="s">
        <v>69</v>
      </c>
      <c r="E1016" s="21"/>
      <c r="F1016" s="21"/>
      <c r="G1016" s="21"/>
      <c r="H1016" s="21"/>
      <c r="I1016" s="21">
        <v>8</v>
      </c>
      <c r="J1016" s="24">
        <v>-13.2</v>
      </c>
      <c r="K1016" s="21"/>
    </row>
    <row r="1017" spans="1:11" ht="17.25" customHeight="1" x14ac:dyDescent="0.2">
      <c r="A1017" s="21">
        <v>1016</v>
      </c>
      <c r="B1017" s="22" t="s">
        <v>800</v>
      </c>
      <c r="C1017" s="22" t="s">
        <v>55</v>
      </c>
      <c r="D1017" s="21" t="s">
        <v>25</v>
      </c>
      <c r="E1017" s="21"/>
      <c r="F1017" s="21"/>
      <c r="G1017" s="21"/>
      <c r="H1017" s="21">
        <v>184</v>
      </c>
      <c r="I1017" s="21"/>
      <c r="J1017" s="24">
        <v>-13.2</v>
      </c>
      <c r="K1017" s="21"/>
    </row>
    <row r="1018" spans="1:11" ht="17.25" customHeight="1" x14ac:dyDescent="0.2">
      <c r="A1018" s="21">
        <v>1017</v>
      </c>
      <c r="B1018" s="22" t="s">
        <v>747</v>
      </c>
      <c r="C1018" s="22" t="s">
        <v>36</v>
      </c>
      <c r="D1018" s="21" t="s">
        <v>28</v>
      </c>
      <c r="E1018" s="21"/>
      <c r="F1018" s="21"/>
      <c r="G1018" s="21"/>
      <c r="H1018" s="21"/>
      <c r="I1018" s="21">
        <v>45.1</v>
      </c>
      <c r="J1018" s="24">
        <v>-13.2</v>
      </c>
      <c r="K1018" s="21"/>
    </row>
    <row r="1019" spans="1:11" ht="17.25" customHeight="1" x14ac:dyDescent="0.2">
      <c r="A1019" s="21">
        <v>1018</v>
      </c>
      <c r="B1019" s="22" t="s">
        <v>1682</v>
      </c>
      <c r="C1019" s="22" t="s">
        <v>140</v>
      </c>
      <c r="D1019" s="21" t="s">
        <v>69</v>
      </c>
      <c r="E1019" s="21"/>
      <c r="F1019" s="21"/>
      <c r="G1019" s="21"/>
      <c r="H1019" s="21"/>
      <c r="I1019" s="21">
        <v>4.0999999999999996</v>
      </c>
      <c r="J1019" s="24">
        <v>-13.2</v>
      </c>
      <c r="K1019" s="21"/>
    </row>
    <row r="1020" spans="1:11" ht="17.25" customHeight="1" x14ac:dyDescent="0.2">
      <c r="A1020" s="21">
        <v>1019</v>
      </c>
      <c r="B1020" s="22" t="s">
        <v>1683</v>
      </c>
      <c r="C1020" s="22" t="s">
        <v>21</v>
      </c>
      <c r="D1020" s="21" t="s">
        <v>69</v>
      </c>
      <c r="E1020" s="21"/>
      <c r="F1020" s="21"/>
      <c r="G1020" s="21"/>
      <c r="H1020" s="21"/>
      <c r="I1020" s="21">
        <v>47</v>
      </c>
      <c r="J1020" s="24">
        <v>-13.2</v>
      </c>
      <c r="K1020" s="21"/>
    </row>
    <row r="1021" spans="1:11" ht="17.25" customHeight="1" x14ac:dyDescent="0.2">
      <c r="A1021" s="21">
        <v>1020</v>
      </c>
      <c r="B1021" s="22" t="s">
        <v>1684</v>
      </c>
      <c r="C1021" s="22" t="s">
        <v>140</v>
      </c>
      <c r="D1021" s="21" t="s">
        <v>69</v>
      </c>
      <c r="E1021" s="21"/>
      <c r="F1021" s="21"/>
      <c r="G1021" s="21"/>
      <c r="H1021" s="21"/>
      <c r="I1021" s="21">
        <v>19</v>
      </c>
      <c r="J1021" s="24">
        <v>-13.2</v>
      </c>
      <c r="K1021" s="21"/>
    </row>
    <row r="1022" spans="1:11" ht="17.25" customHeight="1" x14ac:dyDescent="0.2">
      <c r="A1022" s="21">
        <v>1021</v>
      </c>
      <c r="B1022" s="22" t="s">
        <v>1685</v>
      </c>
      <c r="C1022" s="22" t="s">
        <v>48</v>
      </c>
      <c r="D1022" s="21" t="s">
        <v>69</v>
      </c>
      <c r="E1022" s="21"/>
      <c r="F1022" s="21"/>
      <c r="G1022" s="21"/>
      <c r="H1022" s="21"/>
      <c r="I1022" s="21">
        <v>4</v>
      </c>
      <c r="J1022" s="24">
        <v>-13.2</v>
      </c>
      <c r="K1022" s="21"/>
    </row>
    <row r="1023" spans="1:11" ht="17.25" customHeight="1" x14ac:dyDescent="0.2">
      <c r="A1023" s="21">
        <v>1022</v>
      </c>
      <c r="B1023" s="22" t="s">
        <v>830</v>
      </c>
      <c r="C1023" s="22" t="s">
        <v>24</v>
      </c>
      <c r="D1023" s="21" t="s">
        <v>69</v>
      </c>
      <c r="E1023" s="21"/>
      <c r="F1023" s="21"/>
      <c r="G1023" s="21"/>
      <c r="H1023" s="21"/>
      <c r="I1023" s="21">
        <v>1</v>
      </c>
      <c r="J1023" s="24">
        <v>-13.2</v>
      </c>
      <c r="K1023" s="21"/>
    </row>
    <row r="1024" spans="1:11" ht="17.25" customHeight="1" x14ac:dyDescent="0.2">
      <c r="A1024" s="21">
        <v>1023</v>
      </c>
      <c r="B1024" s="22" t="s">
        <v>332</v>
      </c>
      <c r="C1024" s="22" t="s">
        <v>36</v>
      </c>
      <c r="D1024" s="21" t="s">
        <v>69</v>
      </c>
      <c r="E1024" s="21"/>
      <c r="F1024" s="21"/>
      <c r="G1024" s="21"/>
      <c r="H1024" s="21"/>
      <c r="I1024" s="21">
        <v>1</v>
      </c>
      <c r="J1024" s="24">
        <v>-13.2</v>
      </c>
      <c r="K1024" s="21"/>
    </row>
    <row r="1025" spans="1:11" ht="17.25" customHeight="1" x14ac:dyDescent="0.2">
      <c r="A1025" s="21">
        <v>1024</v>
      </c>
      <c r="B1025" s="22" t="s">
        <v>1686</v>
      </c>
      <c r="C1025" s="22" t="s">
        <v>313</v>
      </c>
      <c r="D1025" s="21" t="s">
        <v>69</v>
      </c>
      <c r="E1025" s="21"/>
      <c r="F1025" s="21"/>
      <c r="G1025" s="21"/>
      <c r="H1025" s="21"/>
      <c r="I1025" s="21">
        <v>1</v>
      </c>
      <c r="J1025" s="24">
        <v>-13.2</v>
      </c>
      <c r="K1025" s="21"/>
    </row>
    <row r="1026" spans="1:11" ht="17.25" customHeight="1" x14ac:dyDescent="0.2">
      <c r="A1026" s="21">
        <v>1025</v>
      </c>
      <c r="B1026" s="22" t="s">
        <v>725</v>
      </c>
      <c r="C1026" s="21"/>
      <c r="D1026" s="21" t="s">
        <v>74</v>
      </c>
      <c r="E1026" s="21"/>
      <c r="F1026" s="21"/>
      <c r="G1026" s="21"/>
      <c r="H1026" s="21">
        <v>15</v>
      </c>
      <c r="I1026" s="21"/>
      <c r="J1026" s="24">
        <v>-13.2</v>
      </c>
      <c r="K1026" s="21"/>
    </row>
    <row r="1027" spans="1:11" ht="17.25" customHeight="1" x14ac:dyDescent="0.2">
      <c r="A1027" s="21">
        <v>1026</v>
      </c>
      <c r="B1027" s="22" t="s">
        <v>742</v>
      </c>
      <c r="C1027" s="22" t="s">
        <v>232</v>
      </c>
      <c r="D1027" s="21" t="s">
        <v>74</v>
      </c>
      <c r="E1027" s="21"/>
      <c r="F1027" s="21"/>
      <c r="G1027" s="21"/>
      <c r="H1027" s="21">
        <v>18</v>
      </c>
      <c r="I1027" s="21"/>
      <c r="J1027" s="24">
        <v>-13.3</v>
      </c>
      <c r="K1027" s="21"/>
    </row>
    <row r="1028" spans="1:11" ht="17.25" customHeight="1" x14ac:dyDescent="0.2">
      <c r="A1028" s="21">
        <v>1027</v>
      </c>
      <c r="B1028" s="22" t="s">
        <v>1284</v>
      </c>
      <c r="C1028" s="22" t="s">
        <v>57</v>
      </c>
      <c r="D1028" s="21" t="s">
        <v>750</v>
      </c>
      <c r="E1028" s="21"/>
      <c r="F1028" s="21"/>
      <c r="G1028" s="21"/>
      <c r="H1028" s="21">
        <v>57</v>
      </c>
      <c r="I1028" s="21"/>
      <c r="J1028" s="24">
        <v>-13.3</v>
      </c>
      <c r="K1028" s="21"/>
    </row>
    <row r="1029" spans="1:11" ht="17.25" customHeight="1" x14ac:dyDescent="0.2">
      <c r="A1029" s="21">
        <v>1028</v>
      </c>
      <c r="B1029" s="22" t="s">
        <v>711</v>
      </c>
      <c r="C1029" s="22" t="s">
        <v>21</v>
      </c>
      <c r="D1029" s="21" t="s">
        <v>69</v>
      </c>
      <c r="E1029" s="21"/>
      <c r="F1029" s="21"/>
      <c r="G1029" s="21"/>
      <c r="H1029" s="21"/>
      <c r="I1029" s="21">
        <v>3</v>
      </c>
      <c r="J1029" s="24">
        <v>-13.3</v>
      </c>
      <c r="K1029" s="21"/>
    </row>
    <row r="1030" spans="1:11" ht="17.25" customHeight="1" x14ac:dyDescent="0.2">
      <c r="A1030" s="21">
        <v>1029</v>
      </c>
      <c r="B1030" s="22" t="s">
        <v>473</v>
      </c>
      <c r="C1030" s="21"/>
      <c r="D1030" s="21" t="s">
        <v>69</v>
      </c>
      <c r="E1030" s="21"/>
      <c r="F1030" s="21"/>
      <c r="G1030" s="21"/>
      <c r="H1030" s="21"/>
      <c r="I1030" s="21">
        <v>3</v>
      </c>
      <c r="J1030" s="24">
        <v>-13.3</v>
      </c>
      <c r="K1030" s="21"/>
    </row>
    <row r="1031" spans="1:11" ht="17.25" customHeight="1" x14ac:dyDescent="0.2">
      <c r="A1031" s="21">
        <v>1030</v>
      </c>
      <c r="B1031" s="22" t="s">
        <v>757</v>
      </c>
      <c r="C1031" s="21"/>
      <c r="D1031" s="21" t="s">
        <v>69</v>
      </c>
      <c r="E1031" s="21"/>
      <c r="F1031" s="21"/>
      <c r="G1031" s="21"/>
      <c r="H1031" s="21"/>
      <c r="I1031" s="21">
        <v>12.1</v>
      </c>
      <c r="J1031" s="24">
        <v>-13.3</v>
      </c>
      <c r="K1031" s="21"/>
    </row>
    <row r="1032" spans="1:11" ht="17.25" customHeight="1" x14ac:dyDescent="0.2">
      <c r="A1032" s="21">
        <v>1031</v>
      </c>
      <c r="B1032" s="22" t="s">
        <v>1687</v>
      </c>
      <c r="C1032" s="22" t="s">
        <v>60</v>
      </c>
      <c r="D1032" s="21" t="s">
        <v>69</v>
      </c>
      <c r="E1032" s="21"/>
      <c r="F1032" s="21"/>
      <c r="G1032" s="21"/>
      <c r="H1032" s="21"/>
      <c r="I1032" s="21">
        <v>17.100000000000001</v>
      </c>
      <c r="J1032" s="24">
        <v>-13.3</v>
      </c>
      <c r="K1032" s="21"/>
    </row>
    <row r="1033" spans="1:11" ht="17.25" customHeight="1" x14ac:dyDescent="0.2">
      <c r="A1033" s="21">
        <v>1032</v>
      </c>
      <c r="B1033" s="22" t="s">
        <v>522</v>
      </c>
      <c r="C1033" s="22" t="s">
        <v>64</v>
      </c>
      <c r="D1033" s="21" t="s">
        <v>69</v>
      </c>
      <c r="E1033" s="21"/>
      <c r="F1033" s="21"/>
      <c r="G1033" s="21"/>
      <c r="H1033" s="21"/>
      <c r="I1033" s="21">
        <v>26</v>
      </c>
      <c r="J1033" s="24">
        <v>-13.3</v>
      </c>
      <c r="K1033" s="21"/>
    </row>
    <row r="1034" spans="1:11" ht="17.25" customHeight="1" x14ac:dyDescent="0.2">
      <c r="A1034" s="21">
        <v>1033</v>
      </c>
      <c r="B1034" s="22" t="s">
        <v>1688</v>
      </c>
      <c r="C1034" s="22" t="s">
        <v>132</v>
      </c>
      <c r="D1034" s="21" t="s">
        <v>69</v>
      </c>
      <c r="E1034" s="21"/>
      <c r="F1034" s="23">
        <v>0.02</v>
      </c>
      <c r="G1034" s="23">
        <v>0</v>
      </c>
      <c r="H1034" s="21"/>
      <c r="I1034" s="21">
        <v>52.1</v>
      </c>
      <c r="J1034" s="24">
        <v>-13.3</v>
      </c>
      <c r="K1034" s="21"/>
    </row>
    <row r="1035" spans="1:11" ht="17.25" customHeight="1" x14ac:dyDescent="0.2">
      <c r="A1035" s="21">
        <v>1034</v>
      </c>
      <c r="B1035" s="22" t="s">
        <v>794</v>
      </c>
      <c r="C1035" s="22" t="s">
        <v>15</v>
      </c>
      <c r="D1035" s="21" t="s">
        <v>69</v>
      </c>
      <c r="E1035" s="21"/>
      <c r="F1035" s="21"/>
      <c r="G1035" s="21"/>
      <c r="H1035" s="21"/>
      <c r="I1035" s="21">
        <v>60</v>
      </c>
      <c r="J1035" s="24">
        <v>-13.3</v>
      </c>
      <c r="K1035" s="21"/>
    </row>
    <row r="1036" spans="1:11" ht="17.25" customHeight="1" x14ac:dyDescent="0.2">
      <c r="A1036" s="21">
        <v>1035</v>
      </c>
      <c r="B1036" s="22" t="s">
        <v>1689</v>
      </c>
      <c r="C1036" s="22" t="s">
        <v>132</v>
      </c>
      <c r="D1036" s="21" t="s">
        <v>69</v>
      </c>
      <c r="E1036" s="21"/>
      <c r="F1036" s="21"/>
      <c r="G1036" s="21"/>
      <c r="H1036" s="21"/>
      <c r="I1036" s="21">
        <v>24.1</v>
      </c>
      <c r="J1036" s="24">
        <v>-13.3</v>
      </c>
      <c r="K1036" s="21"/>
    </row>
    <row r="1037" spans="1:11" ht="17.25" customHeight="1" x14ac:dyDescent="0.2">
      <c r="A1037" s="21">
        <v>1036</v>
      </c>
      <c r="B1037" s="22" t="s">
        <v>1285</v>
      </c>
      <c r="C1037" s="22" t="s">
        <v>42</v>
      </c>
      <c r="D1037" s="21" t="s">
        <v>74</v>
      </c>
      <c r="E1037" s="21"/>
      <c r="F1037" s="21"/>
      <c r="G1037" s="21"/>
      <c r="H1037" s="21">
        <v>3</v>
      </c>
      <c r="I1037" s="21"/>
      <c r="J1037" s="24">
        <v>-13.4</v>
      </c>
      <c r="K1037" s="21"/>
    </row>
    <row r="1038" spans="1:11" ht="17.25" customHeight="1" x14ac:dyDescent="0.2">
      <c r="A1038" s="21">
        <v>1037</v>
      </c>
      <c r="B1038" s="22" t="s">
        <v>754</v>
      </c>
      <c r="C1038" s="22" t="s">
        <v>313</v>
      </c>
      <c r="D1038" s="21" t="s">
        <v>74</v>
      </c>
      <c r="E1038" s="21"/>
      <c r="F1038" s="21"/>
      <c r="G1038" s="21"/>
      <c r="H1038" s="21">
        <v>3</v>
      </c>
      <c r="I1038" s="21"/>
      <c r="J1038" s="24">
        <v>-13.4</v>
      </c>
      <c r="K1038" s="21"/>
    </row>
    <row r="1039" spans="1:11" ht="17.25" customHeight="1" x14ac:dyDescent="0.2">
      <c r="A1039" s="21">
        <v>1038</v>
      </c>
      <c r="B1039" s="22" t="s">
        <v>1690</v>
      </c>
      <c r="C1039" s="22" t="s">
        <v>57</v>
      </c>
      <c r="D1039" s="21" t="s">
        <v>69</v>
      </c>
      <c r="E1039" s="21"/>
      <c r="F1039" s="21"/>
      <c r="G1039" s="21"/>
      <c r="H1039" s="21"/>
      <c r="I1039" s="21">
        <v>9.1</v>
      </c>
      <c r="J1039" s="24">
        <v>-13.4</v>
      </c>
      <c r="K1039" s="21"/>
    </row>
    <row r="1040" spans="1:11" ht="17.25" customHeight="1" x14ac:dyDescent="0.2">
      <c r="A1040" s="21">
        <v>1039</v>
      </c>
      <c r="B1040" s="22" t="s">
        <v>1691</v>
      </c>
      <c r="C1040" s="22" t="s">
        <v>50</v>
      </c>
      <c r="D1040" s="21" t="s">
        <v>69</v>
      </c>
      <c r="E1040" s="21"/>
      <c r="F1040" s="21"/>
      <c r="G1040" s="21"/>
      <c r="H1040" s="21"/>
      <c r="I1040" s="21">
        <v>2</v>
      </c>
      <c r="J1040" s="24">
        <v>-13.4</v>
      </c>
      <c r="K1040" s="21"/>
    </row>
    <row r="1041" spans="1:11" ht="17.25" customHeight="1" x14ac:dyDescent="0.2">
      <c r="A1041" s="21">
        <v>1040</v>
      </c>
      <c r="B1041" s="22" t="s">
        <v>1692</v>
      </c>
      <c r="C1041" s="22" t="s">
        <v>132</v>
      </c>
      <c r="D1041" s="21" t="s">
        <v>69</v>
      </c>
      <c r="E1041" s="21"/>
      <c r="F1041" s="21"/>
      <c r="G1041" s="21"/>
      <c r="H1041" s="21"/>
      <c r="I1041" s="21">
        <v>18</v>
      </c>
      <c r="J1041" s="24">
        <v>-13.4</v>
      </c>
      <c r="K1041" s="21"/>
    </row>
    <row r="1042" spans="1:11" ht="17.25" customHeight="1" x14ac:dyDescent="0.2">
      <c r="A1042" s="21">
        <v>1041</v>
      </c>
      <c r="B1042" s="22" t="s">
        <v>1693</v>
      </c>
      <c r="C1042" s="22" t="s">
        <v>117</v>
      </c>
      <c r="D1042" s="21" t="s">
        <v>69</v>
      </c>
      <c r="E1042" s="21"/>
      <c r="F1042" s="21"/>
      <c r="G1042" s="21"/>
      <c r="H1042" s="21"/>
      <c r="I1042" s="21">
        <v>0.1</v>
      </c>
      <c r="J1042" s="24">
        <v>-13.4</v>
      </c>
      <c r="K1042" s="21"/>
    </row>
    <row r="1043" spans="1:11" ht="17.25" customHeight="1" x14ac:dyDescent="0.2">
      <c r="A1043" s="21">
        <v>1042</v>
      </c>
      <c r="B1043" s="22" t="s">
        <v>1694</v>
      </c>
      <c r="C1043" s="22" t="s">
        <v>27</v>
      </c>
      <c r="D1043" s="21" t="s">
        <v>69</v>
      </c>
      <c r="E1043" s="21"/>
      <c r="F1043" s="21"/>
      <c r="G1043" s="21"/>
      <c r="H1043" s="21"/>
      <c r="I1043" s="21">
        <v>10</v>
      </c>
      <c r="J1043" s="24">
        <v>-13.4</v>
      </c>
      <c r="K1043" s="21"/>
    </row>
    <row r="1044" spans="1:11" ht="17.25" customHeight="1" x14ac:dyDescent="0.2">
      <c r="A1044" s="21">
        <v>1043</v>
      </c>
      <c r="B1044" s="22" t="s">
        <v>1695</v>
      </c>
      <c r="C1044" s="22" t="s">
        <v>32</v>
      </c>
      <c r="D1044" s="21" t="s">
        <v>69</v>
      </c>
      <c r="E1044" s="21"/>
      <c r="F1044" s="21"/>
      <c r="G1044" s="21"/>
      <c r="H1044" s="21"/>
      <c r="I1044" s="21">
        <v>25</v>
      </c>
      <c r="J1044" s="24">
        <v>-13.4</v>
      </c>
      <c r="K1044" s="21"/>
    </row>
    <row r="1045" spans="1:11" ht="17.25" customHeight="1" x14ac:dyDescent="0.2">
      <c r="A1045" s="21">
        <v>1044</v>
      </c>
      <c r="B1045" s="22" t="s">
        <v>1696</v>
      </c>
      <c r="C1045" s="21"/>
      <c r="D1045" s="21" t="s">
        <v>69</v>
      </c>
      <c r="E1045" s="21"/>
      <c r="F1045" s="21"/>
      <c r="G1045" s="21"/>
      <c r="H1045" s="21"/>
      <c r="I1045" s="21">
        <v>2</v>
      </c>
      <c r="J1045" s="24">
        <v>-13.4</v>
      </c>
      <c r="K1045" s="21"/>
    </row>
    <row r="1046" spans="1:11" ht="17.25" customHeight="1" x14ac:dyDescent="0.2">
      <c r="A1046" s="21">
        <v>1045</v>
      </c>
      <c r="B1046" s="22" t="s">
        <v>1286</v>
      </c>
      <c r="C1046" s="22" t="s">
        <v>57</v>
      </c>
      <c r="D1046" s="21" t="s">
        <v>750</v>
      </c>
      <c r="E1046" s="21"/>
      <c r="F1046" s="21"/>
      <c r="G1046" s="21"/>
      <c r="H1046" s="21">
        <v>17</v>
      </c>
      <c r="I1046" s="21"/>
      <c r="J1046" s="24">
        <v>-13.4</v>
      </c>
      <c r="K1046" s="21"/>
    </row>
    <row r="1047" spans="1:11" ht="17.25" customHeight="1" x14ac:dyDescent="0.2">
      <c r="A1047" s="21">
        <v>1046</v>
      </c>
      <c r="B1047" s="22" t="s">
        <v>518</v>
      </c>
      <c r="C1047" s="22" t="s">
        <v>39</v>
      </c>
      <c r="D1047" s="21" t="s">
        <v>69</v>
      </c>
      <c r="E1047" s="21"/>
      <c r="F1047" s="21"/>
      <c r="G1047" s="21"/>
      <c r="H1047" s="21"/>
      <c r="I1047" s="21">
        <v>5</v>
      </c>
      <c r="J1047" s="24">
        <v>-13.4</v>
      </c>
      <c r="K1047" s="21"/>
    </row>
    <row r="1048" spans="1:11" ht="17.25" customHeight="1" x14ac:dyDescent="0.2">
      <c r="A1048" s="21">
        <v>1047</v>
      </c>
      <c r="B1048" s="22" t="s">
        <v>1697</v>
      </c>
      <c r="C1048" s="21"/>
      <c r="D1048" s="21" t="s">
        <v>69</v>
      </c>
      <c r="E1048" s="21"/>
      <c r="F1048" s="21"/>
      <c r="G1048" s="21"/>
      <c r="H1048" s="21"/>
      <c r="I1048" s="21">
        <v>32</v>
      </c>
      <c r="J1048" s="24">
        <v>-13.4</v>
      </c>
      <c r="K1048" s="21"/>
    </row>
    <row r="1049" spans="1:11" ht="17.25" customHeight="1" x14ac:dyDescent="0.2">
      <c r="A1049" s="21">
        <v>1048</v>
      </c>
      <c r="B1049" s="22" t="s">
        <v>1698</v>
      </c>
      <c r="C1049" s="22" t="s">
        <v>60</v>
      </c>
      <c r="D1049" s="21" t="s">
        <v>69</v>
      </c>
      <c r="E1049" s="21"/>
      <c r="F1049" s="21"/>
      <c r="G1049" s="21"/>
      <c r="H1049" s="21"/>
      <c r="I1049" s="21">
        <v>3</v>
      </c>
      <c r="J1049" s="24">
        <v>-13.4</v>
      </c>
      <c r="K1049" s="21"/>
    </row>
    <row r="1050" spans="1:11" ht="17.25" customHeight="1" x14ac:dyDescent="0.2">
      <c r="A1050" s="21">
        <v>1049</v>
      </c>
      <c r="B1050" s="22" t="s">
        <v>785</v>
      </c>
      <c r="C1050" s="22" t="s">
        <v>52</v>
      </c>
      <c r="D1050" s="21" t="s">
        <v>74</v>
      </c>
      <c r="E1050" s="21"/>
      <c r="F1050" s="21"/>
      <c r="G1050" s="21"/>
      <c r="H1050" s="21">
        <v>4</v>
      </c>
      <c r="I1050" s="21"/>
      <c r="J1050" s="24">
        <v>-13.4</v>
      </c>
      <c r="K1050" s="21"/>
    </row>
    <row r="1051" spans="1:11" ht="17.25" customHeight="1" x14ac:dyDescent="0.2">
      <c r="A1051" s="21">
        <v>1050</v>
      </c>
      <c r="B1051" s="22" t="s">
        <v>1699</v>
      </c>
      <c r="C1051" s="22" t="s">
        <v>30</v>
      </c>
      <c r="D1051" s="21" t="s">
        <v>69</v>
      </c>
      <c r="E1051" s="21"/>
      <c r="F1051" s="21"/>
      <c r="G1051" s="21"/>
      <c r="H1051" s="21"/>
      <c r="I1051" s="21">
        <v>5</v>
      </c>
      <c r="J1051" s="24">
        <v>-13.4</v>
      </c>
      <c r="K1051" s="21"/>
    </row>
    <row r="1052" spans="1:11" ht="17.25" customHeight="1" x14ac:dyDescent="0.2">
      <c r="A1052" s="21">
        <v>1051</v>
      </c>
      <c r="B1052" s="22" t="s">
        <v>649</v>
      </c>
      <c r="C1052" s="22" t="s">
        <v>36</v>
      </c>
      <c r="D1052" s="21" t="s">
        <v>69</v>
      </c>
      <c r="E1052" s="21"/>
      <c r="F1052" s="21"/>
      <c r="G1052" s="21"/>
      <c r="H1052" s="21"/>
      <c r="I1052" s="21">
        <v>19</v>
      </c>
      <c r="J1052" s="24">
        <v>-13.4</v>
      </c>
      <c r="K1052" s="21"/>
    </row>
    <row r="1053" spans="1:11" ht="17.25" customHeight="1" x14ac:dyDescent="0.2">
      <c r="A1053" s="21">
        <v>1052</v>
      </c>
      <c r="B1053" s="22" t="s">
        <v>1700</v>
      </c>
      <c r="C1053" s="22" t="s">
        <v>64</v>
      </c>
      <c r="D1053" s="21" t="s">
        <v>69</v>
      </c>
      <c r="E1053" s="21"/>
      <c r="F1053" s="21"/>
      <c r="G1053" s="21"/>
      <c r="H1053" s="21"/>
      <c r="I1053" s="21">
        <v>9</v>
      </c>
      <c r="J1053" s="24">
        <v>-13.4</v>
      </c>
      <c r="K1053" s="21"/>
    </row>
    <row r="1054" spans="1:11" ht="17.25" customHeight="1" x14ac:dyDescent="0.2">
      <c r="A1054" s="21">
        <v>1053</v>
      </c>
      <c r="B1054" s="22" t="s">
        <v>1701</v>
      </c>
      <c r="C1054" s="22" t="s">
        <v>57</v>
      </c>
      <c r="D1054" s="21" t="s">
        <v>69</v>
      </c>
      <c r="E1054" s="21"/>
      <c r="F1054" s="21"/>
      <c r="G1054" s="21"/>
      <c r="H1054" s="21"/>
      <c r="I1054" s="21">
        <v>2</v>
      </c>
      <c r="J1054" s="24">
        <v>-13.5</v>
      </c>
      <c r="K1054" s="21"/>
    </row>
    <row r="1055" spans="1:11" ht="17.25" customHeight="1" x14ac:dyDescent="0.2">
      <c r="A1055" s="21">
        <v>1054</v>
      </c>
      <c r="B1055" s="22" t="s">
        <v>1287</v>
      </c>
      <c r="C1055" s="21"/>
      <c r="D1055" s="21" t="s">
        <v>750</v>
      </c>
      <c r="E1055" s="21"/>
      <c r="F1055" s="21"/>
      <c r="G1055" s="21"/>
      <c r="H1055" s="21">
        <v>41</v>
      </c>
      <c r="I1055" s="21"/>
      <c r="J1055" s="24">
        <v>-13.5</v>
      </c>
      <c r="K1055" s="21"/>
    </row>
    <row r="1056" spans="1:11" ht="17.25" customHeight="1" x14ac:dyDescent="0.2">
      <c r="A1056" s="21">
        <v>1055</v>
      </c>
      <c r="B1056" s="22" t="s">
        <v>662</v>
      </c>
      <c r="C1056" s="22" t="s">
        <v>232</v>
      </c>
      <c r="D1056" s="21" t="s">
        <v>69</v>
      </c>
      <c r="E1056" s="21"/>
      <c r="F1056" s="21"/>
      <c r="G1056" s="21"/>
      <c r="H1056" s="21"/>
      <c r="I1056" s="21">
        <v>31</v>
      </c>
      <c r="J1056" s="24">
        <v>-13.5</v>
      </c>
      <c r="K1056" s="21"/>
    </row>
    <row r="1057" spans="1:11" ht="17.25" customHeight="1" x14ac:dyDescent="0.2">
      <c r="A1057" s="21">
        <v>1056</v>
      </c>
      <c r="B1057" s="22" t="s">
        <v>1702</v>
      </c>
      <c r="C1057" s="22" t="s">
        <v>42</v>
      </c>
      <c r="D1057" s="21" t="s">
        <v>69</v>
      </c>
      <c r="E1057" s="21"/>
      <c r="F1057" s="21"/>
      <c r="G1057" s="21"/>
      <c r="H1057" s="21"/>
      <c r="I1057" s="21">
        <v>10</v>
      </c>
      <c r="J1057" s="24">
        <v>-13.5</v>
      </c>
      <c r="K1057" s="21"/>
    </row>
    <row r="1058" spans="1:11" ht="17.25" customHeight="1" x14ac:dyDescent="0.2">
      <c r="A1058" s="21">
        <v>1057</v>
      </c>
      <c r="B1058" s="22" t="s">
        <v>748</v>
      </c>
      <c r="C1058" s="22" t="s">
        <v>232</v>
      </c>
      <c r="D1058" s="21" t="s">
        <v>74</v>
      </c>
      <c r="E1058" s="21"/>
      <c r="F1058" s="21"/>
      <c r="G1058" s="21"/>
      <c r="H1058" s="21">
        <v>105</v>
      </c>
      <c r="I1058" s="21"/>
      <c r="J1058" s="24">
        <v>-13.5</v>
      </c>
      <c r="K1058" s="21"/>
    </row>
    <row r="1059" spans="1:11" ht="17.25" customHeight="1" x14ac:dyDescent="0.2">
      <c r="A1059" s="21">
        <v>1058</v>
      </c>
      <c r="B1059" s="22" t="s">
        <v>761</v>
      </c>
      <c r="C1059" s="21"/>
      <c r="D1059" s="21" t="s">
        <v>69</v>
      </c>
      <c r="E1059" s="21"/>
      <c r="F1059" s="21"/>
      <c r="G1059" s="21"/>
      <c r="H1059" s="21"/>
      <c r="I1059" s="21">
        <v>6</v>
      </c>
      <c r="J1059" s="24">
        <v>-13.5</v>
      </c>
      <c r="K1059" s="21"/>
    </row>
    <row r="1060" spans="1:11" ht="17.25" customHeight="1" x14ac:dyDescent="0.2">
      <c r="A1060" s="21">
        <v>1059</v>
      </c>
      <c r="B1060" s="22" t="s">
        <v>974</v>
      </c>
      <c r="C1060" s="22" t="s">
        <v>18</v>
      </c>
      <c r="D1060" s="21" t="s">
        <v>25</v>
      </c>
      <c r="E1060" s="21"/>
      <c r="F1060" s="21"/>
      <c r="G1060" s="21"/>
      <c r="H1060" s="21">
        <v>217</v>
      </c>
      <c r="I1060" s="21"/>
      <c r="J1060" s="24">
        <v>-13.5</v>
      </c>
      <c r="K1060" s="21"/>
    </row>
    <row r="1061" spans="1:11" ht="17.25" customHeight="1" x14ac:dyDescent="0.2">
      <c r="A1061" s="21">
        <v>1060</v>
      </c>
      <c r="B1061" s="22" t="s">
        <v>596</v>
      </c>
      <c r="C1061" s="22" t="s">
        <v>34</v>
      </c>
      <c r="D1061" s="21" t="s">
        <v>69</v>
      </c>
      <c r="E1061" s="21"/>
      <c r="F1061" s="21"/>
      <c r="G1061" s="21"/>
      <c r="H1061" s="21"/>
      <c r="I1061" s="21">
        <v>18</v>
      </c>
      <c r="J1061" s="24">
        <v>-13.5</v>
      </c>
      <c r="K1061" s="21"/>
    </row>
    <row r="1062" spans="1:11" ht="17.25" customHeight="1" x14ac:dyDescent="0.2">
      <c r="A1062" s="21">
        <v>1061</v>
      </c>
      <c r="B1062" s="22" t="s">
        <v>751</v>
      </c>
      <c r="C1062" s="22" t="s">
        <v>57</v>
      </c>
      <c r="D1062" s="21" t="s">
        <v>69</v>
      </c>
      <c r="E1062" s="21"/>
      <c r="F1062" s="21"/>
      <c r="G1062" s="21"/>
      <c r="H1062" s="21"/>
      <c r="I1062" s="21">
        <v>38</v>
      </c>
      <c r="J1062" s="24">
        <v>-13.6</v>
      </c>
      <c r="K1062" s="21"/>
    </row>
    <row r="1063" spans="1:11" ht="17.25" customHeight="1" x14ac:dyDescent="0.2">
      <c r="A1063" s="21">
        <v>1062</v>
      </c>
      <c r="B1063" s="22" t="s">
        <v>1288</v>
      </c>
      <c r="C1063" s="22" t="s">
        <v>34</v>
      </c>
      <c r="D1063" s="21" t="s">
        <v>74</v>
      </c>
      <c r="E1063" s="21"/>
      <c r="F1063" s="21"/>
      <c r="G1063" s="21"/>
      <c r="H1063" s="21">
        <v>10</v>
      </c>
      <c r="I1063" s="21"/>
      <c r="J1063" s="24">
        <v>-13.6</v>
      </c>
      <c r="K1063" s="21"/>
    </row>
    <row r="1064" spans="1:11" ht="17.25" customHeight="1" x14ac:dyDescent="0.2">
      <c r="A1064" s="21">
        <v>1063</v>
      </c>
      <c r="B1064" s="22" t="s">
        <v>1703</v>
      </c>
      <c r="C1064" s="22" t="s">
        <v>64</v>
      </c>
      <c r="D1064" s="21" t="s">
        <v>69</v>
      </c>
      <c r="E1064" s="21"/>
      <c r="F1064" s="21"/>
      <c r="G1064" s="21"/>
      <c r="H1064" s="21"/>
      <c r="I1064" s="21">
        <v>18</v>
      </c>
      <c r="J1064" s="24">
        <v>-13.6</v>
      </c>
      <c r="K1064" s="21"/>
    </row>
    <row r="1065" spans="1:11" ht="17.25" customHeight="1" x14ac:dyDescent="0.2">
      <c r="A1065" s="21">
        <v>1064</v>
      </c>
      <c r="B1065" s="22" t="s">
        <v>947</v>
      </c>
      <c r="C1065" s="22" t="s">
        <v>115</v>
      </c>
      <c r="D1065" s="21" t="s">
        <v>354</v>
      </c>
      <c r="E1065" s="21"/>
      <c r="F1065" s="21"/>
      <c r="G1065" s="21"/>
      <c r="H1065" s="21">
        <v>295</v>
      </c>
      <c r="I1065" s="21"/>
      <c r="J1065" s="24">
        <v>-13.6</v>
      </c>
      <c r="K1065" s="21"/>
    </row>
    <row r="1066" spans="1:11" ht="17.25" customHeight="1" x14ac:dyDescent="0.2">
      <c r="A1066" s="21">
        <v>1065</v>
      </c>
      <c r="B1066" s="22" t="s">
        <v>1704</v>
      </c>
      <c r="C1066" s="22" t="s">
        <v>42</v>
      </c>
      <c r="D1066" s="21" t="s">
        <v>69</v>
      </c>
      <c r="E1066" s="21"/>
      <c r="F1066" s="21"/>
      <c r="G1066" s="21"/>
      <c r="H1066" s="21"/>
      <c r="I1066" s="21">
        <v>5</v>
      </c>
      <c r="J1066" s="24">
        <v>-13.6</v>
      </c>
      <c r="K1066" s="21"/>
    </row>
    <row r="1067" spans="1:11" ht="17.25" customHeight="1" x14ac:dyDescent="0.2">
      <c r="A1067" s="21">
        <v>1066</v>
      </c>
      <c r="B1067" s="22" t="s">
        <v>858</v>
      </c>
      <c r="C1067" s="21"/>
      <c r="D1067" s="21" t="s">
        <v>78</v>
      </c>
      <c r="E1067" s="21"/>
      <c r="F1067" s="21"/>
      <c r="G1067" s="21"/>
      <c r="H1067" s="21">
        <v>330</v>
      </c>
      <c r="I1067" s="21"/>
      <c r="J1067" s="24">
        <v>-13.6</v>
      </c>
      <c r="K1067" s="21"/>
    </row>
    <row r="1068" spans="1:11" ht="17.25" customHeight="1" x14ac:dyDescent="0.2">
      <c r="A1068" s="21">
        <v>1067</v>
      </c>
      <c r="B1068" s="22" t="s">
        <v>1705</v>
      </c>
      <c r="C1068" s="22" t="s">
        <v>52</v>
      </c>
      <c r="D1068" s="21" t="s">
        <v>69</v>
      </c>
      <c r="E1068" s="21"/>
      <c r="F1068" s="21"/>
      <c r="G1068" s="21"/>
      <c r="H1068" s="21"/>
      <c r="I1068" s="21">
        <v>3</v>
      </c>
      <c r="J1068" s="24">
        <v>-13.6</v>
      </c>
      <c r="K1068" s="21"/>
    </row>
    <row r="1069" spans="1:11" ht="17.25" customHeight="1" x14ac:dyDescent="0.2">
      <c r="A1069" s="21">
        <v>1068</v>
      </c>
      <c r="B1069" s="22" t="s">
        <v>1706</v>
      </c>
      <c r="C1069" s="22" t="s">
        <v>32</v>
      </c>
      <c r="D1069" s="21" t="s">
        <v>69</v>
      </c>
      <c r="E1069" s="21"/>
      <c r="F1069" s="21"/>
      <c r="G1069" s="21"/>
      <c r="H1069" s="21"/>
      <c r="I1069" s="21">
        <v>41</v>
      </c>
      <c r="J1069" s="24">
        <v>-13.6</v>
      </c>
      <c r="K1069" s="21"/>
    </row>
    <row r="1070" spans="1:11" ht="17.25" customHeight="1" x14ac:dyDescent="0.2">
      <c r="A1070" s="21">
        <v>1069</v>
      </c>
      <c r="B1070" s="22" t="s">
        <v>666</v>
      </c>
      <c r="C1070" s="22" t="s">
        <v>18</v>
      </c>
      <c r="D1070" s="21" t="s">
        <v>69</v>
      </c>
      <c r="E1070" s="21"/>
      <c r="F1070" s="21"/>
      <c r="G1070" s="21"/>
      <c r="H1070" s="21"/>
      <c r="I1070" s="21">
        <v>1</v>
      </c>
      <c r="J1070" s="24">
        <v>-13.6</v>
      </c>
      <c r="K1070" s="21"/>
    </row>
    <row r="1071" spans="1:11" ht="17.25" customHeight="1" x14ac:dyDescent="0.2">
      <c r="A1071" s="21">
        <v>1070</v>
      </c>
      <c r="B1071" s="22" t="s">
        <v>725</v>
      </c>
      <c r="C1071" s="21"/>
      <c r="D1071" s="21" t="s">
        <v>69</v>
      </c>
      <c r="E1071" s="21"/>
      <c r="F1071" s="21"/>
      <c r="G1071" s="21"/>
      <c r="H1071" s="21"/>
      <c r="I1071" s="21">
        <v>2</v>
      </c>
      <c r="J1071" s="24">
        <v>-13.6</v>
      </c>
      <c r="K1071" s="21"/>
    </row>
    <row r="1072" spans="1:11" ht="17.25" customHeight="1" x14ac:dyDescent="0.2">
      <c r="A1072" s="21">
        <v>1071</v>
      </c>
      <c r="B1072" s="22" t="s">
        <v>483</v>
      </c>
      <c r="C1072" s="21"/>
      <c r="D1072" s="21" t="s">
        <v>69</v>
      </c>
      <c r="E1072" s="21"/>
      <c r="F1072" s="21"/>
      <c r="G1072" s="21"/>
      <c r="H1072" s="21"/>
      <c r="I1072" s="21">
        <v>2</v>
      </c>
      <c r="J1072" s="24">
        <v>-13.6</v>
      </c>
      <c r="K1072" s="21"/>
    </row>
    <row r="1073" spans="1:11" ht="17.25" customHeight="1" x14ac:dyDescent="0.2">
      <c r="A1073" s="21">
        <v>1072</v>
      </c>
      <c r="B1073" s="22" t="s">
        <v>792</v>
      </c>
      <c r="C1073" s="22" t="s">
        <v>24</v>
      </c>
      <c r="D1073" s="21" t="s">
        <v>69</v>
      </c>
      <c r="E1073" s="21"/>
      <c r="F1073" s="21"/>
      <c r="G1073" s="21"/>
      <c r="H1073" s="21"/>
      <c r="I1073" s="21">
        <v>2</v>
      </c>
      <c r="J1073" s="24">
        <v>-13.6</v>
      </c>
      <c r="K1073" s="21"/>
    </row>
    <row r="1074" spans="1:11" ht="17.25" customHeight="1" x14ac:dyDescent="0.2">
      <c r="A1074" s="21">
        <v>1073</v>
      </c>
      <c r="B1074" s="22" t="s">
        <v>1707</v>
      </c>
      <c r="C1074" s="22" t="s">
        <v>24</v>
      </c>
      <c r="D1074" s="21" t="s">
        <v>69</v>
      </c>
      <c r="E1074" s="21"/>
      <c r="F1074" s="21"/>
      <c r="G1074" s="21"/>
      <c r="H1074" s="21"/>
      <c r="I1074" s="21">
        <v>0.1</v>
      </c>
      <c r="J1074" s="24">
        <v>-13.6</v>
      </c>
      <c r="K1074" s="21"/>
    </row>
    <row r="1075" spans="1:11" ht="17.25" customHeight="1" x14ac:dyDescent="0.2">
      <c r="A1075" s="21">
        <v>1074</v>
      </c>
      <c r="B1075" s="22" t="s">
        <v>1708</v>
      </c>
      <c r="C1075" s="22" t="s">
        <v>140</v>
      </c>
      <c r="D1075" s="21" t="s">
        <v>69</v>
      </c>
      <c r="E1075" s="21"/>
      <c r="F1075" s="21"/>
      <c r="G1075" s="21"/>
      <c r="H1075" s="21"/>
      <c r="I1075" s="21">
        <v>1.1000000000000001</v>
      </c>
      <c r="J1075" s="24">
        <v>-13.6</v>
      </c>
      <c r="K1075" s="21"/>
    </row>
    <row r="1076" spans="1:11" ht="17.25" customHeight="1" x14ac:dyDescent="0.2">
      <c r="A1076" s="21">
        <v>1075</v>
      </c>
      <c r="B1076" s="22" t="s">
        <v>1709</v>
      </c>
      <c r="C1076" s="22" t="s">
        <v>55</v>
      </c>
      <c r="D1076" s="21" t="s">
        <v>69</v>
      </c>
      <c r="E1076" s="21"/>
      <c r="F1076" s="21"/>
      <c r="G1076" s="21"/>
      <c r="H1076" s="21"/>
      <c r="I1076" s="21">
        <v>7</v>
      </c>
      <c r="J1076" s="24">
        <v>-13.6</v>
      </c>
      <c r="K1076" s="21"/>
    </row>
    <row r="1077" spans="1:11" ht="17.25" customHeight="1" x14ac:dyDescent="0.2">
      <c r="A1077" s="21">
        <v>1076</v>
      </c>
      <c r="B1077" s="22" t="s">
        <v>765</v>
      </c>
      <c r="C1077" s="22" t="s">
        <v>52</v>
      </c>
      <c r="D1077" s="21" t="s">
        <v>69</v>
      </c>
      <c r="E1077" s="21"/>
      <c r="F1077" s="21"/>
      <c r="G1077" s="21"/>
      <c r="H1077" s="21"/>
      <c r="I1077" s="21">
        <v>33.1</v>
      </c>
      <c r="J1077" s="24">
        <v>-13.6</v>
      </c>
      <c r="K1077" s="21"/>
    </row>
    <row r="1078" spans="1:11" ht="17.25" customHeight="1" x14ac:dyDescent="0.2">
      <c r="A1078" s="21">
        <v>1077</v>
      </c>
      <c r="B1078" s="22" t="s">
        <v>1710</v>
      </c>
      <c r="C1078" s="22" t="s">
        <v>32</v>
      </c>
      <c r="D1078" s="21" t="s">
        <v>69</v>
      </c>
      <c r="E1078" s="21"/>
      <c r="F1078" s="21"/>
      <c r="G1078" s="21"/>
      <c r="H1078" s="21"/>
      <c r="I1078" s="21">
        <v>1</v>
      </c>
      <c r="J1078" s="24">
        <v>-13.6</v>
      </c>
      <c r="K1078" s="21"/>
    </row>
    <row r="1079" spans="1:11" ht="17.25" customHeight="1" x14ac:dyDescent="0.2">
      <c r="A1079" s="21">
        <v>1078</v>
      </c>
      <c r="B1079" s="22" t="s">
        <v>1711</v>
      </c>
      <c r="C1079" s="22" t="s">
        <v>64</v>
      </c>
      <c r="D1079" s="21" t="s">
        <v>69</v>
      </c>
      <c r="E1079" s="21"/>
      <c r="F1079" s="21"/>
      <c r="G1079" s="21"/>
      <c r="H1079" s="21"/>
      <c r="I1079" s="21">
        <v>3</v>
      </c>
      <c r="J1079" s="24">
        <v>-13.7</v>
      </c>
      <c r="K1079" s="21"/>
    </row>
    <row r="1080" spans="1:11" ht="17.25" customHeight="1" x14ac:dyDescent="0.2">
      <c r="A1080" s="21">
        <v>1079</v>
      </c>
      <c r="B1080" s="22" t="s">
        <v>1712</v>
      </c>
      <c r="C1080" s="22" t="s">
        <v>39</v>
      </c>
      <c r="D1080" s="21" t="s">
        <v>69</v>
      </c>
      <c r="E1080" s="21"/>
      <c r="F1080" s="21"/>
      <c r="G1080" s="21"/>
      <c r="H1080" s="21"/>
      <c r="I1080" s="21">
        <v>14.1</v>
      </c>
      <c r="J1080" s="24">
        <v>-13.7</v>
      </c>
      <c r="K1080" s="21"/>
    </row>
    <row r="1081" spans="1:11" ht="17.25" customHeight="1" x14ac:dyDescent="0.2">
      <c r="A1081" s="21">
        <v>1080</v>
      </c>
      <c r="B1081" s="22" t="s">
        <v>1713</v>
      </c>
      <c r="C1081" s="21"/>
      <c r="D1081" s="21" t="s">
        <v>69</v>
      </c>
      <c r="E1081" s="21"/>
      <c r="F1081" s="21"/>
      <c r="G1081" s="21"/>
      <c r="H1081" s="21"/>
      <c r="I1081" s="21">
        <v>6</v>
      </c>
      <c r="J1081" s="24">
        <v>-13.7</v>
      </c>
      <c r="K1081" s="21"/>
    </row>
    <row r="1082" spans="1:11" ht="17.25" customHeight="1" x14ac:dyDescent="0.2">
      <c r="A1082" s="21">
        <v>1081</v>
      </c>
      <c r="B1082" s="22" t="s">
        <v>1714</v>
      </c>
      <c r="C1082" s="21"/>
      <c r="D1082" s="21" t="s">
        <v>69</v>
      </c>
      <c r="E1082" s="21"/>
      <c r="F1082" s="21"/>
      <c r="G1082" s="21"/>
      <c r="H1082" s="21"/>
      <c r="I1082" s="21">
        <v>1</v>
      </c>
      <c r="J1082" s="24">
        <v>-13.7</v>
      </c>
      <c r="K1082" s="21"/>
    </row>
    <row r="1083" spans="1:11" ht="16" x14ac:dyDescent="0.2">
      <c r="A1083" s="21">
        <v>1082</v>
      </c>
      <c r="B1083" s="22" t="s">
        <v>1715</v>
      </c>
      <c r="C1083" s="22" t="s">
        <v>15</v>
      </c>
      <c r="D1083" s="21" t="s">
        <v>69</v>
      </c>
      <c r="E1083" s="21"/>
      <c r="F1083" s="21"/>
      <c r="G1083" s="21"/>
      <c r="H1083" s="21"/>
      <c r="I1083" s="21">
        <v>35.1</v>
      </c>
      <c r="J1083" s="24">
        <v>-13.7</v>
      </c>
      <c r="K1083" s="21"/>
    </row>
    <row r="1084" spans="1:11" ht="16" x14ac:dyDescent="0.2">
      <c r="A1084" s="21">
        <v>1083</v>
      </c>
      <c r="B1084" s="22" t="s">
        <v>1716</v>
      </c>
      <c r="C1084" s="22" t="s">
        <v>60</v>
      </c>
      <c r="D1084" s="21" t="s">
        <v>69</v>
      </c>
      <c r="E1084" s="21"/>
      <c r="F1084" s="21"/>
      <c r="G1084" s="21"/>
      <c r="H1084" s="21"/>
      <c r="I1084" s="21">
        <v>49.1</v>
      </c>
      <c r="J1084" s="24">
        <v>-13.7</v>
      </c>
      <c r="K1084" s="21"/>
    </row>
    <row r="1085" spans="1:11" ht="16" x14ac:dyDescent="0.2">
      <c r="A1085" s="21">
        <v>1084</v>
      </c>
      <c r="B1085" s="22" t="s">
        <v>1289</v>
      </c>
      <c r="C1085" s="22" t="s">
        <v>115</v>
      </c>
      <c r="D1085" s="21" t="s">
        <v>40</v>
      </c>
      <c r="E1085" s="21"/>
      <c r="F1085" s="21"/>
      <c r="G1085" s="21"/>
      <c r="H1085" s="21">
        <v>46</v>
      </c>
      <c r="I1085" s="21"/>
      <c r="J1085" s="24">
        <v>-13.8</v>
      </c>
      <c r="K1085" s="21"/>
    </row>
    <row r="1086" spans="1:11" ht="16" x14ac:dyDescent="0.2">
      <c r="A1086" s="21">
        <v>1085</v>
      </c>
      <c r="B1086" s="22" t="s">
        <v>1290</v>
      </c>
      <c r="C1086" s="22" t="s">
        <v>30</v>
      </c>
      <c r="D1086" s="21" t="s">
        <v>25</v>
      </c>
      <c r="E1086" s="21"/>
      <c r="F1086" s="21"/>
      <c r="G1086" s="21"/>
      <c r="H1086" s="21">
        <v>183</v>
      </c>
      <c r="I1086" s="21"/>
      <c r="J1086" s="24">
        <v>-13.8</v>
      </c>
      <c r="K1086" s="21"/>
    </row>
    <row r="1087" spans="1:11" ht="16" x14ac:dyDescent="0.2">
      <c r="A1087" s="21">
        <v>1086</v>
      </c>
      <c r="B1087" s="22" t="s">
        <v>764</v>
      </c>
      <c r="C1087" s="22" t="s">
        <v>36</v>
      </c>
      <c r="D1087" s="21" t="s">
        <v>53</v>
      </c>
      <c r="E1087" s="21"/>
      <c r="F1087" s="21"/>
      <c r="G1087" s="21"/>
      <c r="H1087" s="21">
        <v>300</v>
      </c>
      <c r="I1087" s="21"/>
      <c r="J1087" s="24">
        <v>-13.8</v>
      </c>
      <c r="K1087" s="21"/>
    </row>
    <row r="1088" spans="1:11" ht="16" x14ac:dyDescent="0.2">
      <c r="A1088" s="21">
        <v>1087</v>
      </c>
      <c r="B1088" s="22" t="s">
        <v>864</v>
      </c>
      <c r="C1088" s="21"/>
      <c r="D1088" s="21" t="s">
        <v>69</v>
      </c>
      <c r="E1088" s="21"/>
      <c r="F1088" s="21"/>
      <c r="G1088" s="21"/>
      <c r="H1088" s="21"/>
      <c r="I1088" s="21">
        <v>3.1</v>
      </c>
      <c r="J1088" s="24">
        <v>-13.8</v>
      </c>
      <c r="K1088" s="21"/>
    </row>
    <row r="1089" spans="1:11" ht="16" x14ac:dyDescent="0.2">
      <c r="A1089" s="21">
        <v>1088</v>
      </c>
      <c r="B1089" s="22" t="s">
        <v>1717</v>
      </c>
      <c r="C1089" s="22" t="s">
        <v>42</v>
      </c>
      <c r="D1089" s="21" t="s">
        <v>69</v>
      </c>
      <c r="E1089" s="21"/>
      <c r="F1089" s="21"/>
      <c r="G1089" s="21"/>
      <c r="H1089" s="21"/>
      <c r="I1089" s="21">
        <v>7</v>
      </c>
      <c r="J1089" s="24">
        <v>-13.8</v>
      </c>
      <c r="K1089" s="21"/>
    </row>
    <row r="1090" spans="1:11" ht="16" x14ac:dyDescent="0.2">
      <c r="A1090" s="21">
        <v>1089</v>
      </c>
      <c r="B1090" s="22" t="s">
        <v>1718</v>
      </c>
      <c r="C1090" s="22" t="s">
        <v>117</v>
      </c>
      <c r="D1090" s="21" t="s">
        <v>69</v>
      </c>
      <c r="E1090" s="21"/>
      <c r="F1090" s="21"/>
      <c r="G1090" s="21"/>
      <c r="H1090" s="21"/>
      <c r="I1090" s="21">
        <v>20</v>
      </c>
      <c r="J1090" s="24">
        <v>-13.8</v>
      </c>
      <c r="K1090" s="21"/>
    </row>
    <row r="1091" spans="1:11" ht="16" x14ac:dyDescent="0.2">
      <c r="A1091" s="21">
        <v>1090</v>
      </c>
      <c r="B1091" s="22" t="s">
        <v>1291</v>
      </c>
      <c r="C1091" s="22" t="s">
        <v>52</v>
      </c>
      <c r="D1091" s="21" t="s">
        <v>479</v>
      </c>
      <c r="E1091" s="21"/>
      <c r="F1091" s="21"/>
      <c r="G1091" s="21"/>
      <c r="H1091" s="21">
        <v>225</v>
      </c>
      <c r="I1091" s="21"/>
      <c r="J1091" s="24">
        <v>-13.9</v>
      </c>
      <c r="K1091" s="21"/>
    </row>
    <row r="1092" spans="1:11" ht="16" x14ac:dyDescent="0.2">
      <c r="A1092" s="21">
        <v>1091</v>
      </c>
      <c r="B1092" s="22" t="s">
        <v>1719</v>
      </c>
      <c r="C1092" s="22" t="s">
        <v>50</v>
      </c>
      <c r="D1092" s="21" t="s">
        <v>28</v>
      </c>
      <c r="E1092" s="21"/>
      <c r="F1092" s="21"/>
      <c r="G1092" s="21"/>
      <c r="H1092" s="21"/>
      <c r="I1092" s="21">
        <v>55</v>
      </c>
      <c r="J1092" s="24">
        <v>-13.9</v>
      </c>
      <c r="K1092" s="21"/>
    </row>
    <row r="1093" spans="1:11" ht="16" x14ac:dyDescent="0.2">
      <c r="A1093" s="21">
        <v>1092</v>
      </c>
      <c r="B1093" s="22" t="s">
        <v>415</v>
      </c>
      <c r="C1093" s="22" t="s">
        <v>39</v>
      </c>
      <c r="D1093" s="21" t="s">
        <v>69</v>
      </c>
      <c r="E1093" s="21"/>
      <c r="F1093" s="21"/>
      <c r="G1093" s="21"/>
      <c r="H1093" s="21"/>
      <c r="I1093" s="21">
        <v>1</v>
      </c>
      <c r="J1093" s="24">
        <v>-13.9</v>
      </c>
      <c r="K1093" s="21"/>
    </row>
    <row r="1094" spans="1:11" ht="16" x14ac:dyDescent="0.2">
      <c r="A1094" s="21">
        <v>1093</v>
      </c>
      <c r="B1094" s="22" t="s">
        <v>435</v>
      </c>
      <c r="C1094" s="22" t="s">
        <v>32</v>
      </c>
      <c r="D1094" s="21" t="s">
        <v>25</v>
      </c>
      <c r="E1094" s="21"/>
      <c r="F1094" s="21"/>
      <c r="G1094" s="21"/>
      <c r="H1094" s="21">
        <v>172</v>
      </c>
      <c r="I1094" s="21"/>
      <c r="J1094" s="24">
        <v>-13.9</v>
      </c>
      <c r="K1094" s="21"/>
    </row>
    <row r="1095" spans="1:11" ht="16" x14ac:dyDescent="0.2">
      <c r="A1095" s="21">
        <v>1094</v>
      </c>
      <c r="B1095" s="22" t="s">
        <v>955</v>
      </c>
      <c r="C1095" s="22" t="s">
        <v>66</v>
      </c>
      <c r="D1095" s="21" t="s">
        <v>69</v>
      </c>
      <c r="E1095" s="21"/>
      <c r="F1095" s="21"/>
      <c r="G1095" s="21"/>
      <c r="H1095" s="21"/>
      <c r="I1095" s="21">
        <v>1</v>
      </c>
      <c r="J1095" s="24">
        <v>-14</v>
      </c>
      <c r="K1095" s="21"/>
    </row>
    <row r="1096" spans="1:11" ht="16" x14ac:dyDescent="0.2">
      <c r="A1096" s="21">
        <v>1095</v>
      </c>
      <c r="B1096" s="22" t="s">
        <v>735</v>
      </c>
      <c r="C1096" s="22" t="s">
        <v>125</v>
      </c>
      <c r="D1096" s="21" t="s">
        <v>69</v>
      </c>
      <c r="E1096" s="21"/>
      <c r="F1096" s="21"/>
      <c r="G1096" s="21"/>
      <c r="H1096" s="21"/>
      <c r="I1096" s="21">
        <v>1</v>
      </c>
      <c r="J1096" s="24">
        <v>-14</v>
      </c>
      <c r="K1096" s="21"/>
    </row>
    <row r="1097" spans="1:11" ht="16" x14ac:dyDescent="0.2">
      <c r="A1097" s="21">
        <v>1096</v>
      </c>
      <c r="B1097" s="22" t="s">
        <v>1720</v>
      </c>
      <c r="C1097" s="21"/>
      <c r="D1097" s="21" t="s">
        <v>69</v>
      </c>
      <c r="E1097" s="21"/>
      <c r="F1097" s="21"/>
      <c r="G1097" s="21"/>
      <c r="H1097" s="21"/>
      <c r="I1097" s="21">
        <v>6</v>
      </c>
      <c r="J1097" s="24">
        <v>-14</v>
      </c>
      <c r="K1097" s="21"/>
    </row>
    <row r="1098" spans="1:11" ht="16" x14ac:dyDescent="0.2">
      <c r="A1098" s="21">
        <v>1097</v>
      </c>
      <c r="B1098" s="22" t="s">
        <v>1721</v>
      </c>
      <c r="C1098" s="21"/>
      <c r="D1098" s="21" t="s">
        <v>69</v>
      </c>
      <c r="E1098" s="21"/>
      <c r="F1098" s="21"/>
      <c r="G1098" s="21"/>
      <c r="H1098" s="21"/>
      <c r="I1098" s="21">
        <v>25</v>
      </c>
      <c r="J1098" s="24">
        <v>-14</v>
      </c>
      <c r="K1098" s="21"/>
    </row>
    <row r="1099" spans="1:11" ht="16" x14ac:dyDescent="0.2">
      <c r="A1099" s="21">
        <v>1098</v>
      </c>
      <c r="B1099" s="22" t="s">
        <v>1722</v>
      </c>
      <c r="C1099" s="22" t="s">
        <v>50</v>
      </c>
      <c r="D1099" s="21" t="s">
        <v>69</v>
      </c>
      <c r="E1099" s="21"/>
      <c r="F1099" s="21"/>
      <c r="G1099" s="21"/>
      <c r="H1099" s="21"/>
      <c r="I1099" s="21">
        <v>10.1</v>
      </c>
      <c r="J1099" s="24">
        <v>-14</v>
      </c>
      <c r="K1099" s="21"/>
    </row>
    <row r="1100" spans="1:11" ht="16" x14ac:dyDescent="0.2">
      <c r="A1100" s="21">
        <v>1099</v>
      </c>
      <c r="B1100" s="22" t="s">
        <v>1723</v>
      </c>
      <c r="C1100" s="22" t="s">
        <v>52</v>
      </c>
      <c r="D1100" s="21" t="s">
        <v>69</v>
      </c>
      <c r="E1100" s="21"/>
      <c r="F1100" s="21"/>
      <c r="G1100" s="21"/>
      <c r="H1100" s="21"/>
      <c r="I1100" s="21">
        <v>29.1</v>
      </c>
      <c r="J1100" s="24">
        <v>-14</v>
      </c>
      <c r="K1100" s="21"/>
    </row>
    <row r="1101" spans="1:11" ht="16" x14ac:dyDescent="0.2">
      <c r="A1101" s="21">
        <v>1100</v>
      </c>
      <c r="B1101" s="22" t="s">
        <v>1724</v>
      </c>
      <c r="C1101" s="22" t="s">
        <v>55</v>
      </c>
      <c r="D1101" s="21" t="s">
        <v>69</v>
      </c>
      <c r="E1101" s="21"/>
      <c r="F1101" s="21"/>
      <c r="G1101" s="21"/>
      <c r="H1101" s="21"/>
      <c r="I1101" s="21">
        <v>36</v>
      </c>
      <c r="J1101" s="24">
        <v>-14</v>
      </c>
      <c r="K1101" s="21"/>
    </row>
    <row r="1102" spans="1:11" ht="16" x14ac:dyDescent="0.2">
      <c r="A1102" s="21">
        <v>1101</v>
      </c>
      <c r="B1102" s="22" t="s">
        <v>692</v>
      </c>
      <c r="C1102" s="22" t="s">
        <v>46</v>
      </c>
      <c r="D1102" s="21" t="s">
        <v>69</v>
      </c>
      <c r="E1102" s="21"/>
      <c r="F1102" s="21"/>
      <c r="G1102" s="21"/>
      <c r="H1102" s="21"/>
      <c r="I1102" s="21">
        <v>14.1</v>
      </c>
      <c r="J1102" s="24">
        <v>-14</v>
      </c>
      <c r="K1102" s="21"/>
    </row>
    <row r="1103" spans="1:11" ht="16" x14ac:dyDescent="0.2">
      <c r="A1103" s="21">
        <v>1102</v>
      </c>
      <c r="B1103" s="22" t="s">
        <v>315</v>
      </c>
      <c r="C1103" s="21"/>
      <c r="D1103" s="21" t="s">
        <v>69</v>
      </c>
      <c r="E1103" s="21"/>
      <c r="F1103" s="21"/>
      <c r="G1103" s="21"/>
      <c r="H1103" s="21"/>
      <c r="I1103" s="21">
        <v>6</v>
      </c>
      <c r="J1103" s="24">
        <v>-14</v>
      </c>
      <c r="K1103" s="21"/>
    </row>
    <row r="1104" spans="1:11" ht="16" x14ac:dyDescent="0.2">
      <c r="A1104" s="21">
        <v>1103</v>
      </c>
      <c r="B1104" s="22" t="s">
        <v>1725</v>
      </c>
      <c r="C1104" s="22" t="s">
        <v>34</v>
      </c>
      <c r="D1104" s="21" t="s">
        <v>69</v>
      </c>
      <c r="E1104" s="21"/>
      <c r="F1104" s="21"/>
      <c r="G1104" s="21"/>
      <c r="H1104" s="21"/>
      <c r="I1104" s="21">
        <v>4.0999999999999996</v>
      </c>
      <c r="J1104" s="24">
        <v>-14</v>
      </c>
      <c r="K1104" s="21"/>
    </row>
    <row r="1105" spans="1:11" ht="16" x14ac:dyDescent="0.2">
      <c r="A1105" s="21">
        <v>1104</v>
      </c>
      <c r="B1105" s="22" t="s">
        <v>1726</v>
      </c>
      <c r="C1105" s="22" t="s">
        <v>12</v>
      </c>
      <c r="D1105" s="21" t="s">
        <v>69</v>
      </c>
      <c r="E1105" s="21"/>
      <c r="F1105" s="21"/>
      <c r="G1105" s="21"/>
      <c r="H1105" s="21"/>
      <c r="I1105" s="21">
        <v>0</v>
      </c>
      <c r="J1105" s="24">
        <v>-14.1</v>
      </c>
      <c r="K1105" s="21"/>
    </row>
    <row r="1106" spans="1:11" ht="16" x14ac:dyDescent="0.2">
      <c r="A1106" s="21">
        <v>1105</v>
      </c>
      <c r="B1106" s="22" t="s">
        <v>1727</v>
      </c>
      <c r="C1106" s="22" t="s">
        <v>24</v>
      </c>
      <c r="D1106" s="21" t="s">
        <v>69</v>
      </c>
      <c r="E1106" s="21"/>
      <c r="F1106" s="21"/>
      <c r="G1106" s="21"/>
      <c r="H1106" s="21"/>
      <c r="I1106" s="21">
        <v>2.1</v>
      </c>
      <c r="J1106" s="24">
        <v>-14.1</v>
      </c>
      <c r="K1106" s="21"/>
    </row>
    <row r="1107" spans="1:11" ht="16" x14ac:dyDescent="0.2">
      <c r="A1107" s="21">
        <v>1106</v>
      </c>
      <c r="B1107" s="22" t="s">
        <v>386</v>
      </c>
      <c r="C1107" s="22" t="s">
        <v>48</v>
      </c>
      <c r="D1107" s="21" t="s">
        <v>13</v>
      </c>
      <c r="E1107" s="21"/>
      <c r="F1107" s="21"/>
      <c r="G1107" s="21"/>
      <c r="H1107" s="21">
        <v>205</v>
      </c>
      <c r="I1107" s="21"/>
      <c r="J1107" s="24">
        <v>-14.1</v>
      </c>
      <c r="K1107" s="21"/>
    </row>
    <row r="1108" spans="1:11" ht="16" x14ac:dyDescent="0.2">
      <c r="A1108" s="21">
        <v>1107</v>
      </c>
      <c r="B1108" s="22" t="s">
        <v>346</v>
      </c>
      <c r="C1108" s="22" t="s">
        <v>12</v>
      </c>
      <c r="D1108" s="21" t="s">
        <v>69</v>
      </c>
      <c r="E1108" s="21"/>
      <c r="F1108" s="21"/>
      <c r="G1108" s="21"/>
      <c r="H1108" s="21"/>
      <c r="I1108" s="21">
        <v>26.1</v>
      </c>
      <c r="J1108" s="24">
        <v>-14.1</v>
      </c>
      <c r="K1108" s="21"/>
    </row>
    <row r="1109" spans="1:11" ht="16" x14ac:dyDescent="0.2">
      <c r="A1109" s="21">
        <v>1108</v>
      </c>
      <c r="B1109" s="22" t="s">
        <v>1728</v>
      </c>
      <c r="C1109" s="22" t="s">
        <v>52</v>
      </c>
      <c r="D1109" s="21" t="s">
        <v>69</v>
      </c>
      <c r="E1109" s="21"/>
      <c r="F1109" s="21"/>
      <c r="G1109" s="21"/>
      <c r="H1109" s="21"/>
      <c r="I1109" s="21">
        <v>12</v>
      </c>
      <c r="J1109" s="24">
        <v>-14.1</v>
      </c>
      <c r="K1109" s="21"/>
    </row>
    <row r="1110" spans="1:11" ht="16" x14ac:dyDescent="0.2">
      <c r="A1110" s="21">
        <v>1109</v>
      </c>
      <c r="B1110" s="22" t="s">
        <v>1729</v>
      </c>
      <c r="C1110" s="22" t="s">
        <v>46</v>
      </c>
      <c r="D1110" s="21" t="s">
        <v>69</v>
      </c>
      <c r="E1110" s="21"/>
      <c r="F1110" s="21"/>
      <c r="G1110" s="21"/>
      <c r="H1110" s="21"/>
      <c r="I1110" s="21">
        <v>10.1</v>
      </c>
      <c r="J1110" s="24">
        <v>-14.1</v>
      </c>
      <c r="K1110" s="21"/>
    </row>
    <row r="1111" spans="1:11" ht="16" x14ac:dyDescent="0.2">
      <c r="A1111" s="21">
        <v>1110</v>
      </c>
      <c r="B1111" s="22" t="s">
        <v>702</v>
      </c>
      <c r="C1111" s="22" t="s">
        <v>89</v>
      </c>
      <c r="D1111" s="21" t="s">
        <v>28</v>
      </c>
      <c r="E1111" s="21"/>
      <c r="F1111" s="21"/>
      <c r="G1111" s="21"/>
      <c r="H1111" s="21"/>
      <c r="I1111" s="21">
        <v>162.1</v>
      </c>
      <c r="J1111" s="24">
        <v>-14.1</v>
      </c>
      <c r="K1111" s="21"/>
    </row>
    <row r="1112" spans="1:11" ht="16" x14ac:dyDescent="0.2">
      <c r="A1112" s="21">
        <v>1111</v>
      </c>
      <c r="B1112" s="22" t="s">
        <v>356</v>
      </c>
      <c r="C1112" s="22" t="s">
        <v>39</v>
      </c>
      <c r="D1112" s="21" t="s">
        <v>25</v>
      </c>
      <c r="E1112" s="21"/>
      <c r="F1112" s="21"/>
      <c r="G1112" s="21"/>
      <c r="H1112" s="21">
        <v>171</v>
      </c>
      <c r="I1112" s="21"/>
      <c r="J1112" s="24">
        <v>-14.2</v>
      </c>
      <c r="K1112" s="21"/>
    </row>
    <row r="1113" spans="1:11" ht="16" x14ac:dyDescent="0.2">
      <c r="A1113" s="21">
        <v>1112</v>
      </c>
      <c r="B1113" s="22" t="s">
        <v>1730</v>
      </c>
      <c r="C1113" s="22" t="s">
        <v>52</v>
      </c>
      <c r="D1113" s="21" t="s">
        <v>69</v>
      </c>
      <c r="E1113" s="21"/>
      <c r="F1113" s="21"/>
      <c r="G1113" s="21"/>
      <c r="H1113" s="21"/>
      <c r="I1113" s="21">
        <v>13</v>
      </c>
      <c r="J1113" s="24">
        <v>-14.2</v>
      </c>
      <c r="K1113" s="21"/>
    </row>
    <row r="1114" spans="1:11" ht="16" x14ac:dyDescent="0.2">
      <c r="A1114" s="21">
        <v>1113</v>
      </c>
      <c r="B1114" s="22" t="s">
        <v>615</v>
      </c>
      <c r="C1114" s="22" t="s">
        <v>117</v>
      </c>
      <c r="D1114" s="21" t="s">
        <v>69</v>
      </c>
      <c r="E1114" s="21"/>
      <c r="F1114" s="21"/>
      <c r="G1114" s="21"/>
      <c r="H1114" s="21"/>
      <c r="I1114" s="21">
        <v>67.099999999999994</v>
      </c>
      <c r="J1114" s="24">
        <v>-14.2</v>
      </c>
      <c r="K1114" s="21"/>
    </row>
    <row r="1115" spans="1:11" ht="16" x14ac:dyDescent="0.2">
      <c r="A1115" s="21">
        <v>1114</v>
      </c>
      <c r="B1115" s="22" t="s">
        <v>1731</v>
      </c>
      <c r="C1115" s="22" t="s">
        <v>125</v>
      </c>
      <c r="D1115" s="21" t="s">
        <v>69</v>
      </c>
      <c r="E1115" s="21"/>
      <c r="F1115" s="21"/>
      <c r="G1115" s="21"/>
      <c r="H1115" s="21"/>
      <c r="I1115" s="21">
        <v>13.1</v>
      </c>
      <c r="J1115" s="24">
        <v>-14.2</v>
      </c>
      <c r="K1115" s="21"/>
    </row>
    <row r="1116" spans="1:11" ht="16" x14ac:dyDescent="0.2">
      <c r="A1116" s="21">
        <v>1115</v>
      </c>
      <c r="B1116" s="22" t="s">
        <v>504</v>
      </c>
      <c r="C1116" s="21"/>
      <c r="D1116" s="21" t="s">
        <v>69</v>
      </c>
      <c r="E1116" s="21"/>
      <c r="F1116" s="21"/>
      <c r="G1116" s="21"/>
      <c r="H1116" s="21"/>
      <c r="I1116" s="21">
        <v>14</v>
      </c>
      <c r="J1116" s="24">
        <v>-14.2</v>
      </c>
      <c r="K1116" s="21"/>
    </row>
    <row r="1117" spans="1:11" ht="16" x14ac:dyDescent="0.2">
      <c r="A1117" s="21">
        <v>1116</v>
      </c>
      <c r="B1117" s="22" t="s">
        <v>1732</v>
      </c>
      <c r="C1117" s="21"/>
      <c r="D1117" s="21" t="s">
        <v>69</v>
      </c>
      <c r="E1117" s="21"/>
      <c r="F1117" s="21"/>
      <c r="G1117" s="21"/>
      <c r="H1117" s="21"/>
      <c r="I1117" s="21">
        <v>12</v>
      </c>
      <c r="J1117" s="24">
        <v>-14.2</v>
      </c>
      <c r="K1117" s="21"/>
    </row>
    <row r="1118" spans="1:11" ht="16" x14ac:dyDescent="0.2">
      <c r="A1118" s="21">
        <v>1117</v>
      </c>
      <c r="B1118" s="22" t="s">
        <v>545</v>
      </c>
      <c r="C1118" s="22" t="s">
        <v>115</v>
      </c>
      <c r="D1118" s="21" t="s">
        <v>69</v>
      </c>
      <c r="E1118" s="21"/>
      <c r="F1118" s="21"/>
      <c r="G1118" s="21"/>
      <c r="H1118" s="21"/>
      <c r="I1118" s="21">
        <v>56</v>
      </c>
      <c r="J1118" s="24">
        <v>-14.2</v>
      </c>
      <c r="K1118" s="21"/>
    </row>
    <row r="1119" spans="1:11" ht="16" x14ac:dyDescent="0.2">
      <c r="A1119" s="21">
        <v>1118</v>
      </c>
      <c r="B1119" s="22" t="s">
        <v>269</v>
      </c>
      <c r="C1119" s="22" t="s">
        <v>24</v>
      </c>
      <c r="D1119" s="21" t="s">
        <v>69</v>
      </c>
      <c r="E1119" s="21"/>
      <c r="F1119" s="21"/>
      <c r="G1119" s="21"/>
      <c r="H1119" s="21"/>
      <c r="I1119" s="21">
        <v>15</v>
      </c>
      <c r="J1119" s="24">
        <v>-14.3</v>
      </c>
      <c r="K1119" s="21"/>
    </row>
    <row r="1120" spans="1:11" ht="16" x14ac:dyDescent="0.2">
      <c r="A1120" s="21">
        <v>1119</v>
      </c>
      <c r="B1120" s="22" t="s">
        <v>557</v>
      </c>
      <c r="C1120" s="22" t="s">
        <v>313</v>
      </c>
      <c r="D1120" s="21" t="s">
        <v>28</v>
      </c>
      <c r="E1120" s="21"/>
      <c r="F1120" s="21"/>
      <c r="G1120" s="21"/>
      <c r="H1120" s="21"/>
      <c r="I1120" s="21">
        <v>103.1</v>
      </c>
      <c r="J1120" s="24">
        <v>-14.3</v>
      </c>
      <c r="K1120" s="21"/>
    </row>
    <row r="1121" spans="1:11" ht="16" x14ac:dyDescent="0.2">
      <c r="A1121" s="21">
        <v>1120</v>
      </c>
      <c r="B1121" s="22" t="s">
        <v>1733</v>
      </c>
      <c r="C1121" s="22" t="s">
        <v>60</v>
      </c>
      <c r="D1121" s="21" t="s">
        <v>69</v>
      </c>
      <c r="E1121" s="21"/>
      <c r="F1121" s="21"/>
      <c r="G1121" s="21"/>
      <c r="H1121" s="21"/>
      <c r="I1121" s="21">
        <v>1</v>
      </c>
      <c r="J1121" s="24">
        <v>-14.3</v>
      </c>
      <c r="K1121" s="21"/>
    </row>
    <row r="1122" spans="1:11" ht="16" x14ac:dyDescent="0.2">
      <c r="A1122" s="21">
        <v>1121</v>
      </c>
      <c r="B1122" s="22" t="s">
        <v>1734</v>
      </c>
      <c r="C1122" s="22" t="s">
        <v>211</v>
      </c>
      <c r="D1122" s="21" t="s">
        <v>69</v>
      </c>
      <c r="E1122" s="21"/>
      <c r="F1122" s="21"/>
      <c r="G1122" s="21"/>
      <c r="H1122" s="21"/>
      <c r="I1122" s="21">
        <v>3.1</v>
      </c>
      <c r="J1122" s="24">
        <v>-14.3</v>
      </c>
      <c r="K1122" s="21"/>
    </row>
    <row r="1123" spans="1:11" ht="16" x14ac:dyDescent="0.2">
      <c r="A1123" s="21">
        <v>1122</v>
      </c>
      <c r="B1123" s="22" t="s">
        <v>958</v>
      </c>
      <c r="C1123" s="21"/>
      <c r="D1123" s="21" t="s">
        <v>69</v>
      </c>
      <c r="E1123" s="21"/>
      <c r="F1123" s="21"/>
      <c r="G1123" s="21"/>
      <c r="H1123" s="21"/>
      <c r="I1123" s="21">
        <v>1</v>
      </c>
      <c r="J1123" s="24">
        <v>-14.3</v>
      </c>
      <c r="K1123" s="21"/>
    </row>
    <row r="1124" spans="1:11" ht="16" x14ac:dyDescent="0.2">
      <c r="A1124" s="21">
        <v>1123</v>
      </c>
      <c r="B1124" s="22" t="s">
        <v>585</v>
      </c>
      <c r="C1124" s="21"/>
      <c r="D1124" s="21" t="s">
        <v>69</v>
      </c>
      <c r="E1124" s="21"/>
      <c r="F1124" s="21"/>
      <c r="G1124" s="21"/>
      <c r="H1124" s="21"/>
      <c r="I1124" s="21">
        <v>9</v>
      </c>
      <c r="J1124" s="24">
        <v>-14.3</v>
      </c>
      <c r="K1124" s="21"/>
    </row>
    <row r="1125" spans="1:11" ht="16" x14ac:dyDescent="0.2">
      <c r="A1125" s="21">
        <v>1124</v>
      </c>
      <c r="B1125" s="22" t="s">
        <v>1735</v>
      </c>
      <c r="C1125" s="21"/>
      <c r="D1125" s="21" t="s">
        <v>69</v>
      </c>
      <c r="E1125" s="21"/>
      <c r="F1125" s="21"/>
      <c r="G1125" s="21"/>
      <c r="H1125" s="21"/>
      <c r="I1125" s="21">
        <v>27</v>
      </c>
      <c r="J1125" s="24">
        <v>-14.3</v>
      </c>
      <c r="K1125" s="21"/>
    </row>
    <row r="1126" spans="1:11" ht="16" x14ac:dyDescent="0.2">
      <c r="A1126" s="21">
        <v>1125</v>
      </c>
      <c r="B1126" s="22" t="s">
        <v>683</v>
      </c>
      <c r="C1126" s="22" t="s">
        <v>46</v>
      </c>
      <c r="D1126" s="21" t="s">
        <v>87</v>
      </c>
      <c r="E1126" s="21"/>
      <c r="F1126" s="21"/>
      <c r="G1126" s="21"/>
      <c r="H1126" s="21">
        <v>193</v>
      </c>
      <c r="I1126" s="21"/>
      <c r="J1126" s="24">
        <v>-14.3</v>
      </c>
      <c r="K1126" s="21"/>
    </row>
    <row r="1127" spans="1:11" ht="16" x14ac:dyDescent="0.2">
      <c r="A1127" s="21">
        <v>1126</v>
      </c>
      <c r="B1127" s="22" t="s">
        <v>1736</v>
      </c>
      <c r="C1127" s="22" t="s">
        <v>36</v>
      </c>
      <c r="D1127" s="21" t="s">
        <v>69</v>
      </c>
      <c r="E1127" s="21"/>
      <c r="F1127" s="21"/>
      <c r="G1127" s="21"/>
      <c r="H1127" s="21"/>
      <c r="I1127" s="21">
        <v>3.1</v>
      </c>
      <c r="J1127" s="24">
        <v>-14.4</v>
      </c>
      <c r="K1127" s="21"/>
    </row>
    <row r="1128" spans="1:11" ht="16" x14ac:dyDescent="0.2">
      <c r="A1128" s="21">
        <v>1127</v>
      </c>
      <c r="B1128" s="22" t="s">
        <v>1737</v>
      </c>
      <c r="C1128" s="22" t="s">
        <v>30</v>
      </c>
      <c r="D1128" s="21" t="s">
        <v>69</v>
      </c>
      <c r="E1128" s="21"/>
      <c r="F1128" s="21"/>
      <c r="G1128" s="21"/>
      <c r="H1128" s="21"/>
      <c r="I1128" s="21">
        <v>26.1</v>
      </c>
      <c r="J1128" s="24">
        <v>-14.4</v>
      </c>
      <c r="K1128" s="21"/>
    </row>
    <row r="1129" spans="1:11" ht="16" x14ac:dyDescent="0.2">
      <c r="A1129" s="21">
        <v>1128</v>
      </c>
      <c r="B1129" s="22" t="s">
        <v>1738</v>
      </c>
      <c r="C1129" s="21"/>
      <c r="D1129" s="21" t="s">
        <v>69</v>
      </c>
      <c r="E1129" s="21"/>
      <c r="F1129" s="21"/>
      <c r="G1129" s="21"/>
      <c r="H1129" s="21"/>
      <c r="I1129" s="21">
        <v>25</v>
      </c>
      <c r="J1129" s="24">
        <v>-14.4</v>
      </c>
      <c r="K1129" s="21"/>
    </row>
    <row r="1130" spans="1:11" ht="16" x14ac:dyDescent="0.2">
      <c r="A1130" s="21">
        <v>1129</v>
      </c>
      <c r="B1130" s="22" t="s">
        <v>1739</v>
      </c>
      <c r="C1130" s="22" t="s">
        <v>115</v>
      </c>
      <c r="D1130" s="21" t="s">
        <v>69</v>
      </c>
      <c r="E1130" s="21"/>
      <c r="F1130" s="21"/>
      <c r="G1130" s="21"/>
      <c r="H1130" s="21"/>
      <c r="I1130" s="21">
        <v>44</v>
      </c>
      <c r="J1130" s="24">
        <v>-14.4</v>
      </c>
      <c r="K1130" s="21"/>
    </row>
    <row r="1131" spans="1:11" ht="16" x14ac:dyDescent="0.2">
      <c r="A1131" s="21">
        <v>1130</v>
      </c>
      <c r="B1131" s="22" t="s">
        <v>617</v>
      </c>
      <c r="C1131" s="22" t="s">
        <v>57</v>
      </c>
      <c r="D1131" s="21" t="s">
        <v>69</v>
      </c>
      <c r="E1131" s="21"/>
      <c r="F1131" s="21"/>
      <c r="G1131" s="21"/>
      <c r="H1131" s="21"/>
      <c r="I1131" s="21">
        <v>29</v>
      </c>
      <c r="J1131" s="24">
        <v>-14.4</v>
      </c>
      <c r="K1131" s="21"/>
    </row>
    <row r="1132" spans="1:11" ht="16" x14ac:dyDescent="0.2">
      <c r="A1132" s="21">
        <v>1131</v>
      </c>
      <c r="B1132" s="22" t="s">
        <v>1740</v>
      </c>
      <c r="C1132" s="22" t="s">
        <v>39</v>
      </c>
      <c r="D1132" s="21" t="s">
        <v>69</v>
      </c>
      <c r="E1132" s="21"/>
      <c r="F1132" s="21"/>
      <c r="G1132" s="21"/>
      <c r="H1132" s="21"/>
      <c r="I1132" s="21">
        <v>9.1</v>
      </c>
      <c r="J1132" s="24">
        <v>-14.4</v>
      </c>
      <c r="K1132" s="21"/>
    </row>
    <row r="1133" spans="1:11" ht="16" x14ac:dyDescent="0.2">
      <c r="A1133" s="21">
        <v>1132</v>
      </c>
      <c r="B1133" s="22" t="s">
        <v>816</v>
      </c>
      <c r="C1133" s="21"/>
      <c r="D1133" s="21" t="s">
        <v>69</v>
      </c>
      <c r="E1133" s="21"/>
      <c r="F1133" s="21"/>
      <c r="G1133" s="21"/>
      <c r="H1133" s="21"/>
      <c r="I1133" s="21">
        <v>8</v>
      </c>
      <c r="J1133" s="24">
        <v>-14.4</v>
      </c>
      <c r="K1133" s="21"/>
    </row>
    <row r="1134" spans="1:11" ht="16" x14ac:dyDescent="0.2">
      <c r="A1134" s="21">
        <v>1133</v>
      </c>
      <c r="B1134" s="22" t="s">
        <v>1292</v>
      </c>
      <c r="C1134" s="22" t="s">
        <v>30</v>
      </c>
      <c r="D1134" s="21" t="s">
        <v>74</v>
      </c>
      <c r="E1134" s="21"/>
      <c r="F1134" s="21"/>
      <c r="G1134" s="21"/>
      <c r="H1134" s="21">
        <v>47</v>
      </c>
      <c r="I1134" s="21"/>
      <c r="J1134" s="24">
        <v>-14.4</v>
      </c>
      <c r="K1134" s="21"/>
    </row>
    <row r="1135" spans="1:11" ht="16" x14ac:dyDescent="0.2">
      <c r="A1135" s="21">
        <v>1134</v>
      </c>
      <c r="B1135" s="22" t="s">
        <v>1741</v>
      </c>
      <c r="C1135" s="22" t="s">
        <v>52</v>
      </c>
      <c r="D1135" s="21" t="s">
        <v>69</v>
      </c>
      <c r="E1135" s="21"/>
      <c r="F1135" s="21"/>
      <c r="G1135" s="21"/>
      <c r="H1135" s="21"/>
      <c r="I1135" s="21">
        <v>7.1</v>
      </c>
      <c r="J1135" s="24">
        <v>-14.5</v>
      </c>
      <c r="K1135" s="21"/>
    </row>
    <row r="1136" spans="1:11" ht="16" x14ac:dyDescent="0.2">
      <c r="A1136" s="21">
        <v>1135</v>
      </c>
      <c r="B1136" s="22" t="s">
        <v>699</v>
      </c>
      <c r="C1136" s="22" t="s">
        <v>32</v>
      </c>
      <c r="D1136" s="21" t="s">
        <v>69</v>
      </c>
      <c r="E1136" s="21"/>
      <c r="F1136" s="21"/>
      <c r="G1136" s="21"/>
      <c r="H1136" s="21"/>
      <c r="I1136" s="21">
        <v>5.0999999999999996</v>
      </c>
      <c r="J1136" s="24">
        <v>-14.5</v>
      </c>
      <c r="K1136" s="21"/>
    </row>
    <row r="1137" spans="1:11" ht="16" x14ac:dyDescent="0.2">
      <c r="A1137" s="21">
        <v>1136</v>
      </c>
      <c r="B1137" s="22" t="s">
        <v>374</v>
      </c>
      <c r="C1137" s="22" t="s">
        <v>18</v>
      </c>
      <c r="D1137" s="21" t="s">
        <v>69</v>
      </c>
      <c r="E1137" s="21"/>
      <c r="F1137" s="21"/>
      <c r="G1137" s="21"/>
      <c r="H1137" s="21"/>
      <c r="I1137" s="21">
        <v>26.1</v>
      </c>
      <c r="J1137" s="24">
        <v>-14.5</v>
      </c>
      <c r="K1137" s="21"/>
    </row>
    <row r="1138" spans="1:11" ht="16" x14ac:dyDescent="0.2">
      <c r="A1138" s="21">
        <v>1137</v>
      </c>
      <c r="B1138" s="22" t="s">
        <v>851</v>
      </c>
      <c r="C1138" s="22" t="s">
        <v>27</v>
      </c>
      <c r="D1138" s="21" t="s">
        <v>19</v>
      </c>
      <c r="E1138" s="21"/>
      <c r="F1138" s="21"/>
      <c r="G1138" s="21"/>
      <c r="H1138" s="21">
        <v>326</v>
      </c>
      <c r="I1138" s="21"/>
      <c r="J1138" s="24">
        <v>-14.5</v>
      </c>
      <c r="K1138" s="21"/>
    </row>
    <row r="1139" spans="1:11" ht="16" x14ac:dyDescent="0.2">
      <c r="A1139" s="21">
        <v>1138</v>
      </c>
      <c r="B1139" s="22" t="s">
        <v>744</v>
      </c>
      <c r="C1139" s="22" t="s">
        <v>52</v>
      </c>
      <c r="D1139" s="21" t="s">
        <v>69</v>
      </c>
      <c r="E1139" s="21"/>
      <c r="F1139" s="21"/>
      <c r="G1139" s="21"/>
      <c r="H1139" s="21"/>
      <c r="I1139" s="21">
        <v>22</v>
      </c>
      <c r="J1139" s="24">
        <v>-14.5</v>
      </c>
      <c r="K1139" s="21"/>
    </row>
    <row r="1140" spans="1:11" ht="16" x14ac:dyDescent="0.2">
      <c r="A1140" s="21">
        <v>1139</v>
      </c>
      <c r="B1140" s="22" t="s">
        <v>364</v>
      </c>
      <c r="C1140" s="22" t="s">
        <v>64</v>
      </c>
      <c r="D1140" s="21" t="s">
        <v>69</v>
      </c>
      <c r="E1140" s="21"/>
      <c r="F1140" s="21"/>
      <c r="G1140" s="21"/>
      <c r="H1140" s="21"/>
      <c r="I1140" s="21">
        <v>33</v>
      </c>
      <c r="J1140" s="24">
        <v>-14.5</v>
      </c>
      <c r="K1140" s="21"/>
    </row>
    <row r="1141" spans="1:11" ht="16" x14ac:dyDescent="0.2">
      <c r="A1141" s="21">
        <v>1140</v>
      </c>
      <c r="B1141" s="22" t="s">
        <v>1742</v>
      </c>
      <c r="C1141" s="22" t="s">
        <v>115</v>
      </c>
      <c r="D1141" s="21" t="s">
        <v>69</v>
      </c>
      <c r="E1141" s="21"/>
      <c r="F1141" s="21"/>
      <c r="G1141" s="21"/>
      <c r="H1141" s="21"/>
      <c r="I1141" s="21">
        <v>13.1</v>
      </c>
      <c r="J1141" s="24">
        <v>-14.5</v>
      </c>
      <c r="K1141" s="21"/>
    </row>
    <row r="1142" spans="1:11" ht="16" x14ac:dyDescent="0.2">
      <c r="A1142" s="21">
        <v>1141</v>
      </c>
      <c r="B1142" s="22" t="s">
        <v>604</v>
      </c>
      <c r="C1142" s="21"/>
      <c r="D1142" s="21" t="s">
        <v>69</v>
      </c>
      <c r="E1142" s="21"/>
      <c r="F1142" s="21"/>
      <c r="G1142" s="21"/>
      <c r="H1142" s="21"/>
      <c r="I1142" s="21">
        <v>8</v>
      </c>
      <c r="J1142" s="24">
        <v>-14.5</v>
      </c>
      <c r="K1142" s="21"/>
    </row>
    <row r="1143" spans="1:11" ht="16" x14ac:dyDescent="0.2">
      <c r="A1143" s="21">
        <v>1142</v>
      </c>
      <c r="B1143" s="22" t="s">
        <v>523</v>
      </c>
      <c r="C1143" s="22" t="s">
        <v>30</v>
      </c>
      <c r="D1143" s="21" t="s">
        <v>69</v>
      </c>
      <c r="E1143" s="21"/>
      <c r="F1143" s="21"/>
      <c r="G1143" s="21"/>
      <c r="H1143" s="21"/>
      <c r="I1143" s="21">
        <v>58</v>
      </c>
      <c r="J1143" s="24">
        <v>-14.6</v>
      </c>
      <c r="K1143" s="21"/>
    </row>
    <row r="1144" spans="1:11" ht="16" x14ac:dyDescent="0.2">
      <c r="A1144" s="21">
        <v>1143</v>
      </c>
      <c r="B1144" s="22" t="s">
        <v>1743</v>
      </c>
      <c r="C1144" s="22" t="s">
        <v>24</v>
      </c>
      <c r="D1144" s="21" t="s">
        <v>69</v>
      </c>
      <c r="E1144" s="21"/>
      <c r="F1144" s="21"/>
      <c r="G1144" s="21"/>
      <c r="H1144" s="21"/>
      <c r="I1144" s="21">
        <v>4.0999999999999996</v>
      </c>
      <c r="J1144" s="24">
        <v>-14.6</v>
      </c>
      <c r="K1144" s="21"/>
    </row>
    <row r="1145" spans="1:11" ht="16" x14ac:dyDescent="0.2">
      <c r="A1145" s="21">
        <v>1144</v>
      </c>
      <c r="B1145" s="22" t="s">
        <v>316</v>
      </c>
      <c r="C1145" s="22" t="s">
        <v>15</v>
      </c>
      <c r="D1145" s="21" t="s">
        <v>28</v>
      </c>
      <c r="E1145" s="21"/>
      <c r="F1145" s="21"/>
      <c r="G1145" s="21"/>
      <c r="H1145" s="21"/>
      <c r="I1145" s="21">
        <v>79.099999999999994</v>
      </c>
      <c r="J1145" s="24">
        <v>-14.6</v>
      </c>
      <c r="K1145" s="21"/>
    </row>
    <row r="1146" spans="1:11" ht="16" x14ac:dyDescent="0.2">
      <c r="A1146" s="21">
        <v>1145</v>
      </c>
      <c r="B1146" s="22" t="s">
        <v>384</v>
      </c>
      <c r="C1146" s="21"/>
      <c r="D1146" s="21" t="s">
        <v>69</v>
      </c>
      <c r="E1146" s="21"/>
      <c r="F1146" s="21"/>
      <c r="G1146" s="21"/>
      <c r="H1146" s="21"/>
      <c r="I1146" s="21">
        <v>43.1</v>
      </c>
      <c r="J1146" s="24">
        <v>-14.6</v>
      </c>
      <c r="K1146" s="21"/>
    </row>
    <row r="1147" spans="1:11" ht="16" x14ac:dyDescent="0.2">
      <c r="A1147" s="21">
        <v>1146</v>
      </c>
      <c r="B1147" s="22" t="s">
        <v>1744</v>
      </c>
      <c r="C1147" s="22" t="s">
        <v>57</v>
      </c>
      <c r="D1147" s="21" t="s">
        <v>69</v>
      </c>
      <c r="E1147" s="21"/>
      <c r="F1147" s="21"/>
      <c r="G1147" s="21"/>
      <c r="H1147" s="21"/>
      <c r="I1147" s="21">
        <v>5.0999999999999996</v>
      </c>
      <c r="J1147" s="24">
        <v>-14.6</v>
      </c>
      <c r="K1147" s="21"/>
    </row>
    <row r="1148" spans="1:11" ht="16" x14ac:dyDescent="0.2">
      <c r="A1148" s="21">
        <v>1147</v>
      </c>
      <c r="B1148" s="22" t="s">
        <v>946</v>
      </c>
      <c r="C1148" s="22" t="s">
        <v>140</v>
      </c>
      <c r="D1148" s="21" t="s">
        <v>25</v>
      </c>
      <c r="E1148" s="21"/>
      <c r="F1148" s="21"/>
      <c r="G1148" s="21"/>
      <c r="H1148" s="21">
        <v>110</v>
      </c>
      <c r="I1148" s="21"/>
      <c r="J1148" s="24">
        <v>-14.6</v>
      </c>
      <c r="K1148" s="21"/>
    </row>
    <row r="1149" spans="1:11" ht="16" x14ac:dyDescent="0.2">
      <c r="A1149" s="21">
        <v>1148</v>
      </c>
      <c r="B1149" s="22" t="s">
        <v>563</v>
      </c>
      <c r="C1149" s="21"/>
      <c r="D1149" s="21" t="s">
        <v>69</v>
      </c>
      <c r="E1149" s="21"/>
      <c r="F1149" s="21"/>
      <c r="G1149" s="21"/>
      <c r="H1149" s="21"/>
      <c r="I1149" s="21">
        <v>9</v>
      </c>
      <c r="J1149" s="24">
        <v>-14.6</v>
      </c>
      <c r="K1149" s="21"/>
    </row>
    <row r="1150" spans="1:11" ht="16" x14ac:dyDescent="0.2">
      <c r="A1150" s="21">
        <v>1149</v>
      </c>
      <c r="B1150" s="22" t="s">
        <v>805</v>
      </c>
      <c r="C1150" s="22" t="s">
        <v>15</v>
      </c>
      <c r="D1150" s="21" t="s">
        <v>69</v>
      </c>
      <c r="E1150" s="21"/>
      <c r="F1150" s="21"/>
      <c r="G1150" s="21"/>
      <c r="H1150" s="21"/>
      <c r="I1150" s="21">
        <v>55</v>
      </c>
      <c r="J1150" s="24">
        <v>-14.6</v>
      </c>
      <c r="K1150" s="21"/>
    </row>
    <row r="1151" spans="1:11" ht="16" x14ac:dyDescent="0.2">
      <c r="A1151" s="21">
        <v>1150</v>
      </c>
      <c r="B1151" s="22" t="s">
        <v>871</v>
      </c>
      <c r="C1151" s="22" t="s">
        <v>50</v>
      </c>
      <c r="D1151" s="21" t="s">
        <v>69</v>
      </c>
      <c r="E1151" s="21"/>
      <c r="F1151" s="21"/>
      <c r="G1151" s="21"/>
      <c r="H1151" s="21"/>
      <c r="I1151" s="21">
        <v>11</v>
      </c>
      <c r="J1151" s="24">
        <v>-14.6</v>
      </c>
      <c r="K1151" s="21"/>
    </row>
    <row r="1152" spans="1:11" ht="16" x14ac:dyDescent="0.2">
      <c r="A1152" s="21">
        <v>1151</v>
      </c>
      <c r="B1152" s="22" t="s">
        <v>1745</v>
      </c>
      <c r="C1152" s="21"/>
      <c r="D1152" s="21" t="s">
        <v>69</v>
      </c>
      <c r="E1152" s="21"/>
      <c r="F1152" s="21"/>
      <c r="G1152" s="21"/>
      <c r="H1152" s="21"/>
      <c r="I1152" s="21">
        <v>29.1</v>
      </c>
      <c r="J1152" s="24">
        <v>-14.6</v>
      </c>
      <c r="K1152" s="21"/>
    </row>
    <row r="1153" spans="1:11" ht="16" x14ac:dyDescent="0.2">
      <c r="A1153" s="21">
        <v>1152</v>
      </c>
      <c r="B1153" s="22" t="s">
        <v>540</v>
      </c>
      <c r="C1153" s="22" t="s">
        <v>15</v>
      </c>
      <c r="D1153" s="21" t="s">
        <v>69</v>
      </c>
      <c r="E1153" s="21"/>
      <c r="F1153" s="21"/>
      <c r="G1153" s="21"/>
      <c r="H1153" s="21"/>
      <c r="I1153" s="21">
        <v>1</v>
      </c>
      <c r="J1153" s="24">
        <v>-14.7</v>
      </c>
      <c r="K1153" s="21"/>
    </row>
    <row r="1154" spans="1:11" ht="16" x14ac:dyDescent="0.2">
      <c r="A1154" s="21">
        <v>1153</v>
      </c>
      <c r="B1154" s="22" t="s">
        <v>396</v>
      </c>
      <c r="C1154" s="22" t="s">
        <v>232</v>
      </c>
      <c r="D1154" s="21" t="s">
        <v>69</v>
      </c>
      <c r="E1154" s="21"/>
      <c r="F1154" s="21"/>
      <c r="G1154" s="21"/>
      <c r="H1154" s="21"/>
      <c r="I1154" s="21">
        <v>39.1</v>
      </c>
      <c r="J1154" s="24">
        <v>-14.7</v>
      </c>
      <c r="K1154" s="21"/>
    </row>
    <row r="1155" spans="1:11" ht="16" x14ac:dyDescent="0.2">
      <c r="A1155" s="21">
        <v>1154</v>
      </c>
      <c r="B1155" s="22" t="s">
        <v>1746</v>
      </c>
      <c r="C1155" s="22" t="s">
        <v>57</v>
      </c>
      <c r="D1155" s="21" t="s">
        <v>69</v>
      </c>
      <c r="E1155" s="21"/>
      <c r="F1155" s="21"/>
      <c r="G1155" s="21"/>
      <c r="H1155" s="21"/>
      <c r="I1155" s="21">
        <v>6.1</v>
      </c>
      <c r="J1155" s="24">
        <v>-14.7</v>
      </c>
      <c r="K1155" s="21"/>
    </row>
    <row r="1156" spans="1:11" ht="16" x14ac:dyDescent="0.2">
      <c r="A1156" s="21">
        <v>1155</v>
      </c>
      <c r="B1156" s="22" t="s">
        <v>1747</v>
      </c>
      <c r="C1156" s="22" t="s">
        <v>12</v>
      </c>
      <c r="D1156" s="21" t="s">
        <v>69</v>
      </c>
      <c r="E1156" s="21"/>
      <c r="F1156" s="21"/>
      <c r="G1156" s="21"/>
      <c r="H1156" s="21"/>
      <c r="I1156" s="21">
        <v>4</v>
      </c>
      <c r="J1156" s="24">
        <v>-14.7</v>
      </c>
      <c r="K1156" s="21"/>
    </row>
    <row r="1157" spans="1:11" ht="16" x14ac:dyDescent="0.2">
      <c r="A1157" s="21">
        <v>1156</v>
      </c>
      <c r="B1157" s="22" t="s">
        <v>654</v>
      </c>
      <c r="C1157" s="22" t="s">
        <v>64</v>
      </c>
      <c r="D1157" s="21" t="s">
        <v>69</v>
      </c>
      <c r="E1157" s="21"/>
      <c r="F1157" s="21"/>
      <c r="G1157" s="21"/>
      <c r="H1157" s="21"/>
      <c r="I1157" s="21">
        <v>14</v>
      </c>
      <c r="J1157" s="24">
        <v>-14.7</v>
      </c>
      <c r="K1157" s="21"/>
    </row>
    <row r="1158" spans="1:11" ht="16" x14ac:dyDescent="0.2">
      <c r="A1158" s="21">
        <v>1157</v>
      </c>
      <c r="B1158" s="22" t="s">
        <v>229</v>
      </c>
      <c r="C1158" s="22" t="s">
        <v>132</v>
      </c>
      <c r="D1158" s="21" t="s">
        <v>28</v>
      </c>
      <c r="E1158" s="21"/>
      <c r="F1158" s="21"/>
      <c r="G1158" s="21"/>
      <c r="H1158" s="21"/>
      <c r="I1158" s="21">
        <v>82.1</v>
      </c>
      <c r="J1158" s="24">
        <v>-14.7</v>
      </c>
      <c r="K1158" s="21"/>
    </row>
    <row r="1159" spans="1:11" ht="16" x14ac:dyDescent="0.2">
      <c r="A1159" s="21">
        <v>1158</v>
      </c>
      <c r="B1159" s="22" t="s">
        <v>1748</v>
      </c>
      <c r="C1159" s="21"/>
      <c r="D1159" s="21" t="s">
        <v>69</v>
      </c>
      <c r="E1159" s="21"/>
      <c r="F1159" s="21"/>
      <c r="G1159" s="21"/>
      <c r="H1159" s="21"/>
      <c r="I1159" s="21">
        <v>2.1</v>
      </c>
      <c r="J1159" s="24">
        <v>-14.7</v>
      </c>
      <c r="K1159" s="21"/>
    </row>
    <row r="1160" spans="1:11" ht="16" x14ac:dyDescent="0.2">
      <c r="A1160" s="21">
        <v>1159</v>
      </c>
      <c r="B1160" s="22" t="s">
        <v>631</v>
      </c>
      <c r="C1160" s="22" t="s">
        <v>24</v>
      </c>
      <c r="D1160" s="21" t="s">
        <v>69</v>
      </c>
      <c r="E1160" s="21"/>
      <c r="F1160" s="21"/>
      <c r="G1160" s="21"/>
      <c r="H1160" s="21"/>
      <c r="I1160" s="21">
        <v>0.1</v>
      </c>
      <c r="J1160" s="24">
        <v>-14.8</v>
      </c>
      <c r="K1160" s="21"/>
    </row>
    <row r="1161" spans="1:11" ht="16" x14ac:dyDescent="0.2">
      <c r="A1161" s="21">
        <v>1160</v>
      </c>
      <c r="B1161" s="22" t="s">
        <v>477</v>
      </c>
      <c r="C1161" s="21"/>
      <c r="D1161" s="21" t="s">
        <v>28</v>
      </c>
      <c r="E1161" s="21"/>
      <c r="F1161" s="21"/>
      <c r="G1161" s="21"/>
      <c r="H1161" s="21"/>
      <c r="I1161" s="21">
        <v>12</v>
      </c>
      <c r="J1161" s="24">
        <v>-14.8</v>
      </c>
      <c r="K1161" s="21"/>
    </row>
    <row r="1162" spans="1:11" ht="16" x14ac:dyDescent="0.2">
      <c r="A1162" s="21">
        <v>1161</v>
      </c>
      <c r="B1162" s="22" t="s">
        <v>1749</v>
      </c>
      <c r="C1162" s="22" t="s">
        <v>46</v>
      </c>
      <c r="D1162" s="21" t="s">
        <v>69</v>
      </c>
      <c r="E1162" s="21"/>
      <c r="F1162" s="21"/>
      <c r="G1162" s="21"/>
      <c r="H1162" s="21"/>
      <c r="I1162" s="21">
        <v>12.1</v>
      </c>
      <c r="J1162" s="24">
        <v>-14.8</v>
      </c>
      <c r="K1162" s="21"/>
    </row>
    <row r="1163" spans="1:11" ht="16" x14ac:dyDescent="0.2">
      <c r="A1163" s="21">
        <v>1162</v>
      </c>
      <c r="B1163" s="22" t="s">
        <v>1750</v>
      </c>
      <c r="C1163" s="22" t="s">
        <v>39</v>
      </c>
      <c r="D1163" s="21" t="s">
        <v>69</v>
      </c>
      <c r="E1163" s="21"/>
      <c r="F1163" s="21"/>
      <c r="G1163" s="21"/>
      <c r="H1163" s="21"/>
      <c r="I1163" s="21">
        <v>8.1</v>
      </c>
      <c r="J1163" s="24">
        <v>-14.8</v>
      </c>
      <c r="K1163" s="21"/>
    </row>
    <row r="1164" spans="1:11" ht="16" x14ac:dyDescent="0.2">
      <c r="A1164" s="21">
        <v>1163</v>
      </c>
      <c r="B1164" s="22" t="s">
        <v>1751</v>
      </c>
      <c r="C1164" s="22" t="s">
        <v>52</v>
      </c>
      <c r="D1164" s="21" t="s">
        <v>69</v>
      </c>
      <c r="E1164" s="21"/>
      <c r="F1164" s="21"/>
      <c r="G1164" s="21"/>
      <c r="H1164" s="21"/>
      <c r="I1164" s="21">
        <v>14</v>
      </c>
      <c r="J1164" s="24">
        <v>-14.8</v>
      </c>
      <c r="K1164" s="21"/>
    </row>
    <row r="1165" spans="1:11" ht="16" x14ac:dyDescent="0.2">
      <c r="A1165" s="21">
        <v>1164</v>
      </c>
      <c r="B1165" s="22" t="s">
        <v>1752</v>
      </c>
      <c r="C1165" s="21"/>
      <c r="D1165" s="21" t="s">
        <v>69</v>
      </c>
      <c r="E1165" s="21"/>
      <c r="F1165" s="21"/>
      <c r="G1165" s="21"/>
      <c r="H1165" s="21"/>
      <c r="I1165" s="21">
        <v>16</v>
      </c>
      <c r="J1165" s="24">
        <v>-14.9</v>
      </c>
      <c r="K1165" s="21"/>
    </row>
    <row r="1166" spans="1:11" ht="16" x14ac:dyDescent="0.2">
      <c r="A1166" s="21">
        <v>1165</v>
      </c>
      <c r="B1166" s="22" t="s">
        <v>1753</v>
      </c>
      <c r="C1166" s="22" t="s">
        <v>32</v>
      </c>
      <c r="D1166" s="21" t="s">
        <v>69</v>
      </c>
      <c r="E1166" s="21"/>
      <c r="F1166" s="21"/>
      <c r="G1166" s="21"/>
      <c r="H1166" s="21"/>
      <c r="I1166" s="21">
        <v>3</v>
      </c>
      <c r="J1166" s="24">
        <v>-14.9</v>
      </c>
      <c r="K1166" s="21"/>
    </row>
    <row r="1167" spans="1:11" ht="16" x14ac:dyDescent="0.2">
      <c r="A1167" s="21">
        <v>1166</v>
      </c>
      <c r="B1167" s="22" t="s">
        <v>1754</v>
      </c>
      <c r="C1167" s="22" t="s">
        <v>39</v>
      </c>
      <c r="D1167" s="21" t="s">
        <v>69</v>
      </c>
      <c r="E1167" s="21"/>
      <c r="F1167" s="21"/>
      <c r="G1167" s="21"/>
      <c r="H1167" s="21"/>
      <c r="I1167" s="21">
        <v>8</v>
      </c>
      <c r="J1167" s="24">
        <v>-14.9</v>
      </c>
      <c r="K1167" s="21"/>
    </row>
    <row r="1168" spans="1:11" ht="16" x14ac:dyDescent="0.2">
      <c r="A1168" s="21">
        <v>1167</v>
      </c>
      <c r="B1168" s="22" t="s">
        <v>1755</v>
      </c>
      <c r="C1168" s="22" t="s">
        <v>12</v>
      </c>
      <c r="D1168" s="21" t="s">
        <v>69</v>
      </c>
      <c r="E1168" s="21"/>
      <c r="F1168" s="21"/>
      <c r="G1168" s="21"/>
      <c r="H1168" s="21"/>
      <c r="I1168" s="21">
        <v>10.1</v>
      </c>
      <c r="J1168" s="24">
        <v>-15</v>
      </c>
      <c r="K1168" s="21"/>
    </row>
    <row r="1169" spans="1:11" ht="16" x14ac:dyDescent="0.2">
      <c r="A1169" s="21">
        <v>1168</v>
      </c>
      <c r="B1169" s="22" t="s">
        <v>363</v>
      </c>
      <c r="C1169" s="22" t="s">
        <v>30</v>
      </c>
      <c r="D1169" s="21" t="s">
        <v>74</v>
      </c>
      <c r="E1169" s="21"/>
      <c r="F1169" s="21"/>
      <c r="G1169" s="21"/>
      <c r="H1169" s="21">
        <v>129</v>
      </c>
      <c r="I1169" s="21"/>
      <c r="J1169" s="24">
        <v>-15</v>
      </c>
      <c r="K1169" s="21"/>
    </row>
    <row r="1170" spans="1:11" ht="16" x14ac:dyDescent="0.2">
      <c r="A1170" s="21">
        <v>1169</v>
      </c>
      <c r="B1170" s="22" t="s">
        <v>681</v>
      </c>
      <c r="C1170" s="22" t="s">
        <v>36</v>
      </c>
      <c r="D1170" s="21" t="s">
        <v>69</v>
      </c>
      <c r="E1170" s="21"/>
      <c r="F1170" s="21"/>
      <c r="G1170" s="21"/>
      <c r="H1170" s="21"/>
      <c r="I1170" s="21">
        <v>1</v>
      </c>
      <c r="J1170" s="24">
        <v>-15</v>
      </c>
      <c r="K1170" s="21"/>
    </row>
    <row r="1171" spans="1:11" ht="16" x14ac:dyDescent="0.2">
      <c r="A1171" s="21">
        <v>1170</v>
      </c>
      <c r="B1171" s="22" t="s">
        <v>762</v>
      </c>
      <c r="C1171" s="22" t="s">
        <v>50</v>
      </c>
      <c r="D1171" s="21" t="s">
        <v>25</v>
      </c>
      <c r="E1171" s="21"/>
      <c r="F1171" s="21"/>
      <c r="G1171" s="21"/>
      <c r="H1171" s="21">
        <v>104</v>
      </c>
      <c r="I1171" s="21"/>
      <c r="J1171" s="24">
        <v>-15</v>
      </c>
      <c r="K1171" s="21"/>
    </row>
    <row r="1172" spans="1:11" ht="16" x14ac:dyDescent="0.2">
      <c r="A1172" s="21">
        <v>1171</v>
      </c>
      <c r="B1172" s="22" t="s">
        <v>1756</v>
      </c>
      <c r="C1172" s="22" t="s">
        <v>132</v>
      </c>
      <c r="D1172" s="21" t="s">
        <v>69</v>
      </c>
      <c r="E1172" s="21"/>
      <c r="F1172" s="21"/>
      <c r="G1172" s="21"/>
      <c r="H1172" s="21"/>
      <c r="I1172" s="21">
        <v>11.1</v>
      </c>
      <c r="J1172" s="24">
        <v>-15</v>
      </c>
      <c r="K1172" s="21"/>
    </row>
    <row r="1173" spans="1:11" ht="16" x14ac:dyDescent="0.2">
      <c r="A1173" s="21">
        <v>1172</v>
      </c>
      <c r="B1173" s="22" t="s">
        <v>1757</v>
      </c>
      <c r="C1173" s="21"/>
      <c r="D1173" s="21" t="s">
        <v>69</v>
      </c>
      <c r="E1173" s="21"/>
      <c r="F1173" s="21"/>
      <c r="G1173" s="21"/>
      <c r="H1173" s="21"/>
      <c r="I1173" s="21">
        <v>9</v>
      </c>
      <c r="J1173" s="24">
        <v>-15</v>
      </c>
      <c r="K1173" s="21"/>
    </row>
    <row r="1174" spans="1:11" ht="16" x14ac:dyDescent="0.2">
      <c r="A1174" s="21">
        <v>1173</v>
      </c>
      <c r="B1174" s="22" t="s">
        <v>345</v>
      </c>
      <c r="C1174" s="22" t="s">
        <v>15</v>
      </c>
      <c r="D1174" s="21" t="s">
        <v>87</v>
      </c>
      <c r="E1174" s="21"/>
      <c r="F1174" s="21"/>
      <c r="G1174" s="21"/>
      <c r="H1174" s="21">
        <v>208</v>
      </c>
      <c r="I1174" s="21"/>
      <c r="J1174" s="24">
        <v>-15</v>
      </c>
      <c r="K1174" s="21"/>
    </row>
    <row r="1175" spans="1:11" ht="16" x14ac:dyDescent="0.2">
      <c r="A1175" s="21">
        <v>1174</v>
      </c>
      <c r="B1175" s="22" t="s">
        <v>1758</v>
      </c>
      <c r="C1175" s="22" t="s">
        <v>52</v>
      </c>
      <c r="D1175" s="21" t="s">
        <v>69</v>
      </c>
      <c r="E1175" s="21"/>
      <c r="F1175" s="21"/>
      <c r="G1175" s="21"/>
      <c r="H1175" s="21"/>
      <c r="I1175" s="21">
        <v>34</v>
      </c>
      <c r="J1175" s="24">
        <v>-15.1</v>
      </c>
      <c r="K1175" s="21"/>
    </row>
    <row r="1176" spans="1:11" ht="16" x14ac:dyDescent="0.2">
      <c r="A1176" s="21">
        <v>1175</v>
      </c>
      <c r="B1176" s="22" t="s">
        <v>1759</v>
      </c>
      <c r="C1176" s="22" t="s">
        <v>27</v>
      </c>
      <c r="D1176" s="21" t="s">
        <v>69</v>
      </c>
      <c r="E1176" s="21"/>
      <c r="F1176" s="21"/>
      <c r="G1176" s="21"/>
      <c r="H1176" s="21"/>
      <c r="I1176" s="21">
        <v>3</v>
      </c>
      <c r="J1176" s="24">
        <v>-15.1</v>
      </c>
      <c r="K1176" s="21"/>
    </row>
    <row r="1177" spans="1:11" ht="16" x14ac:dyDescent="0.2">
      <c r="A1177" s="21">
        <v>1176</v>
      </c>
      <c r="B1177" s="22" t="s">
        <v>1760</v>
      </c>
      <c r="C1177" s="22" t="s">
        <v>89</v>
      </c>
      <c r="D1177" s="21" t="s">
        <v>69</v>
      </c>
      <c r="E1177" s="21"/>
      <c r="F1177" s="21"/>
      <c r="G1177" s="21"/>
      <c r="H1177" s="21"/>
      <c r="I1177" s="21">
        <v>30</v>
      </c>
      <c r="J1177" s="24">
        <v>-15.1</v>
      </c>
      <c r="K1177" s="21"/>
    </row>
    <row r="1178" spans="1:11" ht="16" x14ac:dyDescent="0.2">
      <c r="A1178" s="21">
        <v>1177</v>
      </c>
      <c r="B1178" s="22" t="s">
        <v>1293</v>
      </c>
      <c r="C1178" s="22" t="s">
        <v>46</v>
      </c>
      <c r="D1178" s="21" t="s">
        <v>25</v>
      </c>
      <c r="E1178" s="21"/>
      <c r="F1178" s="21"/>
      <c r="G1178" s="21"/>
      <c r="H1178" s="21">
        <v>132</v>
      </c>
      <c r="I1178" s="21"/>
      <c r="J1178" s="24">
        <v>-15.1</v>
      </c>
      <c r="K1178" s="21"/>
    </row>
    <row r="1179" spans="1:11" ht="16" x14ac:dyDescent="0.2">
      <c r="A1179" s="21">
        <v>1178</v>
      </c>
      <c r="B1179" s="22" t="s">
        <v>642</v>
      </c>
      <c r="C1179" s="22" t="s">
        <v>60</v>
      </c>
      <c r="D1179" s="21" t="s">
        <v>69</v>
      </c>
      <c r="E1179" s="21"/>
      <c r="F1179" s="21"/>
      <c r="G1179" s="21"/>
      <c r="H1179" s="21"/>
      <c r="I1179" s="21">
        <v>20.100000000000001</v>
      </c>
      <c r="J1179" s="24">
        <v>-15.1</v>
      </c>
      <c r="K1179" s="21"/>
    </row>
    <row r="1180" spans="1:11" ht="16" x14ac:dyDescent="0.2">
      <c r="A1180" s="21">
        <v>1179</v>
      </c>
      <c r="B1180" s="22" t="s">
        <v>853</v>
      </c>
      <c r="C1180" s="22" t="s">
        <v>48</v>
      </c>
      <c r="D1180" s="21" t="s">
        <v>19</v>
      </c>
      <c r="E1180" s="21"/>
      <c r="F1180" s="21"/>
      <c r="G1180" s="21"/>
      <c r="H1180" s="21">
        <v>135</v>
      </c>
      <c r="I1180" s="21"/>
      <c r="J1180" s="24">
        <v>-15.1</v>
      </c>
      <c r="K1180" s="21"/>
    </row>
    <row r="1181" spans="1:11" ht="16" x14ac:dyDescent="0.2">
      <c r="A1181" s="21">
        <v>1180</v>
      </c>
      <c r="B1181" s="22" t="s">
        <v>898</v>
      </c>
      <c r="C1181" s="22" t="s">
        <v>313</v>
      </c>
      <c r="D1181" s="21" t="s">
        <v>719</v>
      </c>
      <c r="E1181" s="21"/>
      <c r="F1181" s="21"/>
      <c r="G1181" s="21"/>
      <c r="H1181" s="21">
        <v>264</v>
      </c>
      <c r="I1181" s="21"/>
      <c r="J1181" s="24">
        <v>-15.1</v>
      </c>
      <c r="K1181" s="21"/>
    </row>
    <row r="1182" spans="1:11" ht="16" x14ac:dyDescent="0.2">
      <c r="A1182" s="21">
        <v>1181</v>
      </c>
      <c r="B1182" s="22" t="s">
        <v>1761</v>
      </c>
      <c r="C1182" s="22" t="s">
        <v>66</v>
      </c>
      <c r="D1182" s="21" t="s">
        <v>69</v>
      </c>
      <c r="E1182" s="21"/>
      <c r="F1182" s="21"/>
      <c r="G1182" s="21"/>
      <c r="H1182" s="21"/>
      <c r="I1182" s="21">
        <v>33</v>
      </c>
      <c r="J1182" s="24">
        <v>-15.2</v>
      </c>
      <c r="K1182" s="21"/>
    </row>
    <row r="1183" spans="1:11" ht="16" x14ac:dyDescent="0.2">
      <c r="A1183" s="21">
        <v>1182</v>
      </c>
      <c r="B1183" s="22" t="s">
        <v>1762</v>
      </c>
      <c r="C1183" s="22" t="s">
        <v>115</v>
      </c>
      <c r="D1183" s="21" t="s">
        <v>69</v>
      </c>
      <c r="E1183" s="21"/>
      <c r="F1183" s="21"/>
      <c r="G1183" s="21"/>
      <c r="H1183" s="21"/>
      <c r="I1183" s="21">
        <v>43</v>
      </c>
      <c r="J1183" s="24">
        <v>-15.2</v>
      </c>
      <c r="K1183" s="21"/>
    </row>
    <row r="1184" spans="1:11" ht="16" x14ac:dyDescent="0.2">
      <c r="A1184" s="21">
        <v>1183</v>
      </c>
      <c r="B1184" s="22" t="s">
        <v>1763</v>
      </c>
      <c r="C1184" s="22" t="s">
        <v>117</v>
      </c>
      <c r="D1184" s="21" t="s">
        <v>69</v>
      </c>
      <c r="E1184" s="21"/>
      <c r="F1184" s="21"/>
      <c r="G1184" s="21"/>
      <c r="H1184" s="21"/>
      <c r="I1184" s="21">
        <v>14.1</v>
      </c>
      <c r="J1184" s="24">
        <v>-15.2</v>
      </c>
      <c r="K1184" s="21"/>
    </row>
    <row r="1185" spans="1:11" ht="16" x14ac:dyDescent="0.2">
      <c r="A1185" s="21">
        <v>1184</v>
      </c>
      <c r="B1185" s="22" t="s">
        <v>738</v>
      </c>
      <c r="C1185" s="21"/>
      <c r="D1185" s="21" t="s">
        <v>69</v>
      </c>
      <c r="E1185" s="21"/>
      <c r="F1185" s="21"/>
      <c r="G1185" s="21"/>
      <c r="H1185" s="21"/>
      <c r="I1185" s="21">
        <v>5</v>
      </c>
      <c r="J1185" s="24">
        <v>-15.2</v>
      </c>
      <c r="K1185" s="21"/>
    </row>
    <row r="1186" spans="1:11" ht="16" x14ac:dyDescent="0.2">
      <c r="A1186" s="21">
        <v>1185</v>
      </c>
      <c r="B1186" s="22" t="s">
        <v>1764</v>
      </c>
      <c r="C1186" s="21"/>
      <c r="D1186" s="21" t="s">
        <v>69</v>
      </c>
      <c r="E1186" s="21"/>
      <c r="F1186" s="21"/>
      <c r="G1186" s="21"/>
      <c r="H1186" s="21"/>
      <c r="I1186" s="21">
        <v>5</v>
      </c>
      <c r="J1186" s="24">
        <v>-15.2</v>
      </c>
      <c r="K1186" s="21"/>
    </row>
    <row r="1187" spans="1:11" ht="16" x14ac:dyDescent="0.2">
      <c r="A1187" s="21">
        <v>1186</v>
      </c>
      <c r="B1187" s="22" t="s">
        <v>1765</v>
      </c>
      <c r="C1187" s="22" t="s">
        <v>46</v>
      </c>
      <c r="D1187" s="21" t="s">
        <v>69</v>
      </c>
      <c r="E1187" s="21"/>
      <c r="F1187" s="21"/>
      <c r="G1187" s="21"/>
      <c r="H1187" s="21"/>
      <c r="I1187" s="21">
        <v>6</v>
      </c>
      <c r="J1187" s="24">
        <v>-15.3</v>
      </c>
      <c r="K1187" s="21"/>
    </row>
    <row r="1188" spans="1:11" ht="16" x14ac:dyDescent="0.2">
      <c r="A1188" s="21">
        <v>1187</v>
      </c>
      <c r="B1188" s="22" t="s">
        <v>907</v>
      </c>
      <c r="C1188" s="21"/>
      <c r="D1188" s="21" t="s">
        <v>25</v>
      </c>
      <c r="E1188" s="21"/>
      <c r="F1188" s="21"/>
      <c r="G1188" s="21"/>
      <c r="H1188" s="21">
        <v>234</v>
      </c>
      <c r="I1188" s="21"/>
      <c r="J1188" s="24">
        <v>-15.3</v>
      </c>
      <c r="K1188" s="21"/>
    </row>
    <row r="1189" spans="1:11" ht="16" x14ac:dyDescent="0.2">
      <c r="A1189" s="21">
        <v>1188</v>
      </c>
      <c r="B1189" s="22" t="s">
        <v>1766</v>
      </c>
      <c r="C1189" s="22" t="s">
        <v>140</v>
      </c>
      <c r="D1189" s="21" t="s">
        <v>69</v>
      </c>
      <c r="E1189" s="21"/>
      <c r="F1189" s="21"/>
      <c r="G1189" s="21"/>
      <c r="H1189" s="21"/>
      <c r="I1189" s="21">
        <v>5</v>
      </c>
      <c r="J1189" s="24">
        <v>-15.3</v>
      </c>
      <c r="K1189" s="21"/>
    </row>
    <row r="1190" spans="1:11" ht="16" x14ac:dyDescent="0.2">
      <c r="A1190" s="21">
        <v>1189</v>
      </c>
      <c r="B1190" s="22" t="s">
        <v>1767</v>
      </c>
      <c r="C1190" s="21"/>
      <c r="D1190" s="21" t="s">
        <v>69</v>
      </c>
      <c r="E1190" s="21"/>
      <c r="F1190" s="21"/>
      <c r="G1190" s="21"/>
      <c r="H1190" s="21"/>
      <c r="I1190" s="21">
        <v>7</v>
      </c>
      <c r="J1190" s="24">
        <v>-15.3</v>
      </c>
      <c r="K1190" s="21"/>
    </row>
    <row r="1191" spans="1:11" ht="16" x14ac:dyDescent="0.2">
      <c r="A1191" s="21">
        <v>1190</v>
      </c>
      <c r="B1191" s="22" t="s">
        <v>381</v>
      </c>
      <c r="C1191" s="22" t="s">
        <v>27</v>
      </c>
      <c r="D1191" s="21" t="s">
        <v>69</v>
      </c>
      <c r="E1191" s="21"/>
      <c r="F1191" s="21"/>
      <c r="G1191" s="21"/>
      <c r="H1191" s="21"/>
      <c r="I1191" s="21">
        <v>22</v>
      </c>
      <c r="J1191" s="24">
        <v>-15.3</v>
      </c>
      <c r="K1191" s="21"/>
    </row>
    <row r="1192" spans="1:11" ht="16" x14ac:dyDescent="0.2">
      <c r="A1192" s="21">
        <v>1191</v>
      </c>
      <c r="B1192" s="22" t="s">
        <v>1294</v>
      </c>
      <c r="C1192" s="22" t="s">
        <v>48</v>
      </c>
      <c r="D1192" s="21" t="s">
        <v>78</v>
      </c>
      <c r="E1192" s="21"/>
      <c r="F1192" s="23">
        <v>0.02</v>
      </c>
      <c r="G1192" s="23">
        <v>0.02</v>
      </c>
      <c r="H1192" s="21">
        <v>263</v>
      </c>
      <c r="I1192" s="21"/>
      <c r="J1192" s="24">
        <v>-15.3</v>
      </c>
      <c r="K1192" s="21"/>
    </row>
    <row r="1193" spans="1:11" ht="16" x14ac:dyDescent="0.2">
      <c r="A1193" s="21">
        <v>1192</v>
      </c>
      <c r="B1193" s="22" t="s">
        <v>1768</v>
      </c>
      <c r="C1193" s="22" t="s">
        <v>39</v>
      </c>
      <c r="D1193" s="21" t="s">
        <v>69</v>
      </c>
      <c r="E1193" s="21"/>
      <c r="F1193" s="21"/>
      <c r="G1193" s="21"/>
      <c r="H1193" s="21"/>
      <c r="I1193" s="21">
        <v>10.1</v>
      </c>
      <c r="J1193" s="24">
        <v>-15.3</v>
      </c>
      <c r="K1193" s="21"/>
    </row>
    <row r="1194" spans="1:11" ht="16" x14ac:dyDescent="0.2">
      <c r="A1194" s="21">
        <v>1193</v>
      </c>
      <c r="B1194" s="22" t="s">
        <v>678</v>
      </c>
      <c r="C1194" s="22" t="s">
        <v>66</v>
      </c>
      <c r="D1194" s="21" t="s">
        <v>69</v>
      </c>
      <c r="E1194" s="21"/>
      <c r="F1194" s="21"/>
      <c r="G1194" s="21"/>
      <c r="H1194" s="21"/>
      <c r="I1194" s="21">
        <v>5.0999999999999996</v>
      </c>
      <c r="J1194" s="24">
        <v>-15.4</v>
      </c>
      <c r="K1194" s="21"/>
    </row>
    <row r="1195" spans="1:11" ht="16" x14ac:dyDescent="0.2">
      <c r="A1195" s="21">
        <v>1194</v>
      </c>
      <c r="B1195" s="22" t="s">
        <v>413</v>
      </c>
      <c r="C1195" s="21"/>
      <c r="D1195" s="21" t="s">
        <v>28</v>
      </c>
      <c r="E1195" s="21"/>
      <c r="F1195" s="21"/>
      <c r="G1195" s="21"/>
      <c r="H1195" s="21"/>
      <c r="I1195" s="21">
        <v>142</v>
      </c>
      <c r="J1195" s="24">
        <v>-15.5</v>
      </c>
      <c r="K1195" s="21"/>
    </row>
    <row r="1196" spans="1:11" ht="16" x14ac:dyDescent="0.2">
      <c r="A1196" s="21">
        <v>1195</v>
      </c>
      <c r="B1196" s="22" t="s">
        <v>1769</v>
      </c>
      <c r="C1196" s="22" t="s">
        <v>50</v>
      </c>
      <c r="D1196" s="21" t="s">
        <v>69</v>
      </c>
      <c r="E1196" s="21"/>
      <c r="F1196" s="21"/>
      <c r="G1196" s="21"/>
      <c r="H1196" s="21"/>
      <c r="I1196" s="21">
        <v>6</v>
      </c>
      <c r="J1196" s="24">
        <v>-15.5</v>
      </c>
      <c r="K1196" s="21"/>
    </row>
    <row r="1197" spans="1:11" ht="16" x14ac:dyDescent="0.2">
      <c r="A1197" s="21">
        <v>1196</v>
      </c>
      <c r="B1197" s="22" t="s">
        <v>465</v>
      </c>
      <c r="C1197" s="22" t="s">
        <v>12</v>
      </c>
      <c r="D1197" s="21" t="s">
        <v>69</v>
      </c>
      <c r="E1197" s="21"/>
      <c r="F1197" s="21"/>
      <c r="G1197" s="21"/>
      <c r="H1197" s="21"/>
      <c r="I1197" s="21">
        <v>5</v>
      </c>
      <c r="J1197" s="24">
        <v>-15.5</v>
      </c>
      <c r="K1197" s="21"/>
    </row>
    <row r="1198" spans="1:11" ht="16" x14ac:dyDescent="0.2">
      <c r="A1198" s="21">
        <v>1197</v>
      </c>
      <c r="B1198" s="22" t="s">
        <v>628</v>
      </c>
      <c r="C1198" s="21"/>
      <c r="D1198" s="21" t="s">
        <v>69</v>
      </c>
      <c r="E1198" s="21"/>
      <c r="F1198" s="21"/>
      <c r="G1198" s="21"/>
      <c r="H1198" s="21"/>
      <c r="I1198" s="21">
        <v>8</v>
      </c>
      <c r="J1198" s="24">
        <v>-15.5</v>
      </c>
      <c r="K1198" s="21"/>
    </row>
    <row r="1199" spans="1:11" ht="16" x14ac:dyDescent="0.2">
      <c r="A1199" s="21">
        <v>1198</v>
      </c>
      <c r="B1199" s="22" t="s">
        <v>646</v>
      </c>
      <c r="C1199" s="22" t="s">
        <v>55</v>
      </c>
      <c r="D1199" s="21" t="s">
        <v>69</v>
      </c>
      <c r="E1199" s="21"/>
      <c r="F1199" s="21"/>
      <c r="G1199" s="21"/>
      <c r="H1199" s="21"/>
      <c r="I1199" s="21">
        <v>17.100000000000001</v>
      </c>
      <c r="J1199" s="24">
        <v>-15.5</v>
      </c>
      <c r="K1199" s="21"/>
    </row>
    <row r="1200" spans="1:11" ht="16" x14ac:dyDescent="0.2">
      <c r="A1200" s="21">
        <v>1199</v>
      </c>
      <c r="B1200" s="22" t="s">
        <v>1770</v>
      </c>
      <c r="C1200" s="22" t="s">
        <v>27</v>
      </c>
      <c r="D1200" s="21" t="s">
        <v>69</v>
      </c>
      <c r="E1200" s="21"/>
      <c r="F1200" s="21"/>
      <c r="G1200" s="21"/>
      <c r="H1200" s="21"/>
      <c r="I1200" s="21">
        <v>10.1</v>
      </c>
      <c r="J1200" s="24">
        <v>-15.6</v>
      </c>
      <c r="K1200" s="21"/>
    </row>
    <row r="1201" spans="1:11" ht="16" x14ac:dyDescent="0.2">
      <c r="A1201" s="21">
        <v>1200</v>
      </c>
      <c r="B1201" s="22" t="s">
        <v>749</v>
      </c>
      <c r="C1201" s="22" t="s">
        <v>60</v>
      </c>
      <c r="D1201" s="21" t="s">
        <v>69</v>
      </c>
      <c r="E1201" s="21"/>
      <c r="F1201" s="21"/>
      <c r="G1201" s="21"/>
      <c r="H1201" s="21"/>
      <c r="I1201" s="21">
        <v>3</v>
      </c>
      <c r="J1201" s="24">
        <v>-15.6</v>
      </c>
      <c r="K1201" s="21"/>
    </row>
    <row r="1202" spans="1:11" ht="16" x14ac:dyDescent="0.2">
      <c r="A1202" s="21">
        <v>1201</v>
      </c>
      <c r="B1202" s="22" t="s">
        <v>929</v>
      </c>
      <c r="C1202" s="22" t="s">
        <v>12</v>
      </c>
      <c r="D1202" s="21" t="s">
        <v>69</v>
      </c>
      <c r="E1202" s="21"/>
      <c r="F1202" s="21"/>
      <c r="G1202" s="21"/>
      <c r="H1202" s="21"/>
      <c r="I1202" s="21">
        <v>4</v>
      </c>
      <c r="J1202" s="24">
        <v>-15.6</v>
      </c>
      <c r="K1202" s="21"/>
    </row>
    <row r="1203" spans="1:11" ht="16" x14ac:dyDescent="0.2">
      <c r="A1203" s="21">
        <v>1202</v>
      </c>
      <c r="B1203" s="22" t="s">
        <v>471</v>
      </c>
      <c r="C1203" s="22" t="s">
        <v>52</v>
      </c>
      <c r="D1203" s="21" t="s">
        <v>69</v>
      </c>
      <c r="E1203" s="21"/>
      <c r="F1203" s="21"/>
      <c r="G1203" s="21"/>
      <c r="H1203" s="21"/>
      <c r="I1203" s="21">
        <v>51</v>
      </c>
      <c r="J1203" s="24">
        <v>-15.6</v>
      </c>
      <c r="K1203" s="21"/>
    </row>
    <row r="1204" spans="1:11" ht="16" x14ac:dyDescent="0.2">
      <c r="A1204" s="21">
        <v>1203</v>
      </c>
      <c r="B1204" s="22" t="s">
        <v>1771</v>
      </c>
      <c r="C1204" s="22" t="s">
        <v>34</v>
      </c>
      <c r="D1204" s="21" t="s">
        <v>69</v>
      </c>
      <c r="E1204" s="21"/>
      <c r="F1204" s="21"/>
      <c r="G1204" s="21"/>
      <c r="H1204" s="21"/>
      <c r="I1204" s="21">
        <v>37.1</v>
      </c>
      <c r="J1204" s="24">
        <v>-15.7</v>
      </c>
      <c r="K1204" s="21"/>
    </row>
    <row r="1205" spans="1:11" ht="16" x14ac:dyDescent="0.2">
      <c r="A1205" s="21">
        <v>1204</v>
      </c>
      <c r="B1205" s="22" t="s">
        <v>1772</v>
      </c>
      <c r="C1205" s="22" t="s">
        <v>57</v>
      </c>
      <c r="D1205" s="21" t="s">
        <v>69</v>
      </c>
      <c r="E1205" s="21"/>
      <c r="F1205" s="21"/>
      <c r="G1205" s="21"/>
      <c r="H1205" s="21"/>
      <c r="I1205" s="21">
        <v>6.1</v>
      </c>
      <c r="J1205" s="24">
        <v>-15.7</v>
      </c>
      <c r="K1205" s="21"/>
    </row>
    <row r="1206" spans="1:11" ht="16" x14ac:dyDescent="0.2">
      <c r="A1206" s="21">
        <v>1205</v>
      </c>
      <c r="B1206" s="22" t="s">
        <v>427</v>
      </c>
      <c r="C1206" s="22" t="s">
        <v>46</v>
      </c>
      <c r="D1206" s="21" t="s">
        <v>206</v>
      </c>
      <c r="E1206" s="21"/>
      <c r="F1206" s="21"/>
      <c r="G1206" s="21"/>
      <c r="H1206" s="21">
        <v>220</v>
      </c>
      <c r="I1206" s="21"/>
      <c r="J1206" s="24">
        <v>-15.7</v>
      </c>
      <c r="K1206" s="21"/>
    </row>
    <row r="1207" spans="1:11" ht="16" x14ac:dyDescent="0.2">
      <c r="A1207" s="21">
        <v>1206</v>
      </c>
      <c r="B1207" s="22" t="s">
        <v>446</v>
      </c>
      <c r="C1207" s="22" t="s">
        <v>32</v>
      </c>
      <c r="D1207" s="21" t="s">
        <v>238</v>
      </c>
      <c r="E1207" s="21"/>
      <c r="F1207" s="21"/>
      <c r="G1207" s="21"/>
      <c r="H1207" s="21"/>
      <c r="I1207" s="21">
        <v>47</v>
      </c>
      <c r="J1207" s="24">
        <v>-15.8</v>
      </c>
      <c r="K1207" s="21"/>
    </row>
    <row r="1208" spans="1:11" ht="16" x14ac:dyDescent="0.2">
      <c r="A1208" s="21">
        <v>1207</v>
      </c>
      <c r="B1208" s="22" t="s">
        <v>660</v>
      </c>
      <c r="C1208" s="22" t="s">
        <v>117</v>
      </c>
      <c r="D1208" s="21" t="s">
        <v>69</v>
      </c>
      <c r="E1208" s="21"/>
      <c r="F1208" s="21"/>
      <c r="G1208" s="21"/>
      <c r="H1208" s="21"/>
      <c r="I1208" s="21">
        <v>13</v>
      </c>
      <c r="J1208" s="24">
        <v>-15.8</v>
      </c>
      <c r="K1208" s="21"/>
    </row>
    <row r="1209" spans="1:11" ht="16" x14ac:dyDescent="0.2">
      <c r="A1209" s="21">
        <v>1208</v>
      </c>
      <c r="B1209" s="22" t="s">
        <v>1295</v>
      </c>
      <c r="C1209" s="22" t="s">
        <v>48</v>
      </c>
      <c r="D1209" s="21" t="s">
        <v>25</v>
      </c>
      <c r="E1209" s="21"/>
      <c r="F1209" s="21"/>
      <c r="G1209" s="21"/>
      <c r="H1209" s="21">
        <v>90</v>
      </c>
      <c r="I1209" s="21"/>
      <c r="J1209" s="24">
        <v>-15.8</v>
      </c>
      <c r="K1209" s="21"/>
    </row>
    <row r="1210" spans="1:11" ht="16" x14ac:dyDescent="0.2">
      <c r="A1210" s="21">
        <v>1209</v>
      </c>
      <c r="B1210" s="22" t="s">
        <v>1773</v>
      </c>
      <c r="C1210" s="21"/>
      <c r="D1210" s="21" t="s">
        <v>69</v>
      </c>
      <c r="E1210" s="21"/>
      <c r="F1210" s="21"/>
      <c r="G1210" s="21"/>
      <c r="H1210" s="21"/>
      <c r="I1210" s="21">
        <v>12.1</v>
      </c>
      <c r="J1210" s="24">
        <v>-15.8</v>
      </c>
      <c r="K1210" s="21"/>
    </row>
    <row r="1211" spans="1:11" ht="16" x14ac:dyDescent="0.2">
      <c r="A1211" s="21">
        <v>1210</v>
      </c>
      <c r="B1211" s="22" t="s">
        <v>164</v>
      </c>
      <c r="C1211" s="22" t="s">
        <v>48</v>
      </c>
      <c r="D1211" s="21" t="s">
        <v>28</v>
      </c>
      <c r="E1211" s="21"/>
      <c r="F1211" s="21"/>
      <c r="G1211" s="21"/>
      <c r="H1211" s="21"/>
      <c r="I1211" s="21">
        <v>43.1</v>
      </c>
      <c r="J1211" s="24">
        <v>-15.8</v>
      </c>
      <c r="K1211" s="21"/>
    </row>
    <row r="1212" spans="1:11" ht="16" x14ac:dyDescent="0.2">
      <c r="A1212" s="21">
        <v>1211</v>
      </c>
      <c r="B1212" s="22" t="s">
        <v>564</v>
      </c>
      <c r="C1212" s="22" t="s">
        <v>313</v>
      </c>
      <c r="D1212" s="21" t="s">
        <v>238</v>
      </c>
      <c r="E1212" s="21"/>
      <c r="F1212" s="21"/>
      <c r="G1212" s="21"/>
      <c r="H1212" s="21"/>
      <c r="I1212" s="21">
        <v>67</v>
      </c>
      <c r="J1212" s="24">
        <v>-15.9</v>
      </c>
      <c r="K1212" s="21"/>
    </row>
    <row r="1213" spans="1:11" ht="16" x14ac:dyDescent="0.2">
      <c r="A1213" s="21">
        <v>1212</v>
      </c>
      <c r="B1213" s="22" t="s">
        <v>434</v>
      </c>
      <c r="C1213" s="22" t="s">
        <v>18</v>
      </c>
      <c r="D1213" s="21" t="s">
        <v>78</v>
      </c>
      <c r="E1213" s="21"/>
      <c r="F1213" s="21"/>
      <c r="G1213" s="21"/>
      <c r="H1213" s="21">
        <v>277</v>
      </c>
      <c r="I1213" s="21"/>
      <c r="J1213" s="24">
        <v>-15.9</v>
      </c>
      <c r="K1213" s="21"/>
    </row>
    <row r="1214" spans="1:11" ht="16" x14ac:dyDescent="0.2">
      <c r="A1214" s="21">
        <v>1213</v>
      </c>
      <c r="B1214" s="22" t="s">
        <v>848</v>
      </c>
      <c r="C1214" s="22" t="s">
        <v>27</v>
      </c>
      <c r="D1214" s="21" t="s">
        <v>69</v>
      </c>
      <c r="E1214" s="21"/>
      <c r="F1214" s="21"/>
      <c r="G1214" s="21"/>
      <c r="H1214" s="21"/>
      <c r="I1214" s="21">
        <v>9.1</v>
      </c>
      <c r="J1214" s="24">
        <v>-15.9</v>
      </c>
      <c r="K1214" s="21"/>
    </row>
    <row r="1215" spans="1:11" ht="16" x14ac:dyDescent="0.2">
      <c r="A1215" s="21">
        <v>1214</v>
      </c>
      <c r="B1215" s="22" t="s">
        <v>1774</v>
      </c>
      <c r="C1215" s="22" t="s">
        <v>89</v>
      </c>
      <c r="D1215" s="21" t="s">
        <v>69</v>
      </c>
      <c r="E1215" s="21"/>
      <c r="F1215" s="21"/>
      <c r="G1215" s="21"/>
      <c r="H1215" s="21"/>
      <c r="I1215" s="21">
        <v>31</v>
      </c>
      <c r="J1215" s="24">
        <v>-15.9</v>
      </c>
      <c r="K1215" s="21"/>
    </row>
    <row r="1216" spans="1:11" ht="16" x14ac:dyDescent="0.2">
      <c r="A1216" s="21">
        <v>1215</v>
      </c>
      <c r="B1216" s="22" t="s">
        <v>1775</v>
      </c>
      <c r="C1216" s="22" t="s">
        <v>125</v>
      </c>
      <c r="D1216" s="21" t="s">
        <v>69</v>
      </c>
      <c r="E1216" s="21"/>
      <c r="F1216" s="21"/>
      <c r="G1216" s="21"/>
      <c r="H1216" s="21"/>
      <c r="I1216" s="21">
        <v>18.100000000000001</v>
      </c>
      <c r="J1216" s="24">
        <v>-16</v>
      </c>
      <c r="K1216" s="21"/>
    </row>
    <row r="1217" spans="1:11" ht="16" x14ac:dyDescent="0.2">
      <c r="A1217" s="21">
        <v>1216</v>
      </c>
      <c r="B1217" s="22" t="s">
        <v>493</v>
      </c>
      <c r="C1217" s="22" t="s">
        <v>18</v>
      </c>
      <c r="D1217" s="21" t="s">
        <v>69</v>
      </c>
      <c r="E1217" s="21"/>
      <c r="F1217" s="21"/>
      <c r="G1217" s="21"/>
      <c r="H1217" s="21"/>
      <c r="I1217" s="21">
        <v>7</v>
      </c>
      <c r="J1217" s="24">
        <v>-16</v>
      </c>
      <c r="K1217" s="21"/>
    </row>
    <row r="1218" spans="1:11" ht="16" x14ac:dyDescent="0.2">
      <c r="A1218" s="21">
        <v>1217</v>
      </c>
      <c r="B1218" s="22" t="s">
        <v>1776</v>
      </c>
      <c r="C1218" s="22" t="s">
        <v>117</v>
      </c>
      <c r="D1218" s="21" t="s">
        <v>69</v>
      </c>
      <c r="E1218" s="21"/>
      <c r="F1218" s="21"/>
      <c r="G1218" s="21"/>
      <c r="H1218" s="21"/>
      <c r="I1218" s="21">
        <v>11</v>
      </c>
      <c r="J1218" s="24">
        <v>-16</v>
      </c>
      <c r="K1218" s="21"/>
    </row>
    <row r="1219" spans="1:11" ht="16" x14ac:dyDescent="0.2">
      <c r="A1219" s="21">
        <v>1218</v>
      </c>
      <c r="B1219" s="22" t="s">
        <v>980</v>
      </c>
      <c r="C1219" s="22" t="s">
        <v>50</v>
      </c>
      <c r="D1219" s="21" t="s">
        <v>19</v>
      </c>
      <c r="E1219" s="21"/>
      <c r="F1219" s="21"/>
      <c r="G1219" s="21"/>
      <c r="H1219" s="21">
        <v>416</v>
      </c>
      <c r="I1219" s="21"/>
      <c r="J1219" s="24">
        <v>-16</v>
      </c>
      <c r="K1219" s="21"/>
    </row>
    <row r="1220" spans="1:11" ht="16" x14ac:dyDescent="0.2">
      <c r="A1220" s="21">
        <v>1219</v>
      </c>
      <c r="B1220" s="22" t="s">
        <v>1296</v>
      </c>
      <c r="C1220" s="22" t="s">
        <v>21</v>
      </c>
      <c r="D1220" s="21" t="s">
        <v>25</v>
      </c>
      <c r="E1220" s="21"/>
      <c r="F1220" s="21"/>
      <c r="G1220" s="21"/>
      <c r="H1220" s="21">
        <v>138</v>
      </c>
      <c r="I1220" s="21"/>
      <c r="J1220" s="24">
        <v>-16</v>
      </c>
      <c r="K1220" s="21"/>
    </row>
    <row r="1221" spans="1:11" ht="16" x14ac:dyDescent="0.2">
      <c r="A1221" s="21">
        <v>1220</v>
      </c>
      <c r="B1221" s="22" t="s">
        <v>1777</v>
      </c>
      <c r="C1221" s="22" t="s">
        <v>125</v>
      </c>
      <c r="D1221" s="21" t="s">
        <v>69</v>
      </c>
      <c r="E1221" s="21"/>
      <c r="F1221" s="21"/>
      <c r="G1221" s="21"/>
      <c r="H1221" s="21"/>
      <c r="I1221" s="21">
        <v>24.1</v>
      </c>
      <c r="J1221" s="24">
        <v>-16</v>
      </c>
      <c r="K1221" s="21"/>
    </row>
    <row r="1222" spans="1:11" ht="16" x14ac:dyDescent="0.2">
      <c r="A1222" s="21">
        <v>1221</v>
      </c>
      <c r="B1222" s="22" t="s">
        <v>638</v>
      </c>
      <c r="C1222" s="21"/>
      <c r="D1222" s="21" t="s">
        <v>69</v>
      </c>
      <c r="E1222" s="21"/>
      <c r="F1222" s="21"/>
      <c r="G1222" s="21"/>
      <c r="H1222" s="21"/>
      <c r="I1222" s="21">
        <v>15</v>
      </c>
      <c r="J1222" s="24">
        <v>-16</v>
      </c>
      <c r="K1222" s="21"/>
    </row>
    <row r="1223" spans="1:11" ht="16" x14ac:dyDescent="0.2">
      <c r="A1223" s="21">
        <v>1222</v>
      </c>
      <c r="B1223" s="22" t="s">
        <v>941</v>
      </c>
      <c r="C1223" s="22" t="s">
        <v>117</v>
      </c>
      <c r="D1223" s="21" t="s">
        <v>69</v>
      </c>
      <c r="E1223" s="21"/>
      <c r="F1223" s="21"/>
      <c r="G1223" s="21"/>
      <c r="H1223" s="21"/>
      <c r="I1223" s="21">
        <v>2</v>
      </c>
      <c r="J1223" s="24">
        <v>-16</v>
      </c>
      <c r="K1223" s="21"/>
    </row>
    <row r="1224" spans="1:11" ht="16" x14ac:dyDescent="0.2">
      <c r="A1224" s="21">
        <v>1223</v>
      </c>
      <c r="B1224" s="22" t="s">
        <v>595</v>
      </c>
      <c r="C1224" s="22" t="s">
        <v>30</v>
      </c>
      <c r="D1224" s="21" t="s">
        <v>78</v>
      </c>
      <c r="E1224" s="21"/>
      <c r="F1224" s="21"/>
      <c r="G1224" s="21"/>
      <c r="H1224" s="21">
        <v>165</v>
      </c>
      <c r="I1224" s="21"/>
      <c r="J1224" s="24">
        <v>-16</v>
      </c>
      <c r="K1224" s="21"/>
    </row>
    <row r="1225" spans="1:11" ht="16" x14ac:dyDescent="0.2">
      <c r="A1225" s="21">
        <v>1224</v>
      </c>
      <c r="B1225" s="22" t="s">
        <v>1778</v>
      </c>
      <c r="C1225" s="22" t="s">
        <v>60</v>
      </c>
      <c r="D1225" s="21" t="s">
        <v>69</v>
      </c>
      <c r="E1225" s="21"/>
      <c r="F1225" s="21"/>
      <c r="G1225" s="21"/>
      <c r="H1225" s="21"/>
      <c r="I1225" s="21">
        <v>30.1</v>
      </c>
      <c r="J1225" s="24">
        <v>-16.100000000000001</v>
      </c>
      <c r="K1225" s="21"/>
    </row>
    <row r="1226" spans="1:11" ht="16" x14ac:dyDescent="0.2">
      <c r="A1226" s="21">
        <v>1225</v>
      </c>
      <c r="B1226" s="22" t="s">
        <v>1297</v>
      </c>
      <c r="C1226" s="22" t="s">
        <v>46</v>
      </c>
      <c r="D1226" s="21" t="s">
        <v>25</v>
      </c>
      <c r="E1226" s="21"/>
      <c r="F1226" s="21"/>
      <c r="G1226" s="21"/>
      <c r="H1226" s="21">
        <v>99</v>
      </c>
      <c r="I1226" s="21"/>
      <c r="J1226" s="24">
        <v>-16.100000000000001</v>
      </c>
      <c r="K1226" s="21"/>
    </row>
    <row r="1227" spans="1:11" ht="16" x14ac:dyDescent="0.2">
      <c r="A1227" s="21">
        <v>1226</v>
      </c>
      <c r="B1227" s="22" t="s">
        <v>302</v>
      </c>
      <c r="C1227" s="22" t="s">
        <v>55</v>
      </c>
      <c r="D1227" s="21" t="s">
        <v>78</v>
      </c>
      <c r="E1227" s="21"/>
      <c r="F1227" s="21"/>
      <c r="G1227" s="21"/>
      <c r="H1227" s="21">
        <v>243</v>
      </c>
      <c r="I1227" s="21"/>
      <c r="J1227" s="24">
        <v>-16.100000000000001</v>
      </c>
      <c r="K1227" s="21"/>
    </row>
    <row r="1228" spans="1:11" ht="16" x14ac:dyDescent="0.2">
      <c r="A1228" s="21">
        <v>1227</v>
      </c>
      <c r="B1228" s="22" t="s">
        <v>894</v>
      </c>
      <c r="C1228" s="22" t="s">
        <v>60</v>
      </c>
      <c r="D1228" s="21" t="s">
        <v>78</v>
      </c>
      <c r="E1228" s="21"/>
      <c r="F1228" s="21"/>
      <c r="G1228" s="21"/>
      <c r="H1228" s="21">
        <v>111</v>
      </c>
      <c r="I1228" s="21"/>
      <c r="J1228" s="24">
        <v>-16.100000000000001</v>
      </c>
      <c r="K1228" s="21"/>
    </row>
    <row r="1229" spans="1:11" ht="16" x14ac:dyDescent="0.2">
      <c r="A1229" s="21">
        <v>1228</v>
      </c>
      <c r="B1229" s="22" t="s">
        <v>1298</v>
      </c>
      <c r="C1229" s="22" t="s">
        <v>132</v>
      </c>
      <c r="D1229" s="21" t="s">
        <v>25</v>
      </c>
      <c r="E1229" s="21"/>
      <c r="F1229" s="21"/>
      <c r="G1229" s="21"/>
      <c r="H1229" s="21">
        <v>206</v>
      </c>
      <c r="I1229" s="21"/>
      <c r="J1229" s="24">
        <v>-16.2</v>
      </c>
      <c r="K1229" s="21"/>
    </row>
    <row r="1230" spans="1:11" ht="16" x14ac:dyDescent="0.2">
      <c r="A1230" s="21">
        <v>1229</v>
      </c>
      <c r="B1230" s="22" t="s">
        <v>949</v>
      </c>
      <c r="C1230" s="22" t="s">
        <v>60</v>
      </c>
      <c r="D1230" s="21" t="s">
        <v>84</v>
      </c>
      <c r="E1230" s="21"/>
      <c r="F1230" s="21"/>
      <c r="G1230" s="21"/>
      <c r="H1230" s="21">
        <v>175</v>
      </c>
      <c r="I1230" s="21"/>
      <c r="J1230" s="24">
        <v>-16.2</v>
      </c>
      <c r="K1230" s="21"/>
    </row>
    <row r="1231" spans="1:11" ht="16" x14ac:dyDescent="0.2">
      <c r="A1231" s="21">
        <v>1230</v>
      </c>
      <c r="B1231" s="22" t="s">
        <v>1287</v>
      </c>
      <c r="C1231" s="21"/>
      <c r="D1231" s="21" t="s">
        <v>69</v>
      </c>
      <c r="E1231" s="21"/>
      <c r="F1231" s="21"/>
      <c r="G1231" s="21"/>
      <c r="H1231" s="21"/>
      <c r="I1231" s="21">
        <v>1</v>
      </c>
      <c r="J1231" s="24">
        <v>-16.2</v>
      </c>
      <c r="K1231" s="21"/>
    </row>
    <row r="1232" spans="1:11" ht="16" x14ac:dyDescent="0.2">
      <c r="A1232" s="21">
        <v>1231</v>
      </c>
      <c r="B1232" s="22" t="s">
        <v>294</v>
      </c>
      <c r="C1232" s="22" t="s">
        <v>34</v>
      </c>
      <c r="D1232" s="21" t="s">
        <v>82</v>
      </c>
      <c r="E1232" s="21"/>
      <c r="F1232" s="21"/>
      <c r="G1232" s="21"/>
      <c r="H1232" s="21">
        <v>337</v>
      </c>
      <c r="I1232" s="21"/>
      <c r="J1232" s="24">
        <v>-16.2</v>
      </c>
      <c r="K1232" s="21"/>
    </row>
    <row r="1233" spans="1:11" ht="16" x14ac:dyDescent="0.2">
      <c r="A1233" s="21">
        <v>1232</v>
      </c>
      <c r="B1233" s="22" t="s">
        <v>971</v>
      </c>
      <c r="C1233" s="22" t="s">
        <v>117</v>
      </c>
      <c r="D1233" s="21" t="s">
        <v>25</v>
      </c>
      <c r="E1233" s="21"/>
      <c r="F1233" s="21"/>
      <c r="G1233" s="21"/>
      <c r="H1233" s="21">
        <v>140</v>
      </c>
      <c r="I1233" s="21"/>
      <c r="J1233" s="24">
        <v>-16.2</v>
      </c>
      <c r="K1233" s="21"/>
    </row>
    <row r="1234" spans="1:11" ht="16" x14ac:dyDescent="0.2">
      <c r="A1234" s="21">
        <v>1233</v>
      </c>
      <c r="B1234" s="22" t="s">
        <v>1299</v>
      </c>
      <c r="C1234" s="22" t="s">
        <v>89</v>
      </c>
      <c r="D1234" s="21" t="s">
        <v>25</v>
      </c>
      <c r="E1234" s="21"/>
      <c r="F1234" s="21"/>
      <c r="G1234" s="21"/>
      <c r="H1234" s="21">
        <v>121</v>
      </c>
      <c r="I1234" s="21"/>
      <c r="J1234" s="24">
        <v>-16.3</v>
      </c>
      <c r="K1234" s="21"/>
    </row>
    <row r="1235" spans="1:11" ht="16" x14ac:dyDescent="0.2">
      <c r="A1235" s="21">
        <v>1234</v>
      </c>
      <c r="B1235" s="22" t="s">
        <v>1300</v>
      </c>
      <c r="C1235" s="22" t="s">
        <v>89</v>
      </c>
      <c r="D1235" s="21" t="s">
        <v>354</v>
      </c>
      <c r="E1235" s="21"/>
      <c r="F1235" s="21"/>
      <c r="G1235" s="21"/>
      <c r="H1235" s="21">
        <v>207</v>
      </c>
      <c r="I1235" s="21"/>
      <c r="J1235" s="24">
        <v>-16.3</v>
      </c>
      <c r="K1235" s="21"/>
    </row>
    <row r="1236" spans="1:11" ht="16" x14ac:dyDescent="0.2">
      <c r="A1236" s="21">
        <v>1235</v>
      </c>
      <c r="B1236" s="22" t="s">
        <v>945</v>
      </c>
      <c r="C1236" s="22" t="s">
        <v>18</v>
      </c>
      <c r="D1236" s="21" t="s">
        <v>25</v>
      </c>
      <c r="E1236" s="21"/>
      <c r="F1236" s="21"/>
      <c r="G1236" s="21"/>
      <c r="H1236" s="21">
        <v>219</v>
      </c>
      <c r="I1236" s="21"/>
      <c r="J1236" s="24">
        <v>-16.3</v>
      </c>
      <c r="K1236" s="21"/>
    </row>
    <row r="1237" spans="1:11" ht="16" x14ac:dyDescent="0.2">
      <c r="A1237" s="21">
        <v>1236</v>
      </c>
      <c r="B1237" s="22" t="s">
        <v>438</v>
      </c>
      <c r="C1237" s="22" t="s">
        <v>36</v>
      </c>
      <c r="D1237" s="21" t="s">
        <v>69</v>
      </c>
      <c r="E1237" s="21"/>
      <c r="F1237" s="21"/>
      <c r="G1237" s="21"/>
      <c r="H1237" s="21"/>
      <c r="I1237" s="21">
        <v>26</v>
      </c>
      <c r="J1237" s="24">
        <v>-16.3</v>
      </c>
      <c r="K1237" s="21"/>
    </row>
    <row r="1238" spans="1:11" ht="16" x14ac:dyDescent="0.2">
      <c r="A1238" s="21">
        <v>1237</v>
      </c>
      <c r="B1238" s="22" t="s">
        <v>1779</v>
      </c>
      <c r="C1238" s="22" t="s">
        <v>46</v>
      </c>
      <c r="D1238" s="21" t="s">
        <v>69</v>
      </c>
      <c r="E1238" s="21"/>
      <c r="F1238" s="21"/>
      <c r="G1238" s="21"/>
      <c r="H1238" s="21"/>
      <c r="I1238" s="21">
        <v>3</v>
      </c>
      <c r="J1238" s="24">
        <v>-16.399999999999999</v>
      </c>
      <c r="K1238" s="21"/>
    </row>
    <row r="1239" spans="1:11" ht="16" x14ac:dyDescent="0.2">
      <c r="A1239" s="21">
        <v>1238</v>
      </c>
      <c r="B1239" s="22" t="s">
        <v>1301</v>
      </c>
      <c r="C1239" s="22" t="s">
        <v>60</v>
      </c>
      <c r="D1239" s="21" t="s">
        <v>78</v>
      </c>
      <c r="E1239" s="21"/>
      <c r="F1239" s="21"/>
      <c r="G1239" s="21"/>
      <c r="H1239" s="21">
        <v>257</v>
      </c>
      <c r="I1239" s="21"/>
      <c r="J1239" s="24">
        <v>-16.399999999999999</v>
      </c>
      <c r="K1239" s="21"/>
    </row>
    <row r="1240" spans="1:11" ht="16" x14ac:dyDescent="0.2">
      <c r="A1240" s="21">
        <v>1239</v>
      </c>
      <c r="B1240" s="22" t="s">
        <v>917</v>
      </c>
      <c r="C1240" s="22" t="s">
        <v>39</v>
      </c>
      <c r="D1240" s="21" t="s">
        <v>25</v>
      </c>
      <c r="E1240" s="21"/>
      <c r="F1240" s="21"/>
      <c r="G1240" s="21"/>
      <c r="H1240" s="21">
        <v>148</v>
      </c>
      <c r="I1240" s="21"/>
      <c r="J1240" s="24">
        <v>-16.399999999999999</v>
      </c>
      <c r="K1240" s="21"/>
    </row>
    <row r="1241" spans="1:11" ht="16" x14ac:dyDescent="0.2">
      <c r="A1241" s="21">
        <v>1240</v>
      </c>
      <c r="B1241" s="22" t="s">
        <v>1780</v>
      </c>
      <c r="C1241" s="22" t="s">
        <v>60</v>
      </c>
      <c r="D1241" s="21" t="s">
        <v>69</v>
      </c>
      <c r="E1241" s="21"/>
      <c r="F1241" s="21"/>
      <c r="G1241" s="21"/>
      <c r="H1241" s="21"/>
      <c r="I1241" s="21">
        <v>6.1</v>
      </c>
      <c r="J1241" s="24">
        <v>-16.399999999999999</v>
      </c>
      <c r="K1241" s="21"/>
    </row>
    <row r="1242" spans="1:11" ht="16" x14ac:dyDescent="0.2">
      <c r="A1242" s="21">
        <v>1241</v>
      </c>
      <c r="B1242" s="22" t="s">
        <v>695</v>
      </c>
      <c r="C1242" s="21"/>
      <c r="D1242" s="21" t="s">
        <v>69</v>
      </c>
      <c r="E1242" s="21"/>
      <c r="F1242" s="21"/>
      <c r="G1242" s="21"/>
      <c r="H1242" s="21"/>
      <c r="I1242" s="21">
        <v>15.1</v>
      </c>
      <c r="J1242" s="24">
        <v>-16.5</v>
      </c>
      <c r="K1242" s="21"/>
    </row>
    <row r="1243" spans="1:11" ht="16" x14ac:dyDescent="0.2">
      <c r="A1243" s="21">
        <v>1242</v>
      </c>
      <c r="B1243" s="22" t="s">
        <v>1781</v>
      </c>
      <c r="C1243" s="22" t="s">
        <v>52</v>
      </c>
      <c r="D1243" s="21" t="s">
        <v>69</v>
      </c>
      <c r="E1243" s="21"/>
      <c r="F1243" s="21"/>
      <c r="G1243" s="21"/>
      <c r="H1243" s="21"/>
      <c r="I1243" s="21">
        <v>34</v>
      </c>
      <c r="J1243" s="24">
        <v>-16.5</v>
      </c>
      <c r="K1243" s="21"/>
    </row>
    <row r="1244" spans="1:11" ht="16" x14ac:dyDescent="0.2">
      <c r="A1244" s="21">
        <v>1243</v>
      </c>
      <c r="B1244" s="22" t="s">
        <v>1782</v>
      </c>
      <c r="C1244" s="22" t="s">
        <v>27</v>
      </c>
      <c r="D1244" s="21" t="s">
        <v>69</v>
      </c>
      <c r="E1244" s="21"/>
      <c r="F1244" s="21"/>
      <c r="G1244" s="21"/>
      <c r="H1244" s="21"/>
      <c r="I1244" s="21">
        <v>31</v>
      </c>
      <c r="J1244" s="24">
        <v>-16.5</v>
      </c>
      <c r="K1244" s="21"/>
    </row>
    <row r="1245" spans="1:11" ht="16" x14ac:dyDescent="0.2">
      <c r="A1245" s="21">
        <v>1244</v>
      </c>
      <c r="B1245" s="22" t="s">
        <v>1783</v>
      </c>
      <c r="C1245" s="22" t="s">
        <v>57</v>
      </c>
      <c r="D1245" s="21" t="s">
        <v>69</v>
      </c>
      <c r="E1245" s="21"/>
      <c r="F1245" s="21"/>
      <c r="G1245" s="21"/>
      <c r="H1245" s="21"/>
      <c r="I1245" s="21">
        <v>46</v>
      </c>
      <c r="J1245" s="24">
        <v>-16.5</v>
      </c>
      <c r="K1245" s="21"/>
    </row>
    <row r="1246" spans="1:11" ht="16" x14ac:dyDescent="0.2">
      <c r="A1246" s="21">
        <v>1245</v>
      </c>
      <c r="B1246" s="22" t="s">
        <v>684</v>
      </c>
      <c r="C1246" s="22" t="s">
        <v>313</v>
      </c>
      <c r="D1246" s="21" t="s">
        <v>25</v>
      </c>
      <c r="E1246" s="21"/>
      <c r="F1246" s="21"/>
      <c r="G1246" s="21"/>
      <c r="H1246" s="21">
        <v>149</v>
      </c>
      <c r="I1246" s="21"/>
      <c r="J1246" s="24">
        <v>-16.5</v>
      </c>
      <c r="K1246" s="21"/>
    </row>
    <row r="1247" spans="1:11" ht="16" x14ac:dyDescent="0.2">
      <c r="A1247" s="21">
        <v>1246</v>
      </c>
      <c r="B1247" s="22" t="s">
        <v>1302</v>
      </c>
      <c r="C1247" s="22" t="s">
        <v>117</v>
      </c>
      <c r="D1247" s="21" t="s">
        <v>78</v>
      </c>
      <c r="E1247" s="21"/>
      <c r="F1247" s="21"/>
      <c r="G1247" s="21"/>
      <c r="H1247" s="21">
        <v>184</v>
      </c>
      <c r="I1247" s="21"/>
      <c r="J1247" s="24">
        <v>-16.600000000000001</v>
      </c>
      <c r="K1247" s="21"/>
    </row>
    <row r="1248" spans="1:11" ht="16" x14ac:dyDescent="0.2">
      <c r="A1248" s="21">
        <v>1247</v>
      </c>
      <c r="B1248" s="22" t="s">
        <v>535</v>
      </c>
      <c r="C1248" s="22" t="s">
        <v>27</v>
      </c>
      <c r="D1248" s="21" t="s">
        <v>25</v>
      </c>
      <c r="E1248" s="21"/>
      <c r="F1248" s="21"/>
      <c r="G1248" s="21"/>
      <c r="H1248" s="21">
        <v>213</v>
      </c>
      <c r="I1248" s="21"/>
      <c r="J1248" s="24">
        <v>-16.600000000000001</v>
      </c>
      <c r="K1248" s="21"/>
    </row>
    <row r="1249" spans="1:11" ht="16" x14ac:dyDescent="0.2">
      <c r="A1249" s="21">
        <v>1248</v>
      </c>
      <c r="B1249" s="22" t="s">
        <v>1356</v>
      </c>
      <c r="C1249" s="22" t="s">
        <v>64</v>
      </c>
      <c r="D1249" s="21" t="s">
        <v>69</v>
      </c>
      <c r="E1249" s="21"/>
      <c r="F1249" s="21"/>
      <c r="G1249" s="21"/>
      <c r="H1249" s="21"/>
      <c r="I1249" s="21">
        <v>2</v>
      </c>
      <c r="J1249" s="24">
        <v>-16.600000000000001</v>
      </c>
      <c r="K1249" s="21"/>
    </row>
    <row r="1250" spans="1:11" ht="16" x14ac:dyDescent="0.2">
      <c r="A1250" s="21">
        <v>1249</v>
      </c>
      <c r="B1250" s="22" t="s">
        <v>718</v>
      </c>
      <c r="C1250" s="21"/>
      <c r="D1250" s="21" t="s">
        <v>69</v>
      </c>
      <c r="E1250" s="21"/>
      <c r="F1250" s="21"/>
      <c r="G1250" s="21"/>
      <c r="H1250" s="21"/>
      <c r="I1250" s="21">
        <v>1</v>
      </c>
      <c r="J1250" s="24">
        <v>-16.600000000000001</v>
      </c>
      <c r="K1250" s="21"/>
    </row>
    <row r="1251" spans="1:11" ht="16" x14ac:dyDescent="0.2">
      <c r="A1251" s="21">
        <v>1250</v>
      </c>
      <c r="B1251" s="22" t="s">
        <v>1122</v>
      </c>
      <c r="C1251" s="22" t="s">
        <v>117</v>
      </c>
      <c r="D1251" s="21" t="s">
        <v>69</v>
      </c>
      <c r="E1251" s="21"/>
      <c r="F1251" s="23">
        <v>0.02</v>
      </c>
      <c r="G1251" s="23">
        <v>0.02</v>
      </c>
      <c r="H1251" s="21"/>
      <c r="I1251" s="21">
        <v>42.1</v>
      </c>
      <c r="J1251" s="24">
        <v>-16.7</v>
      </c>
      <c r="K1251" s="21"/>
    </row>
    <row r="1252" spans="1:11" ht="16" x14ac:dyDescent="0.2">
      <c r="A1252" s="21">
        <v>1251</v>
      </c>
      <c r="B1252" s="22" t="s">
        <v>721</v>
      </c>
      <c r="C1252" s="22" t="s">
        <v>52</v>
      </c>
      <c r="D1252" s="21" t="s">
        <v>956</v>
      </c>
      <c r="E1252" s="21"/>
      <c r="F1252" s="21"/>
      <c r="G1252" s="21"/>
      <c r="H1252" s="21">
        <v>121</v>
      </c>
      <c r="I1252" s="21"/>
      <c r="J1252" s="24">
        <v>-16.7</v>
      </c>
      <c r="K1252" s="21"/>
    </row>
    <row r="1253" spans="1:11" ht="16" x14ac:dyDescent="0.2">
      <c r="A1253" s="21">
        <v>1252</v>
      </c>
      <c r="B1253" s="22" t="s">
        <v>837</v>
      </c>
      <c r="C1253" s="22" t="s">
        <v>89</v>
      </c>
      <c r="D1253" s="21" t="s">
        <v>69</v>
      </c>
      <c r="E1253" s="21"/>
      <c r="F1253" s="21"/>
      <c r="G1253" s="21"/>
      <c r="H1253" s="21"/>
      <c r="I1253" s="21">
        <v>23</v>
      </c>
      <c r="J1253" s="24">
        <v>-16.7</v>
      </c>
      <c r="K1253" s="21"/>
    </row>
    <row r="1254" spans="1:11" ht="16" x14ac:dyDescent="0.2">
      <c r="A1254" s="21">
        <v>1253</v>
      </c>
      <c r="B1254" s="22" t="s">
        <v>1784</v>
      </c>
      <c r="C1254" s="22" t="s">
        <v>89</v>
      </c>
      <c r="D1254" s="21" t="s">
        <v>28</v>
      </c>
      <c r="E1254" s="21"/>
      <c r="F1254" s="21"/>
      <c r="G1254" s="21"/>
      <c r="H1254" s="21"/>
      <c r="I1254" s="21">
        <v>34</v>
      </c>
      <c r="J1254" s="24">
        <v>-16.7</v>
      </c>
      <c r="K1254" s="21"/>
    </row>
    <row r="1255" spans="1:11" ht="16" x14ac:dyDescent="0.2">
      <c r="A1255" s="21">
        <v>1254</v>
      </c>
      <c r="B1255" s="22" t="s">
        <v>598</v>
      </c>
      <c r="C1255" s="22" t="s">
        <v>211</v>
      </c>
      <c r="D1255" s="21" t="s">
        <v>69</v>
      </c>
      <c r="E1255" s="21"/>
      <c r="F1255" s="21"/>
      <c r="G1255" s="21"/>
      <c r="H1255" s="21"/>
      <c r="I1255" s="21">
        <v>48</v>
      </c>
      <c r="J1255" s="24">
        <v>-16.7</v>
      </c>
      <c r="K1255" s="21"/>
    </row>
    <row r="1256" spans="1:11" ht="16" x14ac:dyDescent="0.2">
      <c r="A1256" s="21">
        <v>1255</v>
      </c>
      <c r="B1256" s="22" t="s">
        <v>1785</v>
      </c>
      <c r="C1256" s="21"/>
      <c r="D1256" s="21" t="s">
        <v>69</v>
      </c>
      <c r="E1256" s="21"/>
      <c r="F1256" s="21"/>
      <c r="G1256" s="21"/>
      <c r="H1256" s="21"/>
      <c r="I1256" s="21">
        <v>17.100000000000001</v>
      </c>
      <c r="J1256" s="24">
        <v>-16.7</v>
      </c>
      <c r="K1256" s="21"/>
    </row>
    <row r="1257" spans="1:11" ht="16" x14ac:dyDescent="0.2">
      <c r="A1257" s="21">
        <v>1256</v>
      </c>
      <c r="B1257" s="22" t="s">
        <v>911</v>
      </c>
      <c r="C1257" s="22" t="s">
        <v>66</v>
      </c>
      <c r="D1257" s="21" t="s">
        <v>25</v>
      </c>
      <c r="E1257" s="21"/>
      <c r="F1257" s="21"/>
      <c r="G1257" s="21"/>
      <c r="H1257" s="21">
        <v>84</v>
      </c>
      <c r="I1257" s="21"/>
      <c r="J1257" s="24">
        <v>-16.8</v>
      </c>
      <c r="K1257" s="21"/>
    </row>
    <row r="1258" spans="1:11" ht="16" x14ac:dyDescent="0.2">
      <c r="A1258" s="21">
        <v>1257</v>
      </c>
      <c r="B1258" s="22" t="s">
        <v>600</v>
      </c>
      <c r="C1258" s="21"/>
      <c r="D1258" s="21" t="s">
        <v>69</v>
      </c>
      <c r="E1258" s="21"/>
      <c r="F1258" s="21"/>
      <c r="G1258" s="21"/>
      <c r="H1258" s="21"/>
      <c r="I1258" s="21">
        <v>16</v>
      </c>
      <c r="J1258" s="24">
        <v>-16.8</v>
      </c>
      <c r="K1258" s="21"/>
    </row>
    <row r="1259" spans="1:11" ht="16" x14ac:dyDescent="0.2">
      <c r="A1259" s="21">
        <v>1258</v>
      </c>
      <c r="B1259" s="22" t="s">
        <v>1303</v>
      </c>
      <c r="C1259" s="22" t="s">
        <v>24</v>
      </c>
      <c r="D1259" s="21" t="s">
        <v>87</v>
      </c>
      <c r="E1259" s="21"/>
      <c r="F1259" s="21"/>
      <c r="G1259" s="21"/>
      <c r="H1259" s="21">
        <v>184</v>
      </c>
      <c r="I1259" s="21"/>
      <c r="J1259" s="24">
        <v>-16.8</v>
      </c>
      <c r="K1259" s="21"/>
    </row>
    <row r="1260" spans="1:11" ht="16" x14ac:dyDescent="0.2">
      <c r="A1260" s="21">
        <v>1259</v>
      </c>
      <c r="B1260" s="22" t="s">
        <v>560</v>
      </c>
      <c r="C1260" s="22" t="s">
        <v>140</v>
      </c>
      <c r="D1260" s="21" t="s">
        <v>69</v>
      </c>
      <c r="E1260" s="21"/>
      <c r="F1260" s="21"/>
      <c r="G1260" s="21"/>
      <c r="H1260" s="21"/>
      <c r="I1260" s="21">
        <v>6</v>
      </c>
      <c r="J1260" s="24">
        <v>-16.8</v>
      </c>
      <c r="K1260" s="21"/>
    </row>
    <row r="1261" spans="1:11" ht="16" x14ac:dyDescent="0.2">
      <c r="A1261" s="21">
        <v>1260</v>
      </c>
      <c r="B1261" s="22" t="s">
        <v>204</v>
      </c>
      <c r="C1261" s="22" t="s">
        <v>140</v>
      </c>
      <c r="D1261" s="21" t="s">
        <v>13</v>
      </c>
      <c r="E1261" s="21"/>
      <c r="F1261" s="21"/>
      <c r="G1261" s="21"/>
      <c r="H1261" s="21">
        <v>306</v>
      </c>
      <c r="I1261" s="21"/>
      <c r="J1261" s="24">
        <v>-16.899999999999999</v>
      </c>
      <c r="K1261" s="21"/>
    </row>
    <row r="1262" spans="1:11" ht="16" x14ac:dyDescent="0.2">
      <c r="A1262" s="21">
        <v>1261</v>
      </c>
      <c r="B1262" s="22" t="s">
        <v>368</v>
      </c>
      <c r="C1262" s="22" t="s">
        <v>115</v>
      </c>
      <c r="D1262" s="21" t="s">
        <v>28</v>
      </c>
      <c r="E1262" s="21"/>
      <c r="F1262" s="21"/>
      <c r="G1262" s="21"/>
      <c r="H1262" s="21"/>
      <c r="I1262" s="21">
        <v>162.1</v>
      </c>
      <c r="J1262" s="24">
        <v>-16.899999999999999</v>
      </c>
      <c r="K1262" s="21"/>
    </row>
    <row r="1263" spans="1:11" ht="16" x14ac:dyDescent="0.2">
      <c r="A1263" s="21">
        <v>1262</v>
      </c>
      <c r="B1263" s="22" t="s">
        <v>1786</v>
      </c>
      <c r="C1263" s="22" t="s">
        <v>211</v>
      </c>
      <c r="D1263" s="21" t="s">
        <v>69</v>
      </c>
      <c r="E1263" s="21"/>
      <c r="F1263" s="21"/>
      <c r="G1263" s="21"/>
      <c r="H1263" s="21"/>
      <c r="I1263" s="21">
        <v>12</v>
      </c>
      <c r="J1263" s="24">
        <v>-17</v>
      </c>
      <c r="K1263" s="21"/>
    </row>
    <row r="1264" spans="1:11" ht="16" x14ac:dyDescent="0.2">
      <c r="A1264" s="21">
        <v>1263</v>
      </c>
      <c r="B1264" s="22" t="s">
        <v>806</v>
      </c>
      <c r="C1264" s="22" t="s">
        <v>27</v>
      </c>
      <c r="D1264" s="21" t="s">
        <v>25</v>
      </c>
      <c r="E1264" s="21"/>
      <c r="F1264" s="21"/>
      <c r="G1264" s="21"/>
      <c r="H1264" s="21">
        <v>160</v>
      </c>
      <c r="I1264" s="21"/>
      <c r="J1264" s="24">
        <v>-17</v>
      </c>
      <c r="K1264" s="21"/>
    </row>
    <row r="1265" spans="1:11" ht="16" x14ac:dyDescent="0.2">
      <c r="A1265" s="21">
        <v>1264</v>
      </c>
      <c r="B1265" s="22" t="s">
        <v>1787</v>
      </c>
      <c r="C1265" s="21"/>
      <c r="D1265" s="21" t="s">
        <v>69</v>
      </c>
      <c r="E1265" s="21"/>
      <c r="F1265" s="21"/>
      <c r="G1265" s="21"/>
      <c r="H1265" s="21"/>
      <c r="I1265" s="21">
        <v>10</v>
      </c>
      <c r="J1265" s="24">
        <v>-17</v>
      </c>
      <c r="K1265" s="21"/>
    </row>
    <row r="1266" spans="1:11" ht="16" x14ac:dyDescent="0.2">
      <c r="A1266" s="21">
        <v>1265</v>
      </c>
      <c r="B1266" s="22" t="s">
        <v>594</v>
      </c>
      <c r="C1266" s="22" t="s">
        <v>18</v>
      </c>
      <c r="D1266" s="21" t="s">
        <v>69</v>
      </c>
      <c r="E1266" s="21"/>
      <c r="F1266" s="21"/>
      <c r="G1266" s="21"/>
      <c r="H1266" s="21"/>
      <c r="I1266" s="21">
        <v>40</v>
      </c>
      <c r="J1266" s="24">
        <v>-17</v>
      </c>
      <c r="K1266" s="21"/>
    </row>
    <row r="1267" spans="1:11" ht="16" x14ac:dyDescent="0.2">
      <c r="A1267" s="21">
        <v>1266</v>
      </c>
      <c r="B1267" s="22" t="s">
        <v>1304</v>
      </c>
      <c r="C1267" s="22" t="s">
        <v>18</v>
      </c>
      <c r="D1267" s="21" t="s">
        <v>25</v>
      </c>
      <c r="E1267" s="21"/>
      <c r="F1267" s="21"/>
      <c r="G1267" s="21"/>
      <c r="H1267" s="21">
        <v>175</v>
      </c>
      <c r="I1267" s="21"/>
      <c r="J1267" s="24">
        <v>-17</v>
      </c>
      <c r="K1267" s="21"/>
    </row>
    <row r="1268" spans="1:11" ht="16" x14ac:dyDescent="0.2">
      <c r="A1268" s="21">
        <v>1267</v>
      </c>
      <c r="B1268" s="22" t="s">
        <v>331</v>
      </c>
      <c r="C1268" s="22" t="s">
        <v>30</v>
      </c>
      <c r="D1268" s="21" t="s">
        <v>25</v>
      </c>
      <c r="E1268" s="21"/>
      <c r="F1268" s="21"/>
      <c r="G1268" s="21"/>
      <c r="H1268" s="21">
        <v>180</v>
      </c>
      <c r="I1268" s="21"/>
      <c r="J1268" s="24">
        <v>-17</v>
      </c>
      <c r="K1268" s="21"/>
    </row>
    <row r="1269" spans="1:11" ht="16" x14ac:dyDescent="0.2">
      <c r="A1269" s="21">
        <v>1268</v>
      </c>
      <c r="B1269" s="22" t="s">
        <v>769</v>
      </c>
      <c r="C1269" s="22" t="s">
        <v>140</v>
      </c>
      <c r="D1269" s="21" t="s">
        <v>28</v>
      </c>
      <c r="E1269" s="21"/>
      <c r="F1269" s="21"/>
      <c r="G1269" s="21"/>
      <c r="H1269" s="21"/>
      <c r="I1269" s="21">
        <v>117.1</v>
      </c>
      <c r="J1269" s="24">
        <v>-17</v>
      </c>
      <c r="K1269" s="21"/>
    </row>
    <row r="1270" spans="1:11" ht="16" x14ac:dyDescent="0.2">
      <c r="A1270" s="21">
        <v>1269</v>
      </c>
      <c r="B1270" s="22" t="s">
        <v>455</v>
      </c>
      <c r="C1270" s="22" t="s">
        <v>132</v>
      </c>
      <c r="D1270" s="21" t="s">
        <v>28</v>
      </c>
      <c r="E1270" s="21"/>
      <c r="F1270" s="21"/>
      <c r="G1270" s="21"/>
      <c r="H1270" s="21"/>
      <c r="I1270" s="21">
        <v>164.1</v>
      </c>
      <c r="J1270" s="24">
        <v>-17</v>
      </c>
      <c r="K1270" s="21"/>
    </row>
    <row r="1271" spans="1:11" ht="16" x14ac:dyDescent="0.2">
      <c r="A1271" s="21">
        <v>1270</v>
      </c>
      <c r="B1271" s="22" t="s">
        <v>243</v>
      </c>
      <c r="C1271" s="22" t="s">
        <v>60</v>
      </c>
      <c r="D1271" s="21" t="s">
        <v>135</v>
      </c>
      <c r="E1271" s="21"/>
      <c r="F1271" s="21"/>
      <c r="G1271" s="21"/>
      <c r="H1271" s="21">
        <v>219</v>
      </c>
      <c r="I1271" s="21"/>
      <c r="J1271" s="24">
        <v>-17</v>
      </c>
      <c r="K1271" s="21"/>
    </row>
    <row r="1272" spans="1:11" ht="16" x14ac:dyDescent="0.2">
      <c r="A1272" s="21">
        <v>1271</v>
      </c>
      <c r="B1272" s="22" t="s">
        <v>760</v>
      </c>
      <c r="C1272" s="22" t="s">
        <v>140</v>
      </c>
      <c r="D1272" s="21" t="s">
        <v>1305</v>
      </c>
      <c r="E1272" s="21"/>
      <c r="F1272" s="21"/>
      <c r="G1272" s="21"/>
      <c r="H1272" s="21">
        <v>219</v>
      </c>
      <c r="I1272" s="21"/>
      <c r="J1272" s="24">
        <v>-17</v>
      </c>
      <c r="K1272" s="21"/>
    </row>
    <row r="1273" spans="1:11" ht="16" x14ac:dyDescent="0.2">
      <c r="A1273" s="21">
        <v>1272</v>
      </c>
      <c r="B1273" s="22" t="s">
        <v>1788</v>
      </c>
      <c r="C1273" s="22" t="s">
        <v>46</v>
      </c>
      <c r="D1273" s="21" t="s">
        <v>69</v>
      </c>
      <c r="E1273" s="21"/>
      <c r="F1273" s="21"/>
      <c r="G1273" s="21"/>
      <c r="H1273" s="21"/>
      <c r="I1273" s="21">
        <v>18</v>
      </c>
      <c r="J1273" s="24">
        <v>-17</v>
      </c>
      <c r="K1273" s="21"/>
    </row>
    <row r="1274" spans="1:11" ht="16" x14ac:dyDescent="0.2">
      <c r="A1274" s="21">
        <v>1273</v>
      </c>
      <c r="B1274" s="22" t="s">
        <v>1789</v>
      </c>
      <c r="C1274" s="22" t="s">
        <v>36</v>
      </c>
      <c r="D1274" s="21" t="s">
        <v>69</v>
      </c>
      <c r="E1274" s="21"/>
      <c r="F1274" s="21"/>
      <c r="G1274" s="21"/>
      <c r="H1274" s="21"/>
      <c r="I1274" s="21">
        <v>5</v>
      </c>
      <c r="J1274" s="24">
        <v>-17.100000000000001</v>
      </c>
      <c r="K1274" s="21"/>
    </row>
    <row r="1275" spans="1:11" ht="16" x14ac:dyDescent="0.2">
      <c r="A1275" s="21">
        <v>1274</v>
      </c>
      <c r="B1275" s="22" t="s">
        <v>803</v>
      </c>
      <c r="C1275" s="22" t="s">
        <v>32</v>
      </c>
      <c r="D1275" s="21" t="s">
        <v>69</v>
      </c>
      <c r="E1275" s="21"/>
      <c r="F1275" s="21"/>
      <c r="G1275" s="21"/>
      <c r="H1275" s="21"/>
      <c r="I1275" s="21">
        <v>6.1</v>
      </c>
      <c r="J1275" s="24">
        <v>-17.100000000000001</v>
      </c>
      <c r="K1275" s="21"/>
    </row>
    <row r="1276" spans="1:11" ht="16" x14ac:dyDescent="0.2">
      <c r="A1276" s="21">
        <v>1275</v>
      </c>
      <c r="B1276" s="22" t="s">
        <v>771</v>
      </c>
      <c r="C1276" s="22" t="s">
        <v>132</v>
      </c>
      <c r="D1276" s="21" t="s">
        <v>87</v>
      </c>
      <c r="E1276" s="21"/>
      <c r="F1276" s="21"/>
      <c r="G1276" s="21"/>
      <c r="H1276" s="21">
        <v>169</v>
      </c>
      <c r="I1276" s="21"/>
      <c r="J1276" s="24">
        <v>-17.100000000000001</v>
      </c>
      <c r="K1276" s="21"/>
    </row>
    <row r="1277" spans="1:11" ht="16" x14ac:dyDescent="0.2">
      <c r="A1277" s="21">
        <v>1276</v>
      </c>
      <c r="B1277" s="22" t="s">
        <v>671</v>
      </c>
      <c r="C1277" s="21"/>
      <c r="D1277" s="21" t="s">
        <v>69</v>
      </c>
      <c r="E1277" s="21"/>
      <c r="F1277" s="21"/>
      <c r="G1277" s="21"/>
      <c r="H1277" s="21"/>
      <c r="I1277" s="21">
        <v>9</v>
      </c>
      <c r="J1277" s="24">
        <v>-17.2</v>
      </c>
      <c r="K1277" s="21"/>
    </row>
    <row r="1278" spans="1:11" ht="16" x14ac:dyDescent="0.2">
      <c r="A1278" s="21">
        <v>1277</v>
      </c>
      <c r="B1278" s="22" t="s">
        <v>500</v>
      </c>
      <c r="C1278" s="22" t="s">
        <v>12</v>
      </c>
      <c r="D1278" s="21" t="s">
        <v>87</v>
      </c>
      <c r="E1278" s="21"/>
      <c r="F1278" s="21"/>
      <c r="G1278" s="21"/>
      <c r="H1278" s="21">
        <v>328</v>
      </c>
      <c r="I1278" s="21"/>
      <c r="J1278" s="24">
        <v>-17.2</v>
      </c>
      <c r="K1278" s="21"/>
    </row>
    <row r="1279" spans="1:11" ht="16" x14ac:dyDescent="0.2">
      <c r="A1279" s="21">
        <v>1278</v>
      </c>
      <c r="B1279" s="22" t="s">
        <v>808</v>
      </c>
      <c r="C1279" s="22" t="s">
        <v>30</v>
      </c>
      <c r="D1279" s="21" t="s">
        <v>25</v>
      </c>
      <c r="E1279" s="21"/>
      <c r="F1279" s="21"/>
      <c r="G1279" s="21"/>
      <c r="H1279" s="21">
        <v>125</v>
      </c>
      <c r="I1279" s="21"/>
      <c r="J1279" s="24">
        <v>-17.3</v>
      </c>
      <c r="K1279" s="21"/>
    </row>
    <row r="1280" spans="1:11" ht="16" x14ac:dyDescent="0.2">
      <c r="A1280" s="21">
        <v>1279</v>
      </c>
      <c r="B1280" s="22" t="s">
        <v>538</v>
      </c>
      <c r="C1280" s="22" t="s">
        <v>12</v>
      </c>
      <c r="D1280" s="21" t="s">
        <v>69</v>
      </c>
      <c r="E1280" s="21"/>
      <c r="F1280" s="21"/>
      <c r="G1280" s="21"/>
      <c r="H1280" s="21"/>
      <c r="I1280" s="21">
        <v>5</v>
      </c>
      <c r="J1280" s="24">
        <v>-17.3</v>
      </c>
      <c r="K1280" s="21"/>
    </row>
    <row r="1281" spans="1:11" ht="16" x14ac:dyDescent="0.2">
      <c r="A1281" s="21">
        <v>1280</v>
      </c>
      <c r="B1281" s="22" t="s">
        <v>1790</v>
      </c>
      <c r="C1281" s="22" t="s">
        <v>115</v>
      </c>
      <c r="D1281" s="21" t="s">
        <v>69</v>
      </c>
      <c r="E1281" s="21"/>
      <c r="F1281" s="21"/>
      <c r="G1281" s="21"/>
      <c r="H1281" s="21"/>
      <c r="I1281" s="21">
        <v>20.100000000000001</v>
      </c>
      <c r="J1281" s="24">
        <v>-17.3</v>
      </c>
      <c r="K1281" s="21"/>
    </row>
    <row r="1282" spans="1:11" ht="16" x14ac:dyDescent="0.2">
      <c r="A1282" s="21">
        <v>1281</v>
      </c>
      <c r="B1282" s="22" t="s">
        <v>1306</v>
      </c>
      <c r="C1282" s="22" t="s">
        <v>132</v>
      </c>
      <c r="D1282" s="21" t="s">
        <v>82</v>
      </c>
      <c r="E1282" s="21"/>
      <c r="F1282" s="21"/>
      <c r="G1282" s="21"/>
      <c r="H1282" s="21">
        <v>146</v>
      </c>
      <c r="I1282" s="21"/>
      <c r="J1282" s="24">
        <v>-17.3</v>
      </c>
      <c r="K1282" s="21"/>
    </row>
    <row r="1283" spans="1:11" ht="16" x14ac:dyDescent="0.2">
      <c r="A1283" s="21">
        <v>1282</v>
      </c>
      <c r="B1283" s="22" t="s">
        <v>1307</v>
      </c>
      <c r="C1283" s="22" t="s">
        <v>50</v>
      </c>
      <c r="D1283" s="21" t="s">
        <v>25</v>
      </c>
      <c r="E1283" s="21"/>
      <c r="F1283" s="23">
        <v>0.06</v>
      </c>
      <c r="G1283" s="23">
        <v>0.02</v>
      </c>
      <c r="H1283" s="21">
        <v>52</v>
      </c>
      <c r="I1283" s="21"/>
      <c r="J1283" s="24">
        <v>-17.399999999999999</v>
      </c>
      <c r="K1283" s="21"/>
    </row>
    <row r="1284" spans="1:11" ht="16" x14ac:dyDescent="0.2">
      <c r="A1284" s="21">
        <v>1283</v>
      </c>
      <c r="B1284" s="22" t="s">
        <v>815</v>
      </c>
      <c r="C1284" s="22" t="s">
        <v>115</v>
      </c>
      <c r="D1284" s="21" t="s">
        <v>69</v>
      </c>
      <c r="E1284" s="21"/>
      <c r="F1284" s="21"/>
      <c r="G1284" s="21"/>
      <c r="H1284" s="21"/>
      <c r="I1284" s="21">
        <v>15.1</v>
      </c>
      <c r="J1284" s="24">
        <v>-17.399999999999999</v>
      </c>
      <c r="K1284" s="21"/>
    </row>
    <row r="1285" spans="1:11" ht="16" x14ac:dyDescent="0.2">
      <c r="A1285" s="21">
        <v>1284</v>
      </c>
      <c r="B1285" s="22" t="s">
        <v>818</v>
      </c>
      <c r="C1285" s="22" t="s">
        <v>64</v>
      </c>
      <c r="D1285" s="21" t="s">
        <v>25</v>
      </c>
      <c r="E1285" s="21"/>
      <c r="F1285" s="21"/>
      <c r="G1285" s="21"/>
      <c r="H1285" s="21">
        <v>241</v>
      </c>
      <c r="I1285" s="21"/>
      <c r="J1285" s="24">
        <v>-17.399999999999999</v>
      </c>
      <c r="K1285" s="21"/>
    </row>
    <row r="1286" spans="1:11" ht="16" x14ac:dyDescent="0.2">
      <c r="A1286" s="21">
        <v>1285</v>
      </c>
      <c r="B1286" s="22" t="s">
        <v>485</v>
      </c>
      <c r="C1286" s="22" t="s">
        <v>15</v>
      </c>
      <c r="D1286" s="21" t="s">
        <v>69</v>
      </c>
      <c r="E1286" s="21"/>
      <c r="F1286" s="21"/>
      <c r="G1286" s="21"/>
      <c r="H1286" s="21"/>
      <c r="I1286" s="21">
        <v>39</v>
      </c>
      <c r="J1286" s="24">
        <v>-17.5</v>
      </c>
      <c r="K1286" s="21"/>
    </row>
    <row r="1287" spans="1:11" ht="16" x14ac:dyDescent="0.2">
      <c r="A1287" s="21">
        <v>1286</v>
      </c>
      <c r="B1287" s="22" t="s">
        <v>1791</v>
      </c>
      <c r="C1287" s="21"/>
      <c r="D1287" s="21" t="s">
        <v>69</v>
      </c>
      <c r="E1287" s="21"/>
      <c r="F1287" s="21"/>
      <c r="G1287" s="21"/>
      <c r="H1287" s="21"/>
      <c r="I1287" s="21">
        <v>9</v>
      </c>
      <c r="J1287" s="24">
        <v>-17.5</v>
      </c>
      <c r="K1287" s="21"/>
    </row>
    <row r="1288" spans="1:11" ht="16" x14ac:dyDescent="0.2">
      <c r="A1288" s="21">
        <v>1287</v>
      </c>
      <c r="B1288" s="22" t="s">
        <v>909</v>
      </c>
      <c r="C1288" s="22" t="s">
        <v>46</v>
      </c>
      <c r="D1288" s="21" t="s">
        <v>254</v>
      </c>
      <c r="E1288" s="21"/>
      <c r="F1288" s="21"/>
      <c r="G1288" s="21"/>
      <c r="H1288" s="21">
        <v>197</v>
      </c>
      <c r="I1288" s="21"/>
      <c r="J1288" s="24">
        <v>-17.5</v>
      </c>
      <c r="K1288" s="21"/>
    </row>
    <row r="1289" spans="1:11" ht="16" x14ac:dyDescent="0.2">
      <c r="A1289" s="21">
        <v>1288</v>
      </c>
      <c r="B1289" s="22" t="s">
        <v>906</v>
      </c>
      <c r="C1289" s="22" t="s">
        <v>18</v>
      </c>
      <c r="D1289" s="21" t="s">
        <v>25</v>
      </c>
      <c r="E1289" s="21"/>
      <c r="F1289" s="21"/>
      <c r="G1289" s="21"/>
      <c r="H1289" s="21">
        <v>188</v>
      </c>
      <c r="I1289" s="21"/>
      <c r="J1289" s="24">
        <v>-17.600000000000001</v>
      </c>
      <c r="K1289" s="21"/>
    </row>
    <row r="1290" spans="1:11" ht="16" x14ac:dyDescent="0.2">
      <c r="A1290" s="21">
        <v>1289</v>
      </c>
      <c r="B1290" s="22" t="s">
        <v>1792</v>
      </c>
      <c r="C1290" s="22" t="s">
        <v>140</v>
      </c>
      <c r="D1290" s="21" t="s">
        <v>69</v>
      </c>
      <c r="E1290" s="21"/>
      <c r="F1290" s="21"/>
      <c r="G1290" s="21"/>
      <c r="H1290" s="21"/>
      <c r="I1290" s="21">
        <v>10.1</v>
      </c>
      <c r="J1290" s="24">
        <v>-17.600000000000001</v>
      </c>
      <c r="K1290" s="21"/>
    </row>
    <row r="1291" spans="1:11" ht="16" x14ac:dyDescent="0.2">
      <c r="A1291" s="21">
        <v>1290</v>
      </c>
      <c r="B1291" s="22" t="s">
        <v>224</v>
      </c>
      <c r="C1291" s="22" t="s">
        <v>21</v>
      </c>
      <c r="D1291" s="21" t="s">
        <v>13</v>
      </c>
      <c r="E1291" s="21"/>
      <c r="F1291" s="21"/>
      <c r="G1291" s="21"/>
      <c r="H1291" s="21">
        <v>157</v>
      </c>
      <c r="I1291" s="21"/>
      <c r="J1291" s="24">
        <v>-17.7</v>
      </c>
      <c r="K1291" s="21"/>
    </row>
    <row r="1292" spans="1:11" ht="16" x14ac:dyDescent="0.2">
      <c r="A1292" s="21">
        <v>1291</v>
      </c>
      <c r="B1292" s="22" t="s">
        <v>844</v>
      </c>
      <c r="C1292" s="21"/>
      <c r="D1292" s="21" t="s">
        <v>78</v>
      </c>
      <c r="E1292" s="21"/>
      <c r="F1292" s="21"/>
      <c r="G1292" s="21"/>
      <c r="H1292" s="21">
        <v>142</v>
      </c>
      <c r="I1292" s="21"/>
      <c r="J1292" s="24">
        <v>-17.7</v>
      </c>
      <c r="K1292" s="21"/>
    </row>
    <row r="1293" spans="1:11" ht="16" x14ac:dyDescent="0.2">
      <c r="A1293" s="21">
        <v>1292</v>
      </c>
      <c r="B1293" s="22" t="s">
        <v>893</v>
      </c>
      <c r="C1293" s="22" t="s">
        <v>50</v>
      </c>
      <c r="D1293" s="21" t="s">
        <v>25</v>
      </c>
      <c r="E1293" s="21"/>
      <c r="F1293" s="21"/>
      <c r="G1293" s="21"/>
      <c r="H1293" s="21">
        <v>109</v>
      </c>
      <c r="I1293" s="21"/>
      <c r="J1293" s="24">
        <v>-17.8</v>
      </c>
      <c r="K1293" s="21"/>
    </row>
    <row r="1294" spans="1:11" ht="16" x14ac:dyDescent="0.2">
      <c r="A1294" s="21">
        <v>1293</v>
      </c>
      <c r="B1294" s="22" t="s">
        <v>1308</v>
      </c>
      <c r="C1294" s="22" t="s">
        <v>140</v>
      </c>
      <c r="D1294" s="21" t="s">
        <v>78</v>
      </c>
      <c r="E1294" s="21"/>
      <c r="F1294" s="21"/>
      <c r="G1294" s="21"/>
      <c r="H1294" s="21">
        <v>121</v>
      </c>
      <c r="I1294" s="21"/>
      <c r="J1294" s="24">
        <v>-17.899999999999999</v>
      </c>
      <c r="K1294" s="21"/>
    </row>
    <row r="1295" spans="1:11" ht="16" x14ac:dyDescent="0.2">
      <c r="A1295" s="21">
        <v>1294</v>
      </c>
      <c r="B1295" s="22" t="s">
        <v>1793</v>
      </c>
      <c r="C1295" s="22" t="s">
        <v>132</v>
      </c>
      <c r="D1295" s="21" t="s">
        <v>69</v>
      </c>
      <c r="E1295" s="21"/>
      <c r="F1295" s="21"/>
      <c r="G1295" s="21"/>
      <c r="H1295" s="21"/>
      <c r="I1295" s="21">
        <v>24</v>
      </c>
      <c r="J1295" s="24">
        <v>-17.899999999999999</v>
      </c>
      <c r="K1295" s="21"/>
    </row>
    <row r="1296" spans="1:11" ht="16" x14ac:dyDescent="0.2">
      <c r="A1296" s="21">
        <v>1295</v>
      </c>
      <c r="B1296" s="22" t="s">
        <v>526</v>
      </c>
      <c r="C1296" s="21"/>
      <c r="D1296" s="21" t="s">
        <v>82</v>
      </c>
      <c r="E1296" s="21"/>
      <c r="F1296" s="21"/>
      <c r="G1296" s="21"/>
      <c r="H1296" s="21">
        <v>179</v>
      </c>
      <c r="I1296" s="21"/>
      <c r="J1296" s="24">
        <v>-17.899999999999999</v>
      </c>
      <c r="K1296" s="21"/>
    </row>
    <row r="1297" spans="1:11" ht="16" x14ac:dyDescent="0.2">
      <c r="A1297" s="21">
        <v>1296</v>
      </c>
      <c r="B1297" s="22" t="s">
        <v>1794</v>
      </c>
      <c r="C1297" s="21"/>
      <c r="D1297" s="21" t="s">
        <v>69</v>
      </c>
      <c r="E1297" s="21"/>
      <c r="F1297" s="21"/>
      <c r="G1297" s="21"/>
      <c r="H1297" s="21"/>
      <c r="I1297" s="21">
        <v>19.100000000000001</v>
      </c>
      <c r="J1297" s="24">
        <v>-17.899999999999999</v>
      </c>
      <c r="K1297" s="21"/>
    </row>
    <row r="1298" spans="1:11" ht="16" x14ac:dyDescent="0.2">
      <c r="A1298" s="21">
        <v>1297</v>
      </c>
      <c r="B1298" s="22" t="s">
        <v>1795</v>
      </c>
      <c r="C1298" s="22" t="s">
        <v>232</v>
      </c>
      <c r="D1298" s="21" t="s">
        <v>69</v>
      </c>
      <c r="E1298" s="21"/>
      <c r="F1298" s="21"/>
      <c r="G1298" s="21"/>
      <c r="H1298" s="21"/>
      <c r="I1298" s="21">
        <v>36</v>
      </c>
      <c r="J1298" s="24">
        <v>-18</v>
      </c>
      <c r="K1298" s="21"/>
    </row>
    <row r="1299" spans="1:11" ht="16" x14ac:dyDescent="0.2">
      <c r="A1299" s="21">
        <v>1298</v>
      </c>
      <c r="B1299" s="22" t="s">
        <v>925</v>
      </c>
      <c r="C1299" s="22" t="s">
        <v>211</v>
      </c>
      <c r="D1299" s="21" t="s">
        <v>87</v>
      </c>
      <c r="E1299" s="21"/>
      <c r="F1299" s="21"/>
      <c r="G1299" s="21"/>
      <c r="H1299" s="21">
        <v>184</v>
      </c>
      <c r="I1299" s="21"/>
      <c r="J1299" s="24">
        <v>-18</v>
      </c>
      <c r="K1299" s="21"/>
    </row>
    <row r="1300" spans="1:11" ht="16" x14ac:dyDescent="0.2">
      <c r="A1300" s="21">
        <v>1299</v>
      </c>
      <c r="B1300" s="22" t="s">
        <v>901</v>
      </c>
      <c r="C1300" s="22" t="s">
        <v>34</v>
      </c>
      <c r="D1300" s="21" t="s">
        <v>82</v>
      </c>
      <c r="E1300" s="21"/>
      <c r="F1300" s="21"/>
      <c r="G1300" s="21"/>
      <c r="H1300" s="21">
        <v>137</v>
      </c>
      <c r="I1300" s="21"/>
      <c r="J1300" s="24">
        <v>-18</v>
      </c>
      <c r="K1300" s="21"/>
    </row>
    <row r="1301" spans="1:11" ht="16" x14ac:dyDescent="0.2">
      <c r="A1301" s="21">
        <v>1300</v>
      </c>
      <c r="B1301" s="22" t="s">
        <v>1796</v>
      </c>
      <c r="C1301" s="21"/>
      <c r="D1301" s="21" t="s">
        <v>69</v>
      </c>
      <c r="E1301" s="21"/>
      <c r="F1301" s="21"/>
      <c r="G1301" s="21"/>
      <c r="H1301" s="21"/>
      <c r="I1301" s="21">
        <v>43</v>
      </c>
      <c r="J1301" s="24">
        <v>-18.100000000000001</v>
      </c>
      <c r="K1301" s="21"/>
    </row>
    <row r="1302" spans="1:11" ht="16" x14ac:dyDescent="0.2">
      <c r="A1302" s="21">
        <v>1301</v>
      </c>
      <c r="B1302" s="22" t="s">
        <v>1797</v>
      </c>
      <c r="C1302" s="22" t="s">
        <v>132</v>
      </c>
      <c r="D1302" s="21" t="s">
        <v>69</v>
      </c>
      <c r="E1302" s="21"/>
      <c r="F1302" s="21"/>
      <c r="G1302" s="21"/>
      <c r="H1302" s="21"/>
      <c r="I1302" s="21">
        <v>73</v>
      </c>
      <c r="J1302" s="24">
        <v>-18.100000000000001</v>
      </c>
      <c r="K1302" s="21"/>
    </row>
    <row r="1303" spans="1:11" ht="16" x14ac:dyDescent="0.2">
      <c r="A1303" s="21">
        <v>1302</v>
      </c>
      <c r="B1303" s="22" t="s">
        <v>357</v>
      </c>
      <c r="C1303" s="22" t="s">
        <v>132</v>
      </c>
      <c r="D1303" s="21" t="s">
        <v>28</v>
      </c>
      <c r="E1303" s="21"/>
      <c r="F1303" s="21"/>
      <c r="G1303" s="21"/>
      <c r="H1303" s="21"/>
      <c r="I1303" s="21">
        <v>180</v>
      </c>
      <c r="J1303" s="24">
        <v>-18.2</v>
      </c>
      <c r="K1303" s="21"/>
    </row>
    <row r="1304" spans="1:11" ht="16" x14ac:dyDescent="0.2">
      <c r="A1304" s="21">
        <v>1303</v>
      </c>
      <c r="B1304" s="22" t="s">
        <v>795</v>
      </c>
      <c r="C1304" s="21"/>
      <c r="D1304" s="21" t="s">
        <v>69</v>
      </c>
      <c r="E1304" s="21"/>
      <c r="F1304" s="21"/>
      <c r="G1304" s="21"/>
      <c r="H1304" s="21"/>
      <c r="I1304" s="21">
        <v>21</v>
      </c>
      <c r="J1304" s="24">
        <v>-18.2</v>
      </c>
      <c r="K1304" s="21"/>
    </row>
    <row r="1305" spans="1:11" ht="16" x14ac:dyDescent="0.2">
      <c r="A1305" s="21">
        <v>1304</v>
      </c>
      <c r="B1305" s="22" t="s">
        <v>1798</v>
      </c>
      <c r="C1305" s="22" t="s">
        <v>36</v>
      </c>
      <c r="D1305" s="21" t="s">
        <v>69</v>
      </c>
      <c r="E1305" s="21"/>
      <c r="F1305" s="21"/>
      <c r="G1305" s="21"/>
      <c r="H1305" s="21"/>
      <c r="I1305" s="21">
        <v>21</v>
      </c>
      <c r="J1305" s="24">
        <v>-18.2</v>
      </c>
      <c r="K1305" s="21"/>
    </row>
    <row r="1306" spans="1:11" ht="16" x14ac:dyDescent="0.2">
      <c r="A1306" s="21">
        <v>1305</v>
      </c>
      <c r="B1306" s="22" t="s">
        <v>1799</v>
      </c>
      <c r="C1306" s="22" t="s">
        <v>60</v>
      </c>
      <c r="D1306" s="21" t="s">
        <v>69</v>
      </c>
      <c r="E1306" s="21"/>
      <c r="F1306" s="21"/>
      <c r="G1306" s="21"/>
      <c r="H1306" s="21"/>
      <c r="I1306" s="21">
        <v>12</v>
      </c>
      <c r="J1306" s="24">
        <v>-18.2</v>
      </c>
      <c r="K1306" s="21"/>
    </row>
    <row r="1307" spans="1:11" ht="16" x14ac:dyDescent="0.2">
      <c r="A1307" s="21">
        <v>1306</v>
      </c>
      <c r="B1307" s="22" t="s">
        <v>568</v>
      </c>
      <c r="C1307" s="22" t="s">
        <v>232</v>
      </c>
      <c r="D1307" s="21" t="s">
        <v>1309</v>
      </c>
      <c r="E1307" s="21"/>
      <c r="F1307" s="21"/>
      <c r="G1307" s="21"/>
      <c r="H1307" s="21">
        <v>48</v>
      </c>
      <c r="I1307" s="21"/>
      <c r="J1307" s="24">
        <v>-18.2</v>
      </c>
      <c r="K1307" s="21"/>
    </row>
    <row r="1308" spans="1:11" ht="16" x14ac:dyDescent="0.2">
      <c r="A1308" s="21">
        <v>1307</v>
      </c>
      <c r="B1308" s="22" t="s">
        <v>520</v>
      </c>
      <c r="C1308" s="22" t="s">
        <v>15</v>
      </c>
      <c r="D1308" s="21" t="s">
        <v>280</v>
      </c>
      <c r="E1308" s="21"/>
      <c r="F1308" s="21"/>
      <c r="G1308" s="21"/>
      <c r="H1308" s="21">
        <v>213</v>
      </c>
      <c r="I1308" s="21"/>
      <c r="J1308" s="24">
        <v>-18.2</v>
      </c>
      <c r="K1308" s="21"/>
    </row>
    <row r="1309" spans="1:11" ht="16" x14ac:dyDescent="0.2">
      <c r="A1309" s="21">
        <v>1308</v>
      </c>
      <c r="B1309" s="22" t="s">
        <v>941</v>
      </c>
      <c r="C1309" s="22" t="s">
        <v>117</v>
      </c>
      <c r="D1309" s="21" t="s">
        <v>87</v>
      </c>
      <c r="E1309" s="21"/>
      <c r="F1309" s="21"/>
      <c r="G1309" s="21"/>
      <c r="H1309" s="21">
        <v>265</v>
      </c>
      <c r="I1309" s="21"/>
      <c r="J1309" s="24">
        <v>-18.2</v>
      </c>
      <c r="K1309" s="21"/>
    </row>
    <row r="1310" spans="1:11" ht="16" x14ac:dyDescent="0.2">
      <c r="A1310" s="21">
        <v>1309</v>
      </c>
      <c r="B1310" s="22" t="s">
        <v>775</v>
      </c>
      <c r="C1310" s="22" t="s">
        <v>42</v>
      </c>
      <c r="D1310" s="21" t="s">
        <v>69</v>
      </c>
      <c r="E1310" s="21"/>
      <c r="F1310" s="21"/>
      <c r="G1310" s="21"/>
      <c r="H1310" s="21"/>
      <c r="I1310" s="21">
        <v>3</v>
      </c>
      <c r="J1310" s="24">
        <v>-18.2</v>
      </c>
      <c r="K1310" s="21"/>
    </row>
    <row r="1311" spans="1:11" ht="16" x14ac:dyDescent="0.2">
      <c r="A1311" s="21">
        <v>1310</v>
      </c>
      <c r="B1311" s="22" t="s">
        <v>681</v>
      </c>
      <c r="C1311" s="22" t="s">
        <v>36</v>
      </c>
      <c r="D1311" s="21" t="s">
        <v>923</v>
      </c>
      <c r="E1311" s="21"/>
      <c r="F1311" s="21"/>
      <c r="G1311" s="21"/>
      <c r="H1311" s="21">
        <v>83</v>
      </c>
      <c r="I1311" s="21"/>
      <c r="J1311" s="24">
        <v>-18.2</v>
      </c>
      <c r="K1311" s="21"/>
    </row>
    <row r="1312" spans="1:11" ht="16" x14ac:dyDescent="0.2">
      <c r="A1312" s="21">
        <v>1311</v>
      </c>
      <c r="B1312" s="22" t="s">
        <v>324</v>
      </c>
      <c r="C1312" s="21"/>
      <c r="D1312" s="21" t="s">
        <v>25</v>
      </c>
      <c r="E1312" s="21"/>
      <c r="F1312" s="21"/>
      <c r="G1312" s="21"/>
      <c r="H1312" s="21">
        <v>213</v>
      </c>
      <c r="I1312" s="21"/>
      <c r="J1312" s="24">
        <v>-18.2</v>
      </c>
      <c r="K1312" s="21"/>
    </row>
    <row r="1313" spans="1:11" ht="16" x14ac:dyDescent="0.2">
      <c r="A1313" s="21">
        <v>1312</v>
      </c>
      <c r="B1313" s="22" t="s">
        <v>790</v>
      </c>
      <c r="C1313" s="22" t="s">
        <v>232</v>
      </c>
      <c r="D1313" s="21" t="s">
        <v>16</v>
      </c>
      <c r="E1313" s="21"/>
      <c r="F1313" s="21"/>
      <c r="G1313" s="21"/>
      <c r="H1313" s="21">
        <v>127</v>
      </c>
      <c r="I1313" s="21"/>
      <c r="J1313" s="24">
        <v>-18.3</v>
      </c>
      <c r="K1313" s="21"/>
    </row>
    <row r="1314" spans="1:11" ht="16" x14ac:dyDescent="0.2">
      <c r="A1314" s="21">
        <v>1313</v>
      </c>
      <c r="B1314" s="22" t="s">
        <v>1310</v>
      </c>
      <c r="C1314" s="22" t="s">
        <v>140</v>
      </c>
      <c r="D1314" s="21" t="s">
        <v>25</v>
      </c>
      <c r="E1314" s="21"/>
      <c r="F1314" s="21"/>
      <c r="G1314" s="21"/>
      <c r="H1314" s="21">
        <v>176</v>
      </c>
      <c r="I1314" s="21"/>
      <c r="J1314" s="24">
        <v>-18.3</v>
      </c>
      <c r="K1314" s="21"/>
    </row>
    <row r="1315" spans="1:11" ht="16" x14ac:dyDescent="0.2">
      <c r="A1315" s="21">
        <v>1314</v>
      </c>
      <c r="B1315" s="22" t="s">
        <v>993</v>
      </c>
      <c r="C1315" s="22" t="s">
        <v>36</v>
      </c>
      <c r="D1315" s="21" t="s">
        <v>87</v>
      </c>
      <c r="E1315" s="21"/>
      <c r="F1315" s="21"/>
      <c r="G1315" s="21"/>
      <c r="H1315" s="21">
        <v>208</v>
      </c>
      <c r="I1315" s="21"/>
      <c r="J1315" s="24">
        <v>-18.3</v>
      </c>
      <c r="K1315" s="21"/>
    </row>
    <row r="1316" spans="1:11" ht="16" x14ac:dyDescent="0.2">
      <c r="A1316" s="21">
        <v>1315</v>
      </c>
      <c r="B1316" s="22" t="s">
        <v>623</v>
      </c>
      <c r="C1316" s="22" t="s">
        <v>232</v>
      </c>
      <c r="D1316" s="21" t="s">
        <v>16</v>
      </c>
      <c r="E1316" s="21"/>
      <c r="F1316" s="21"/>
      <c r="G1316" s="21"/>
      <c r="H1316" s="21">
        <v>59</v>
      </c>
      <c r="I1316" s="21"/>
      <c r="J1316" s="24">
        <v>-18.399999999999999</v>
      </c>
      <c r="K1316" s="21"/>
    </row>
    <row r="1317" spans="1:11" ht="16" x14ac:dyDescent="0.2">
      <c r="A1317" s="21">
        <v>1316</v>
      </c>
      <c r="B1317" s="22" t="s">
        <v>542</v>
      </c>
      <c r="C1317" s="22" t="s">
        <v>52</v>
      </c>
      <c r="D1317" s="21" t="s">
        <v>13</v>
      </c>
      <c r="E1317" s="21"/>
      <c r="F1317" s="21"/>
      <c r="G1317" s="21"/>
      <c r="H1317" s="21">
        <v>131</v>
      </c>
      <c r="I1317" s="21"/>
      <c r="J1317" s="24">
        <v>-18.399999999999999</v>
      </c>
      <c r="K1317" s="21"/>
    </row>
    <row r="1318" spans="1:11" ht="16" x14ac:dyDescent="0.2">
      <c r="A1318" s="21">
        <v>1317</v>
      </c>
      <c r="B1318" s="22" t="s">
        <v>841</v>
      </c>
      <c r="C1318" s="22" t="s">
        <v>30</v>
      </c>
      <c r="D1318" s="21" t="s">
        <v>25</v>
      </c>
      <c r="E1318" s="21"/>
      <c r="F1318" s="21"/>
      <c r="G1318" s="21"/>
      <c r="H1318" s="21">
        <v>167</v>
      </c>
      <c r="I1318" s="21"/>
      <c r="J1318" s="24">
        <v>-18.399999999999999</v>
      </c>
      <c r="K1318" s="21"/>
    </row>
    <row r="1319" spans="1:11" ht="16" x14ac:dyDescent="0.2">
      <c r="A1319" s="21">
        <v>1318</v>
      </c>
      <c r="B1319" s="22" t="s">
        <v>709</v>
      </c>
      <c r="C1319" s="22" t="s">
        <v>50</v>
      </c>
      <c r="D1319" s="21" t="s">
        <v>69</v>
      </c>
      <c r="E1319" s="21"/>
      <c r="F1319" s="21"/>
      <c r="G1319" s="21"/>
      <c r="H1319" s="21"/>
      <c r="I1319" s="21">
        <v>14.1</v>
      </c>
      <c r="J1319" s="24">
        <v>-18.399999999999999</v>
      </c>
      <c r="K1319" s="21"/>
    </row>
    <row r="1320" spans="1:11" ht="16" x14ac:dyDescent="0.2">
      <c r="A1320" s="21">
        <v>1319</v>
      </c>
      <c r="B1320" s="22" t="s">
        <v>388</v>
      </c>
      <c r="C1320" s="21"/>
      <c r="D1320" s="21" t="s">
        <v>82</v>
      </c>
      <c r="E1320" s="21"/>
      <c r="F1320" s="21"/>
      <c r="G1320" s="21"/>
      <c r="H1320" s="21">
        <v>191</v>
      </c>
      <c r="I1320" s="21"/>
      <c r="J1320" s="24">
        <v>-18.5</v>
      </c>
      <c r="K1320" s="21"/>
    </row>
    <row r="1321" spans="1:11" ht="16" x14ac:dyDescent="0.2">
      <c r="A1321" s="21">
        <v>1320</v>
      </c>
      <c r="B1321" s="22" t="s">
        <v>1800</v>
      </c>
      <c r="C1321" s="22" t="s">
        <v>132</v>
      </c>
      <c r="D1321" s="21" t="s">
        <v>69</v>
      </c>
      <c r="E1321" s="21"/>
      <c r="F1321" s="21"/>
      <c r="G1321" s="21"/>
      <c r="H1321" s="21"/>
      <c r="I1321" s="21">
        <v>14</v>
      </c>
      <c r="J1321" s="24">
        <v>-18.5</v>
      </c>
      <c r="K1321" s="21"/>
    </row>
    <row r="1322" spans="1:11" ht="16" x14ac:dyDescent="0.2">
      <c r="A1322" s="21">
        <v>1321</v>
      </c>
      <c r="B1322" s="22" t="s">
        <v>766</v>
      </c>
      <c r="C1322" s="22" t="s">
        <v>313</v>
      </c>
      <c r="D1322" s="21" t="s">
        <v>69</v>
      </c>
      <c r="E1322" s="21"/>
      <c r="F1322" s="21"/>
      <c r="G1322" s="21"/>
      <c r="H1322" s="21"/>
      <c r="I1322" s="21">
        <v>12</v>
      </c>
      <c r="J1322" s="24">
        <v>-18.5</v>
      </c>
      <c r="K1322" s="21"/>
    </row>
    <row r="1323" spans="1:11" ht="16" x14ac:dyDescent="0.2">
      <c r="A1323" s="21">
        <v>1322</v>
      </c>
      <c r="B1323" s="22" t="s">
        <v>505</v>
      </c>
      <c r="C1323" s="22" t="s">
        <v>15</v>
      </c>
      <c r="D1323" s="21" t="s">
        <v>87</v>
      </c>
      <c r="E1323" s="21"/>
      <c r="F1323" s="21"/>
      <c r="G1323" s="21"/>
      <c r="H1323" s="21">
        <v>122</v>
      </c>
      <c r="I1323" s="21"/>
      <c r="J1323" s="24">
        <v>-18.600000000000001</v>
      </c>
      <c r="K1323" s="21"/>
    </row>
    <row r="1324" spans="1:11" ht="16" x14ac:dyDescent="0.2">
      <c r="A1324" s="21">
        <v>1323</v>
      </c>
      <c r="B1324" s="22" t="s">
        <v>948</v>
      </c>
      <c r="C1324" s="22" t="s">
        <v>50</v>
      </c>
      <c r="D1324" s="21" t="s">
        <v>25</v>
      </c>
      <c r="E1324" s="21"/>
      <c r="F1324" s="21"/>
      <c r="G1324" s="21"/>
      <c r="H1324" s="21">
        <v>135</v>
      </c>
      <c r="I1324" s="21"/>
      <c r="J1324" s="24">
        <v>-18.600000000000001</v>
      </c>
      <c r="K1324" s="21"/>
    </row>
    <row r="1325" spans="1:11" ht="16" x14ac:dyDescent="0.2">
      <c r="A1325" s="21">
        <v>1324</v>
      </c>
      <c r="B1325" s="22" t="s">
        <v>704</v>
      </c>
      <c r="C1325" s="22" t="s">
        <v>32</v>
      </c>
      <c r="D1325" s="21" t="s">
        <v>69</v>
      </c>
      <c r="E1325" s="21"/>
      <c r="F1325" s="21"/>
      <c r="G1325" s="21"/>
      <c r="H1325" s="21"/>
      <c r="I1325" s="21">
        <v>42.1</v>
      </c>
      <c r="J1325" s="24">
        <v>-18.600000000000001</v>
      </c>
      <c r="K1325" s="21"/>
    </row>
    <row r="1326" spans="1:11" ht="16" x14ac:dyDescent="0.2">
      <c r="A1326" s="21">
        <v>1325</v>
      </c>
      <c r="B1326" s="22" t="s">
        <v>1801</v>
      </c>
      <c r="C1326" s="22" t="s">
        <v>211</v>
      </c>
      <c r="D1326" s="21" t="s">
        <v>69</v>
      </c>
      <c r="E1326" s="21"/>
      <c r="F1326" s="21"/>
      <c r="G1326" s="21"/>
      <c r="H1326" s="21"/>
      <c r="I1326" s="21">
        <v>23</v>
      </c>
      <c r="J1326" s="24">
        <v>-18.7</v>
      </c>
      <c r="K1326" s="21"/>
    </row>
    <row r="1327" spans="1:11" ht="16" x14ac:dyDescent="0.2">
      <c r="A1327" s="21">
        <v>1326</v>
      </c>
      <c r="B1327" s="22" t="s">
        <v>1802</v>
      </c>
      <c r="C1327" s="22" t="s">
        <v>132</v>
      </c>
      <c r="D1327" s="21" t="s">
        <v>69</v>
      </c>
      <c r="E1327" s="21"/>
      <c r="F1327" s="21"/>
      <c r="G1327" s="21"/>
      <c r="H1327" s="21"/>
      <c r="I1327" s="21">
        <v>38.1</v>
      </c>
      <c r="J1327" s="24">
        <v>-18.7</v>
      </c>
      <c r="K1327" s="21"/>
    </row>
    <row r="1328" spans="1:11" ht="16" x14ac:dyDescent="0.2">
      <c r="A1328" s="21">
        <v>1327</v>
      </c>
      <c r="B1328" s="22" t="s">
        <v>1803</v>
      </c>
      <c r="C1328" s="22" t="s">
        <v>30</v>
      </c>
      <c r="D1328" s="21" t="s">
        <v>69</v>
      </c>
      <c r="E1328" s="21"/>
      <c r="F1328" s="21"/>
      <c r="G1328" s="21"/>
      <c r="H1328" s="21"/>
      <c r="I1328" s="21">
        <v>8.1</v>
      </c>
      <c r="J1328" s="24">
        <v>-18.7</v>
      </c>
      <c r="K1328" s="21"/>
    </row>
    <row r="1329" spans="1:11" ht="16" x14ac:dyDescent="0.2">
      <c r="A1329" s="21">
        <v>1328</v>
      </c>
      <c r="B1329" s="22" t="s">
        <v>680</v>
      </c>
      <c r="C1329" s="22" t="s">
        <v>115</v>
      </c>
      <c r="D1329" s="21" t="s">
        <v>69</v>
      </c>
      <c r="E1329" s="21"/>
      <c r="F1329" s="21"/>
      <c r="G1329" s="21"/>
      <c r="H1329" s="21"/>
      <c r="I1329" s="21">
        <v>30</v>
      </c>
      <c r="J1329" s="24">
        <v>-18.7</v>
      </c>
      <c r="K1329" s="21"/>
    </row>
    <row r="1330" spans="1:11" ht="16" x14ac:dyDescent="0.2">
      <c r="A1330" s="21">
        <v>1329</v>
      </c>
      <c r="B1330" s="22" t="s">
        <v>867</v>
      </c>
      <c r="C1330" s="22" t="s">
        <v>48</v>
      </c>
      <c r="D1330" s="21" t="s">
        <v>989</v>
      </c>
      <c r="E1330" s="21"/>
      <c r="F1330" s="21"/>
      <c r="G1330" s="21"/>
      <c r="H1330" s="21">
        <v>104</v>
      </c>
      <c r="I1330" s="21"/>
      <c r="J1330" s="24">
        <v>-18.8</v>
      </c>
      <c r="K1330" s="21"/>
    </row>
    <row r="1331" spans="1:11" ht="16" x14ac:dyDescent="0.2">
      <c r="A1331" s="21">
        <v>1330</v>
      </c>
      <c r="B1331" s="22" t="s">
        <v>1804</v>
      </c>
      <c r="C1331" s="22" t="s">
        <v>57</v>
      </c>
      <c r="D1331" s="21" t="s">
        <v>69</v>
      </c>
      <c r="E1331" s="21"/>
      <c r="F1331" s="21"/>
      <c r="G1331" s="21"/>
      <c r="H1331" s="21"/>
      <c r="I1331" s="21">
        <v>8.1</v>
      </c>
      <c r="J1331" s="24">
        <v>-18.8</v>
      </c>
      <c r="K1331" s="21"/>
    </row>
    <row r="1332" spans="1:11" ht="16" x14ac:dyDescent="0.2">
      <c r="A1332" s="21">
        <v>1331</v>
      </c>
      <c r="B1332" s="22" t="s">
        <v>825</v>
      </c>
      <c r="C1332" s="22" t="s">
        <v>211</v>
      </c>
      <c r="D1332" s="21" t="s">
        <v>25</v>
      </c>
      <c r="E1332" s="21"/>
      <c r="F1332" s="21"/>
      <c r="G1332" s="21"/>
      <c r="H1332" s="21">
        <v>86</v>
      </c>
      <c r="I1332" s="21"/>
      <c r="J1332" s="24">
        <v>-18.8</v>
      </c>
      <c r="K1332" s="21"/>
    </row>
    <row r="1333" spans="1:11" ht="16" x14ac:dyDescent="0.2">
      <c r="A1333" s="21">
        <v>1332</v>
      </c>
      <c r="B1333" s="22" t="s">
        <v>1805</v>
      </c>
      <c r="C1333" s="22" t="s">
        <v>21</v>
      </c>
      <c r="D1333" s="21" t="s">
        <v>69</v>
      </c>
      <c r="E1333" s="21"/>
      <c r="F1333" s="21"/>
      <c r="G1333" s="21"/>
      <c r="H1333" s="21"/>
      <c r="I1333" s="21">
        <v>43</v>
      </c>
      <c r="J1333" s="24">
        <v>-18.8</v>
      </c>
      <c r="K1333" s="21"/>
    </row>
    <row r="1334" spans="1:11" ht="16" x14ac:dyDescent="0.2">
      <c r="A1334" s="21">
        <v>1333</v>
      </c>
      <c r="B1334" s="22" t="s">
        <v>1806</v>
      </c>
      <c r="C1334" s="22" t="s">
        <v>125</v>
      </c>
      <c r="D1334" s="21" t="s">
        <v>69</v>
      </c>
      <c r="E1334" s="21"/>
      <c r="F1334" s="21"/>
      <c r="G1334" s="21"/>
      <c r="H1334" s="21"/>
      <c r="I1334" s="21">
        <v>33.1</v>
      </c>
      <c r="J1334" s="24">
        <v>-18.8</v>
      </c>
      <c r="K1334" s="21"/>
    </row>
    <row r="1335" spans="1:11" ht="16" x14ac:dyDescent="0.2">
      <c r="A1335" s="21">
        <v>1334</v>
      </c>
      <c r="B1335" s="22" t="s">
        <v>1807</v>
      </c>
      <c r="C1335" s="21"/>
      <c r="D1335" s="21" t="s">
        <v>69</v>
      </c>
      <c r="E1335" s="21"/>
      <c r="F1335" s="21"/>
      <c r="G1335" s="21"/>
      <c r="H1335" s="21"/>
      <c r="I1335" s="21">
        <v>12</v>
      </c>
      <c r="J1335" s="24">
        <v>-18.899999999999999</v>
      </c>
      <c r="K1335" s="21"/>
    </row>
    <row r="1336" spans="1:11" ht="16" x14ac:dyDescent="0.2">
      <c r="A1336" s="21">
        <v>1335</v>
      </c>
      <c r="B1336" s="22" t="s">
        <v>1311</v>
      </c>
      <c r="C1336" s="22" t="s">
        <v>15</v>
      </c>
      <c r="D1336" s="21" t="s">
        <v>16</v>
      </c>
      <c r="E1336" s="21"/>
      <c r="F1336" s="21"/>
      <c r="G1336" s="21"/>
      <c r="H1336" s="21">
        <v>147</v>
      </c>
      <c r="I1336" s="21"/>
      <c r="J1336" s="24">
        <v>-18.899999999999999</v>
      </c>
      <c r="K1336" s="21"/>
    </row>
    <row r="1337" spans="1:11" ht="16" x14ac:dyDescent="0.2">
      <c r="A1337" s="21">
        <v>1336</v>
      </c>
      <c r="B1337" s="22" t="s">
        <v>668</v>
      </c>
      <c r="C1337" s="22" t="s">
        <v>140</v>
      </c>
      <c r="D1337" s="21" t="s">
        <v>28</v>
      </c>
      <c r="E1337" s="21"/>
      <c r="F1337" s="21"/>
      <c r="G1337" s="21"/>
      <c r="H1337" s="21"/>
      <c r="I1337" s="21">
        <v>57.1</v>
      </c>
      <c r="J1337" s="24">
        <v>-18.899999999999999</v>
      </c>
      <c r="K1337" s="21"/>
    </row>
    <row r="1338" spans="1:11" ht="16" x14ac:dyDescent="0.2">
      <c r="A1338" s="21">
        <v>1337</v>
      </c>
      <c r="B1338" s="22" t="s">
        <v>864</v>
      </c>
      <c r="C1338" s="21"/>
      <c r="D1338" s="21" t="s">
        <v>87</v>
      </c>
      <c r="E1338" s="21"/>
      <c r="F1338" s="21"/>
      <c r="G1338" s="21"/>
      <c r="H1338" s="21">
        <v>107</v>
      </c>
      <c r="I1338" s="21"/>
      <c r="J1338" s="24">
        <v>-18.899999999999999</v>
      </c>
      <c r="K1338" s="21"/>
    </row>
    <row r="1339" spans="1:11" ht="16" x14ac:dyDescent="0.2">
      <c r="A1339" s="21">
        <v>1338</v>
      </c>
      <c r="B1339" s="22" t="s">
        <v>792</v>
      </c>
      <c r="C1339" s="22" t="s">
        <v>24</v>
      </c>
      <c r="D1339" s="21" t="s">
        <v>923</v>
      </c>
      <c r="E1339" s="21"/>
      <c r="F1339" s="21"/>
      <c r="G1339" s="21"/>
      <c r="H1339" s="21">
        <v>95</v>
      </c>
      <c r="I1339" s="21"/>
      <c r="J1339" s="24">
        <v>-18.899999999999999</v>
      </c>
      <c r="K1339" s="21"/>
    </row>
    <row r="1340" spans="1:11" ht="16" x14ac:dyDescent="0.2">
      <c r="A1340" s="21">
        <v>1339</v>
      </c>
      <c r="B1340" s="22" t="s">
        <v>614</v>
      </c>
      <c r="C1340" s="22" t="s">
        <v>21</v>
      </c>
      <c r="D1340" s="21" t="s">
        <v>69</v>
      </c>
      <c r="E1340" s="21"/>
      <c r="F1340" s="21"/>
      <c r="G1340" s="21"/>
      <c r="H1340" s="21"/>
      <c r="I1340" s="21">
        <v>25.1</v>
      </c>
      <c r="J1340" s="24">
        <v>-18.899999999999999</v>
      </c>
      <c r="K1340" s="21"/>
    </row>
    <row r="1341" spans="1:11" ht="16" x14ac:dyDescent="0.2">
      <c r="A1341" s="21">
        <v>1340</v>
      </c>
      <c r="B1341" s="22" t="s">
        <v>953</v>
      </c>
      <c r="C1341" s="22" t="s">
        <v>132</v>
      </c>
      <c r="D1341" s="21" t="s">
        <v>25</v>
      </c>
      <c r="E1341" s="21"/>
      <c r="F1341" s="21"/>
      <c r="G1341" s="21"/>
      <c r="H1341" s="21">
        <v>61</v>
      </c>
      <c r="I1341" s="21"/>
      <c r="J1341" s="24">
        <v>-19</v>
      </c>
      <c r="K1341" s="21"/>
    </row>
    <row r="1342" spans="1:11" ht="16" x14ac:dyDescent="0.2">
      <c r="A1342" s="21">
        <v>1341</v>
      </c>
      <c r="B1342" s="22" t="s">
        <v>1312</v>
      </c>
      <c r="C1342" s="22" t="s">
        <v>117</v>
      </c>
      <c r="D1342" s="21" t="s">
        <v>25</v>
      </c>
      <c r="E1342" s="21"/>
      <c r="F1342" s="21"/>
      <c r="G1342" s="21"/>
      <c r="H1342" s="21">
        <v>70</v>
      </c>
      <c r="I1342" s="21"/>
      <c r="J1342" s="24">
        <v>-19</v>
      </c>
      <c r="K1342" s="21"/>
    </row>
    <row r="1343" spans="1:11" ht="16" x14ac:dyDescent="0.2">
      <c r="A1343" s="21">
        <v>1342</v>
      </c>
      <c r="B1343" s="22" t="s">
        <v>963</v>
      </c>
      <c r="C1343" s="22" t="s">
        <v>115</v>
      </c>
      <c r="D1343" s="21" t="s">
        <v>865</v>
      </c>
      <c r="E1343" s="21"/>
      <c r="F1343" s="21"/>
      <c r="G1343" s="21"/>
      <c r="H1343" s="21">
        <v>70</v>
      </c>
      <c r="I1343" s="21"/>
      <c r="J1343" s="24">
        <v>-19</v>
      </c>
      <c r="K1343" s="21"/>
    </row>
    <row r="1344" spans="1:11" ht="16" x14ac:dyDescent="0.2">
      <c r="A1344" s="21">
        <v>1343</v>
      </c>
      <c r="B1344" s="22" t="s">
        <v>1313</v>
      </c>
      <c r="C1344" s="22" t="s">
        <v>12</v>
      </c>
      <c r="D1344" s="21" t="s">
        <v>868</v>
      </c>
      <c r="E1344" s="21"/>
      <c r="F1344" s="21"/>
      <c r="G1344" s="21"/>
      <c r="H1344" s="21">
        <v>53</v>
      </c>
      <c r="I1344" s="21"/>
      <c r="J1344" s="24">
        <v>-19.100000000000001</v>
      </c>
      <c r="K1344" s="21"/>
    </row>
    <row r="1345" spans="1:11" ht="16" x14ac:dyDescent="0.2">
      <c r="A1345" s="21">
        <v>1344</v>
      </c>
      <c r="B1345" s="22" t="s">
        <v>978</v>
      </c>
      <c r="C1345" s="22" t="s">
        <v>32</v>
      </c>
      <c r="D1345" s="21" t="s">
        <v>612</v>
      </c>
      <c r="E1345" s="21"/>
      <c r="F1345" s="21"/>
      <c r="G1345" s="21"/>
      <c r="H1345" s="21">
        <v>88</v>
      </c>
      <c r="I1345" s="21"/>
      <c r="J1345" s="24">
        <v>-19.100000000000001</v>
      </c>
      <c r="K1345" s="21"/>
    </row>
    <row r="1346" spans="1:11" ht="16" x14ac:dyDescent="0.2">
      <c r="A1346" s="21">
        <v>1345</v>
      </c>
      <c r="B1346" s="22" t="s">
        <v>991</v>
      </c>
      <c r="C1346" s="22" t="s">
        <v>132</v>
      </c>
      <c r="D1346" s="21" t="s">
        <v>82</v>
      </c>
      <c r="E1346" s="21"/>
      <c r="F1346" s="21"/>
      <c r="G1346" s="21"/>
      <c r="H1346" s="21">
        <v>134</v>
      </c>
      <c r="I1346" s="21"/>
      <c r="J1346" s="24">
        <v>-19.100000000000001</v>
      </c>
      <c r="K1346" s="21"/>
    </row>
    <row r="1347" spans="1:11" ht="16" x14ac:dyDescent="0.2">
      <c r="A1347" s="21">
        <v>1346</v>
      </c>
      <c r="B1347" s="22" t="s">
        <v>1314</v>
      </c>
      <c r="C1347" s="22" t="s">
        <v>89</v>
      </c>
      <c r="D1347" s="21" t="s">
        <v>43</v>
      </c>
      <c r="E1347" s="21"/>
      <c r="F1347" s="21"/>
      <c r="G1347" s="21"/>
      <c r="H1347" s="21">
        <v>74</v>
      </c>
      <c r="I1347" s="21"/>
      <c r="J1347" s="24">
        <v>-19.100000000000001</v>
      </c>
      <c r="K1347" s="21"/>
    </row>
    <row r="1348" spans="1:11" ht="16" x14ac:dyDescent="0.2">
      <c r="A1348" s="21">
        <v>1347</v>
      </c>
      <c r="B1348" s="22" t="s">
        <v>379</v>
      </c>
      <c r="C1348" s="22" t="s">
        <v>36</v>
      </c>
      <c r="D1348" s="21" t="s">
        <v>69</v>
      </c>
      <c r="E1348" s="21"/>
      <c r="F1348" s="21"/>
      <c r="G1348" s="21"/>
      <c r="H1348" s="21"/>
      <c r="I1348" s="21">
        <v>27</v>
      </c>
      <c r="J1348" s="24">
        <v>-19.2</v>
      </c>
      <c r="K1348" s="21"/>
    </row>
    <row r="1349" spans="1:11" ht="16" x14ac:dyDescent="0.2">
      <c r="A1349" s="21">
        <v>1348</v>
      </c>
      <c r="B1349" s="22" t="s">
        <v>1315</v>
      </c>
      <c r="C1349" s="22" t="s">
        <v>89</v>
      </c>
      <c r="D1349" s="21" t="s">
        <v>87</v>
      </c>
      <c r="E1349" s="21"/>
      <c r="F1349" s="21"/>
      <c r="G1349" s="21"/>
      <c r="H1349" s="21">
        <v>156</v>
      </c>
      <c r="I1349" s="21"/>
      <c r="J1349" s="24">
        <v>-19.2</v>
      </c>
      <c r="K1349" s="21"/>
    </row>
    <row r="1350" spans="1:11" ht="16" x14ac:dyDescent="0.2">
      <c r="A1350" s="21">
        <v>1349</v>
      </c>
      <c r="B1350" s="22" t="s">
        <v>514</v>
      </c>
      <c r="C1350" s="22" t="s">
        <v>125</v>
      </c>
      <c r="D1350" s="21" t="s">
        <v>87</v>
      </c>
      <c r="E1350" s="21"/>
      <c r="F1350" s="21"/>
      <c r="G1350" s="21"/>
      <c r="H1350" s="21">
        <v>197</v>
      </c>
      <c r="I1350" s="21"/>
      <c r="J1350" s="24">
        <v>-19.2</v>
      </c>
      <c r="K1350" s="21"/>
    </row>
    <row r="1351" spans="1:11" ht="16" x14ac:dyDescent="0.2">
      <c r="A1351" s="21">
        <v>1350</v>
      </c>
      <c r="B1351" s="22" t="s">
        <v>885</v>
      </c>
      <c r="C1351" s="22" t="s">
        <v>117</v>
      </c>
      <c r="D1351" s="21" t="s">
        <v>25</v>
      </c>
      <c r="E1351" s="21"/>
      <c r="F1351" s="21"/>
      <c r="G1351" s="21"/>
      <c r="H1351" s="21">
        <v>66</v>
      </c>
      <c r="I1351" s="21"/>
      <c r="J1351" s="24">
        <v>-19.2</v>
      </c>
      <c r="K1351" s="21"/>
    </row>
    <row r="1352" spans="1:11" ht="16" x14ac:dyDescent="0.2">
      <c r="A1352" s="21">
        <v>1351</v>
      </c>
      <c r="B1352" s="22" t="s">
        <v>990</v>
      </c>
      <c r="C1352" s="22" t="s">
        <v>36</v>
      </c>
      <c r="D1352" s="21" t="s">
        <v>69</v>
      </c>
      <c r="E1352" s="21"/>
      <c r="F1352" s="21"/>
      <c r="G1352" s="21"/>
      <c r="H1352" s="21"/>
      <c r="I1352" s="21">
        <v>34.1</v>
      </c>
      <c r="J1352" s="24">
        <v>-19.3</v>
      </c>
      <c r="K1352" s="21"/>
    </row>
    <row r="1353" spans="1:11" ht="16" x14ac:dyDescent="0.2">
      <c r="A1353" s="21">
        <v>1352</v>
      </c>
      <c r="B1353" s="22" t="s">
        <v>1316</v>
      </c>
      <c r="C1353" s="22" t="s">
        <v>55</v>
      </c>
      <c r="D1353" s="21" t="s">
        <v>25</v>
      </c>
      <c r="E1353" s="21"/>
      <c r="F1353" s="21"/>
      <c r="G1353" s="21"/>
      <c r="H1353" s="21">
        <v>109</v>
      </c>
      <c r="I1353" s="21"/>
      <c r="J1353" s="24">
        <v>-19.3</v>
      </c>
      <c r="K1353" s="21"/>
    </row>
    <row r="1354" spans="1:11" ht="16" x14ac:dyDescent="0.2">
      <c r="A1354" s="21">
        <v>1353</v>
      </c>
      <c r="B1354" s="22" t="s">
        <v>778</v>
      </c>
      <c r="C1354" s="22" t="s">
        <v>117</v>
      </c>
      <c r="D1354" s="21" t="s">
        <v>25</v>
      </c>
      <c r="E1354" s="21"/>
      <c r="F1354" s="21"/>
      <c r="G1354" s="21"/>
      <c r="H1354" s="21">
        <v>125</v>
      </c>
      <c r="I1354" s="21"/>
      <c r="J1354" s="24">
        <v>-19.399999999999999</v>
      </c>
      <c r="K1354" s="21"/>
    </row>
    <row r="1355" spans="1:11" ht="16" x14ac:dyDescent="0.2">
      <c r="A1355" s="21">
        <v>1354</v>
      </c>
      <c r="B1355" s="22" t="s">
        <v>1317</v>
      </c>
      <c r="C1355" s="22" t="s">
        <v>232</v>
      </c>
      <c r="D1355" s="21" t="s">
        <v>19</v>
      </c>
      <c r="E1355" s="21"/>
      <c r="F1355" s="23">
        <v>0.02</v>
      </c>
      <c r="G1355" s="23">
        <v>0</v>
      </c>
      <c r="H1355" s="21">
        <v>106</v>
      </c>
      <c r="I1355" s="21"/>
      <c r="J1355" s="24">
        <v>-19.399999999999999</v>
      </c>
      <c r="K1355" s="21"/>
    </row>
    <row r="1356" spans="1:11" ht="16" x14ac:dyDescent="0.2">
      <c r="A1356" s="21">
        <v>1355</v>
      </c>
      <c r="B1356" s="22" t="s">
        <v>1808</v>
      </c>
      <c r="C1356" s="22" t="s">
        <v>89</v>
      </c>
      <c r="D1356" s="21" t="s">
        <v>69</v>
      </c>
      <c r="E1356" s="21"/>
      <c r="F1356" s="21"/>
      <c r="G1356" s="21"/>
      <c r="H1356" s="21"/>
      <c r="I1356" s="21">
        <v>19</v>
      </c>
      <c r="J1356" s="24">
        <v>-19.5</v>
      </c>
      <c r="K1356" s="21"/>
    </row>
    <row r="1357" spans="1:11" ht="16" x14ac:dyDescent="0.2">
      <c r="A1357" s="21">
        <v>1356</v>
      </c>
      <c r="B1357" s="22" t="s">
        <v>961</v>
      </c>
      <c r="C1357" s="22" t="s">
        <v>117</v>
      </c>
      <c r="D1357" s="21" t="s">
        <v>25</v>
      </c>
      <c r="E1357" s="21"/>
      <c r="F1357" s="21"/>
      <c r="G1357" s="21"/>
      <c r="H1357" s="21">
        <v>150</v>
      </c>
      <c r="I1357" s="21"/>
      <c r="J1357" s="24">
        <v>-19.5</v>
      </c>
      <c r="K1357" s="21"/>
    </row>
    <row r="1358" spans="1:11" ht="16" x14ac:dyDescent="0.2">
      <c r="A1358" s="21">
        <v>1357</v>
      </c>
      <c r="B1358" s="22" t="s">
        <v>884</v>
      </c>
      <c r="C1358" s="22" t="s">
        <v>42</v>
      </c>
      <c r="D1358" s="21" t="s">
        <v>25</v>
      </c>
      <c r="E1358" s="21"/>
      <c r="F1358" s="21"/>
      <c r="G1358" s="21"/>
      <c r="H1358" s="21">
        <v>112</v>
      </c>
      <c r="I1358" s="21"/>
      <c r="J1358" s="24">
        <v>-19.5</v>
      </c>
      <c r="K1358" s="21"/>
    </row>
    <row r="1359" spans="1:11" ht="16" x14ac:dyDescent="0.2">
      <c r="A1359" s="21">
        <v>1358</v>
      </c>
      <c r="B1359" s="22" t="s">
        <v>228</v>
      </c>
      <c r="C1359" s="22" t="s">
        <v>27</v>
      </c>
      <c r="D1359" s="21" t="s">
        <v>25</v>
      </c>
      <c r="E1359" s="21"/>
      <c r="F1359" s="21"/>
      <c r="G1359" s="21"/>
      <c r="H1359" s="21">
        <v>100</v>
      </c>
      <c r="I1359" s="21"/>
      <c r="J1359" s="24">
        <v>-19.5</v>
      </c>
      <c r="K1359" s="21"/>
    </row>
    <row r="1360" spans="1:11" ht="16" x14ac:dyDescent="0.2">
      <c r="A1360" s="21">
        <v>1359</v>
      </c>
      <c r="B1360" s="22" t="s">
        <v>657</v>
      </c>
      <c r="C1360" s="22" t="s">
        <v>30</v>
      </c>
      <c r="D1360" s="21" t="s">
        <v>25</v>
      </c>
      <c r="E1360" s="21"/>
      <c r="F1360" s="21"/>
      <c r="G1360" s="21"/>
      <c r="H1360" s="21">
        <v>153</v>
      </c>
      <c r="I1360" s="21"/>
      <c r="J1360" s="24">
        <v>-19.600000000000001</v>
      </c>
      <c r="K1360" s="21"/>
    </row>
    <row r="1361" spans="1:11" ht="16" x14ac:dyDescent="0.2">
      <c r="A1361" s="21">
        <v>1360</v>
      </c>
      <c r="B1361" s="22" t="s">
        <v>752</v>
      </c>
      <c r="C1361" s="22" t="s">
        <v>132</v>
      </c>
      <c r="D1361" s="21" t="s">
        <v>69</v>
      </c>
      <c r="E1361" s="21"/>
      <c r="F1361" s="21"/>
      <c r="G1361" s="21"/>
      <c r="H1361" s="21"/>
      <c r="I1361" s="21">
        <v>21.1</v>
      </c>
      <c r="J1361" s="24">
        <v>-19.600000000000001</v>
      </c>
      <c r="K1361" s="21"/>
    </row>
    <row r="1362" spans="1:11" ht="16" x14ac:dyDescent="0.2">
      <c r="A1362" s="21">
        <v>1361</v>
      </c>
      <c r="B1362" s="22" t="s">
        <v>729</v>
      </c>
      <c r="C1362" s="22" t="s">
        <v>89</v>
      </c>
      <c r="D1362" s="21" t="s">
        <v>236</v>
      </c>
      <c r="E1362" s="21"/>
      <c r="F1362" s="21"/>
      <c r="G1362" s="21"/>
      <c r="H1362" s="21">
        <v>208</v>
      </c>
      <c r="I1362" s="21"/>
      <c r="J1362" s="24">
        <v>-19.600000000000001</v>
      </c>
      <c r="K1362" s="21"/>
    </row>
    <row r="1363" spans="1:11" ht="16" x14ac:dyDescent="0.2">
      <c r="A1363" s="21">
        <v>1362</v>
      </c>
      <c r="B1363" s="22" t="s">
        <v>986</v>
      </c>
      <c r="C1363" s="22" t="s">
        <v>125</v>
      </c>
      <c r="D1363" s="21" t="s">
        <v>868</v>
      </c>
      <c r="E1363" s="21"/>
      <c r="F1363" s="21"/>
      <c r="G1363" s="21"/>
      <c r="H1363" s="21">
        <v>86</v>
      </c>
      <c r="I1363" s="21"/>
      <c r="J1363" s="24">
        <v>-19.7</v>
      </c>
      <c r="K1363" s="21"/>
    </row>
    <row r="1364" spans="1:11" ht="16" x14ac:dyDescent="0.2">
      <c r="A1364" s="21">
        <v>1363</v>
      </c>
      <c r="B1364" s="22" t="s">
        <v>1318</v>
      </c>
      <c r="C1364" s="22" t="s">
        <v>50</v>
      </c>
      <c r="D1364" s="21" t="s">
        <v>206</v>
      </c>
      <c r="E1364" s="21"/>
      <c r="F1364" s="23">
        <v>0.02</v>
      </c>
      <c r="G1364" s="23">
        <v>0</v>
      </c>
      <c r="H1364" s="21">
        <v>47</v>
      </c>
      <c r="I1364" s="21"/>
      <c r="J1364" s="24">
        <v>-19.7</v>
      </c>
      <c r="K1364" s="21"/>
    </row>
    <row r="1365" spans="1:11" ht="16" x14ac:dyDescent="0.2">
      <c r="A1365" s="21">
        <v>1364</v>
      </c>
      <c r="B1365" s="22" t="s">
        <v>892</v>
      </c>
      <c r="C1365" s="22" t="s">
        <v>46</v>
      </c>
      <c r="D1365" s="21" t="s">
        <v>87</v>
      </c>
      <c r="E1365" s="21"/>
      <c r="F1365" s="21"/>
      <c r="G1365" s="21"/>
      <c r="H1365" s="21">
        <v>84</v>
      </c>
      <c r="I1365" s="21"/>
      <c r="J1365" s="24">
        <v>-19.7</v>
      </c>
      <c r="K1365" s="21"/>
    </row>
    <row r="1366" spans="1:11" ht="16" x14ac:dyDescent="0.2">
      <c r="A1366" s="21">
        <v>1365</v>
      </c>
      <c r="B1366" s="22" t="s">
        <v>196</v>
      </c>
      <c r="C1366" s="22" t="s">
        <v>313</v>
      </c>
      <c r="D1366" s="21" t="s">
        <v>28</v>
      </c>
      <c r="E1366" s="21"/>
      <c r="F1366" s="21"/>
      <c r="G1366" s="21"/>
      <c r="H1366" s="21"/>
      <c r="I1366" s="21">
        <v>141</v>
      </c>
      <c r="J1366" s="24">
        <v>-19.899999999999999</v>
      </c>
      <c r="K1366" s="21"/>
    </row>
    <row r="1367" spans="1:11" ht="16" x14ac:dyDescent="0.2">
      <c r="A1367" s="21">
        <v>1366</v>
      </c>
      <c r="B1367" s="22" t="s">
        <v>554</v>
      </c>
      <c r="C1367" s="22" t="s">
        <v>18</v>
      </c>
      <c r="D1367" s="21" t="s">
        <v>87</v>
      </c>
      <c r="E1367" s="21"/>
      <c r="F1367" s="21"/>
      <c r="G1367" s="21"/>
      <c r="H1367" s="21">
        <v>116</v>
      </c>
      <c r="I1367" s="21"/>
      <c r="J1367" s="24">
        <v>-19.899999999999999</v>
      </c>
      <c r="K1367" s="21"/>
    </row>
    <row r="1368" spans="1:11" ht="16" x14ac:dyDescent="0.2">
      <c r="A1368" s="21">
        <v>1367</v>
      </c>
      <c r="B1368" s="22" t="s">
        <v>943</v>
      </c>
      <c r="C1368" s="22" t="s">
        <v>36</v>
      </c>
      <c r="D1368" s="21" t="s">
        <v>25</v>
      </c>
      <c r="E1368" s="21"/>
      <c r="F1368" s="21"/>
      <c r="G1368" s="21"/>
      <c r="H1368" s="21">
        <v>88</v>
      </c>
      <c r="I1368" s="21"/>
      <c r="J1368" s="24">
        <v>-20</v>
      </c>
      <c r="K1368" s="21"/>
    </row>
    <row r="1369" spans="1:11" ht="16" x14ac:dyDescent="0.2">
      <c r="A1369" s="21">
        <v>1368</v>
      </c>
      <c r="B1369" s="22" t="s">
        <v>718</v>
      </c>
      <c r="C1369" s="21"/>
      <c r="D1369" s="21" t="s">
        <v>87</v>
      </c>
      <c r="E1369" s="21"/>
      <c r="F1369" s="21"/>
      <c r="G1369" s="21"/>
      <c r="H1369" s="21">
        <v>127</v>
      </c>
      <c r="I1369" s="21"/>
      <c r="J1369" s="24">
        <v>-20</v>
      </c>
      <c r="K1369" s="21"/>
    </row>
    <row r="1370" spans="1:11" ht="16" x14ac:dyDescent="0.2">
      <c r="A1370" s="21">
        <v>1369</v>
      </c>
      <c r="B1370" s="22" t="s">
        <v>916</v>
      </c>
      <c r="C1370" s="22" t="s">
        <v>57</v>
      </c>
      <c r="D1370" s="21" t="s">
        <v>931</v>
      </c>
      <c r="E1370" s="21"/>
      <c r="F1370" s="21"/>
      <c r="G1370" s="21"/>
      <c r="H1370" s="21">
        <v>72</v>
      </c>
      <c r="I1370" s="21"/>
      <c r="J1370" s="24">
        <v>-20.100000000000001</v>
      </c>
      <c r="K1370" s="21"/>
    </row>
    <row r="1371" spans="1:11" ht="16" x14ac:dyDescent="0.2">
      <c r="A1371" s="21">
        <v>1370</v>
      </c>
      <c r="B1371" s="22" t="s">
        <v>547</v>
      </c>
      <c r="C1371" s="21"/>
      <c r="D1371" s="21" t="s">
        <v>69</v>
      </c>
      <c r="E1371" s="21"/>
      <c r="F1371" s="21"/>
      <c r="G1371" s="21"/>
      <c r="H1371" s="21"/>
      <c r="I1371" s="21">
        <v>9.1</v>
      </c>
      <c r="J1371" s="24">
        <v>-20.100000000000001</v>
      </c>
      <c r="K1371" s="21"/>
    </row>
    <row r="1372" spans="1:11" ht="16" x14ac:dyDescent="0.2">
      <c r="A1372" s="21">
        <v>1371</v>
      </c>
      <c r="B1372" s="22" t="s">
        <v>1319</v>
      </c>
      <c r="C1372" s="22" t="s">
        <v>125</v>
      </c>
      <c r="D1372" s="21" t="s">
        <v>25</v>
      </c>
      <c r="E1372" s="21"/>
      <c r="F1372" s="21"/>
      <c r="G1372" s="21"/>
      <c r="H1372" s="21">
        <v>153</v>
      </c>
      <c r="I1372" s="21"/>
      <c r="J1372" s="24">
        <v>-20.100000000000001</v>
      </c>
      <c r="K1372" s="21"/>
    </row>
    <row r="1373" spans="1:11" ht="16" x14ac:dyDescent="0.2">
      <c r="A1373" s="21">
        <v>1372</v>
      </c>
      <c r="B1373" s="22" t="s">
        <v>933</v>
      </c>
      <c r="C1373" s="22" t="s">
        <v>15</v>
      </c>
      <c r="D1373" s="21" t="s">
        <v>19</v>
      </c>
      <c r="E1373" s="21"/>
      <c r="F1373" s="21"/>
      <c r="G1373" s="21"/>
      <c r="H1373" s="21">
        <v>56</v>
      </c>
      <c r="I1373" s="21"/>
      <c r="J1373" s="24">
        <v>-20.2</v>
      </c>
      <c r="K1373" s="21"/>
    </row>
    <row r="1374" spans="1:11" ht="16" x14ac:dyDescent="0.2">
      <c r="A1374" s="21">
        <v>1373</v>
      </c>
      <c r="B1374" s="22" t="s">
        <v>1809</v>
      </c>
      <c r="C1374" s="22" t="s">
        <v>115</v>
      </c>
      <c r="D1374" s="21" t="s">
        <v>69</v>
      </c>
      <c r="E1374" s="21"/>
      <c r="F1374" s="21"/>
      <c r="G1374" s="21"/>
      <c r="H1374" s="21"/>
      <c r="I1374" s="21">
        <v>36.1</v>
      </c>
      <c r="J1374" s="24">
        <v>-20.2</v>
      </c>
      <c r="K1374" s="21"/>
    </row>
    <row r="1375" spans="1:11" ht="16" x14ac:dyDescent="0.2">
      <c r="A1375" s="21">
        <v>1374</v>
      </c>
      <c r="B1375" s="22" t="s">
        <v>682</v>
      </c>
      <c r="C1375" s="22" t="s">
        <v>64</v>
      </c>
      <c r="D1375" s="21" t="s">
        <v>25</v>
      </c>
      <c r="E1375" s="21"/>
      <c r="F1375" s="21"/>
      <c r="G1375" s="21"/>
      <c r="H1375" s="21">
        <v>116</v>
      </c>
      <c r="I1375" s="21"/>
      <c r="J1375" s="24">
        <v>-20.2</v>
      </c>
      <c r="K1375" s="21"/>
    </row>
    <row r="1376" spans="1:11" ht="16" x14ac:dyDescent="0.2">
      <c r="A1376" s="21">
        <v>1375</v>
      </c>
      <c r="B1376" s="22" t="s">
        <v>903</v>
      </c>
      <c r="C1376" s="22" t="s">
        <v>125</v>
      </c>
      <c r="D1376" s="21" t="s">
        <v>25</v>
      </c>
      <c r="E1376" s="21"/>
      <c r="F1376" s="21"/>
      <c r="G1376" s="21"/>
      <c r="H1376" s="21">
        <v>148</v>
      </c>
      <c r="I1376" s="21"/>
      <c r="J1376" s="24">
        <v>-20.3</v>
      </c>
      <c r="K1376" s="21"/>
    </row>
    <row r="1377" spans="1:11" ht="16" x14ac:dyDescent="0.2">
      <c r="A1377" s="21">
        <v>1376</v>
      </c>
      <c r="B1377" s="22" t="s">
        <v>247</v>
      </c>
      <c r="C1377" s="21"/>
      <c r="D1377" s="21" t="s">
        <v>13</v>
      </c>
      <c r="E1377" s="21"/>
      <c r="F1377" s="21"/>
      <c r="G1377" s="21"/>
      <c r="H1377" s="21">
        <v>81</v>
      </c>
      <c r="I1377" s="21"/>
      <c r="J1377" s="24">
        <v>-20.3</v>
      </c>
      <c r="K1377" s="21"/>
    </row>
    <row r="1378" spans="1:11" ht="16" x14ac:dyDescent="0.2">
      <c r="A1378" s="21">
        <v>1377</v>
      </c>
      <c r="B1378" s="22" t="s">
        <v>861</v>
      </c>
      <c r="C1378" s="22" t="s">
        <v>66</v>
      </c>
      <c r="D1378" s="21" t="s">
        <v>87</v>
      </c>
      <c r="E1378" s="21"/>
      <c r="F1378" s="21"/>
      <c r="G1378" s="21"/>
      <c r="H1378" s="21">
        <v>149</v>
      </c>
      <c r="I1378" s="21"/>
      <c r="J1378" s="24">
        <v>-20.3</v>
      </c>
      <c r="K1378" s="21"/>
    </row>
    <row r="1379" spans="1:11" ht="16" x14ac:dyDescent="0.2">
      <c r="A1379" s="21">
        <v>1378</v>
      </c>
      <c r="B1379" s="22" t="s">
        <v>1320</v>
      </c>
      <c r="C1379" s="22" t="s">
        <v>21</v>
      </c>
      <c r="D1379" s="21" t="s">
        <v>25</v>
      </c>
      <c r="E1379" s="21"/>
      <c r="F1379" s="21"/>
      <c r="G1379" s="21"/>
      <c r="H1379" s="21">
        <v>77</v>
      </c>
      <c r="I1379" s="21"/>
      <c r="J1379" s="24">
        <v>-20.399999999999999</v>
      </c>
      <c r="K1379" s="21"/>
    </row>
    <row r="1380" spans="1:11" ht="16" x14ac:dyDescent="0.2">
      <c r="A1380" s="21">
        <v>1379</v>
      </c>
      <c r="B1380" s="22" t="s">
        <v>703</v>
      </c>
      <c r="C1380" s="22" t="s">
        <v>12</v>
      </c>
      <c r="D1380" s="21" t="s">
        <v>25</v>
      </c>
      <c r="E1380" s="21"/>
      <c r="F1380" s="21"/>
      <c r="G1380" s="21"/>
      <c r="H1380" s="21">
        <v>178</v>
      </c>
      <c r="I1380" s="21"/>
      <c r="J1380" s="24">
        <v>-20.399999999999999</v>
      </c>
      <c r="K1380" s="21"/>
    </row>
    <row r="1381" spans="1:11" ht="16" x14ac:dyDescent="0.2">
      <c r="A1381" s="21">
        <v>1380</v>
      </c>
      <c r="B1381" s="22" t="s">
        <v>1321</v>
      </c>
      <c r="C1381" s="22" t="s">
        <v>57</v>
      </c>
      <c r="D1381" s="21" t="s">
        <v>966</v>
      </c>
      <c r="E1381" s="21"/>
      <c r="F1381" s="21"/>
      <c r="G1381" s="21"/>
      <c r="H1381" s="21">
        <v>88</v>
      </c>
      <c r="I1381" s="21"/>
      <c r="J1381" s="24">
        <v>-20.399999999999999</v>
      </c>
      <c r="K1381" s="21"/>
    </row>
    <row r="1382" spans="1:11" ht="16" x14ac:dyDescent="0.2">
      <c r="A1382" s="21">
        <v>1381</v>
      </c>
      <c r="B1382" s="22" t="s">
        <v>801</v>
      </c>
      <c r="C1382" s="22" t="s">
        <v>140</v>
      </c>
      <c r="D1382" s="21" t="s">
        <v>25</v>
      </c>
      <c r="E1382" s="21"/>
      <c r="F1382" s="21"/>
      <c r="G1382" s="21"/>
      <c r="H1382" s="21">
        <v>127</v>
      </c>
      <c r="I1382" s="21"/>
      <c r="J1382" s="24">
        <v>-20.399999999999999</v>
      </c>
      <c r="K1382" s="21"/>
    </row>
    <row r="1383" spans="1:11" ht="16" x14ac:dyDescent="0.2">
      <c r="A1383" s="21">
        <v>1382</v>
      </c>
      <c r="B1383" s="22" t="s">
        <v>298</v>
      </c>
      <c r="C1383" s="22" t="s">
        <v>48</v>
      </c>
      <c r="D1383" s="21" t="s">
        <v>78</v>
      </c>
      <c r="E1383" s="21"/>
      <c r="F1383" s="21"/>
      <c r="G1383" s="21"/>
      <c r="H1383" s="21">
        <v>128</v>
      </c>
      <c r="I1383" s="21"/>
      <c r="J1383" s="24">
        <v>-20.399999999999999</v>
      </c>
      <c r="K1383" s="21"/>
    </row>
    <row r="1384" spans="1:11" ht="16" x14ac:dyDescent="0.2">
      <c r="A1384" s="21">
        <v>1383</v>
      </c>
      <c r="B1384" s="22" t="s">
        <v>1322</v>
      </c>
      <c r="C1384" s="22" t="s">
        <v>24</v>
      </c>
      <c r="D1384" s="21" t="s">
        <v>152</v>
      </c>
      <c r="E1384" s="21"/>
      <c r="F1384" s="21"/>
      <c r="G1384" s="21"/>
      <c r="H1384" s="21">
        <v>47</v>
      </c>
      <c r="I1384" s="21"/>
      <c r="J1384" s="24">
        <v>-20.5</v>
      </c>
      <c r="K1384" s="21"/>
    </row>
    <row r="1385" spans="1:11" ht="16" x14ac:dyDescent="0.2">
      <c r="A1385" s="21">
        <v>1384</v>
      </c>
      <c r="B1385" s="22" t="s">
        <v>869</v>
      </c>
      <c r="C1385" s="21"/>
      <c r="D1385" s="21" t="s">
        <v>25</v>
      </c>
      <c r="E1385" s="21"/>
      <c r="F1385" s="21"/>
      <c r="G1385" s="21"/>
      <c r="H1385" s="21">
        <v>145</v>
      </c>
      <c r="I1385" s="21"/>
      <c r="J1385" s="24">
        <v>-20.5</v>
      </c>
      <c r="K1385" s="21"/>
    </row>
    <row r="1386" spans="1:11" ht="16" x14ac:dyDescent="0.2">
      <c r="A1386" s="21">
        <v>1385</v>
      </c>
      <c r="B1386" s="22" t="s">
        <v>1323</v>
      </c>
      <c r="C1386" s="22" t="s">
        <v>21</v>
      </c>
      <c r="D1386" s="21" t="s">
        <v>16</v>
      </c>
      <c r="E1386" s="21"/>
      <c r="F1386" s="21"/>
      <c r="G1386" s="21"/>
      <c r="H1386" s="21">
        <v>48</v>
      </c>
      <c r="I1386" s="21"/>
      <c r="J1386" s="24">
        <v>-20.5</v>
      </c>
      <c r="K1386" s="21"/>
    </row>
    <row r="1387" spans="1:11" ht="16" x14ac:dyDescent="0.2">
      <c r="A1387" s="21">
        <v>1386</v>
      </c>
      <c r="B1387" s="22" t="s">
        <v>1324</v>
      </c>
      <c r="C1387" s="22" t="s">
        <v>211</v>
      </c>
      <c r="D1387" s="21" t="s">
        <v>25</v>
      </c>
      <c r="E1387" s="21"/>
      <c r="F1387" s="21"/>
      <c r="G1387" s="21"/>
      <c r="H1387" s="21">
        <v>57</v>
      </c>
      <c r="I1387" s="21"/>
      <c r="J1387" s="24">
        <v>-20.5</v>
      </c>
      <c r="K1387" s="21"/>
    </row>
    <row r="1388" spans="1:11" ht="16" x14ac:dyDescent="0.2">
      <c r="A1388" s="21">
        <v>1387</v>
      </c>
      <c r="B1388" s="22" t="s">
        <v>1325</v>
      </c>
      <c r="C1388" s="22" t="s">
        <v>115</v>
      </c>
      <c r="D1388" s="21" t="s">
        <v>25</v>
      </c>
      <c r="E1388" s="21"/>
      <c r="F1388" s="21"/>
      <c r="G1388" s="21"/>
      <c r="H1388" s="21">
        <v>65</v>
      </c>
      <c r="I1388" s="21"/>
      <c r="J1388" s="24">
        <v>-20.5</v>
      </c>
      <c r="K1388" s="21"/>
    </row>
    <row r="1389" spans="1:11" ht="16" x14ac:dyDescent="0.2">
      <c r="A1389" s="21">
        <v>1388</v>
      </c>
      <c r="B1389" s="22" t="s">
        <v>1326</v>
      </c>
      <c r="C1389" s="22" t="s">
        <v>211</v>
      </c>
      <c r="D1389" s="21" t="s">
        <v>280</v>
      </c>
      <c r="E1389" s="21"/>
      <c r="F1389" s="21"/>
      <c r="G1389" s="21"/>
      <c r="H1389" s="21">
        <v>61</v>
      </c>
      <c r="I1389" s="21"/>
      <c r="J1389" s="24">
        <v>-20.5</v>
      </c>
      <c r="K1389" s="21"/>
    </row>
    <row r="1390" spans="1:11" ht="16" x14ac:dyDescent="0.2">
      <c r="A1390" s="21">
        <v>1389</v>
      </c>
      <c r="B1390" s="22" t="s">
        <v>619</v>
      </c>
      <c r="C1390" s="21"/>
      <c r="D1390" s="21" t="s">
        <v>16</v>
      </c>
      <c r="E1390" s="21"/>
      <c r="F1390" s="21"/>
      <c r="G1390" s="21"/>
      <c r="H1390" s="21">
        <v>61</v>
      </c>
      <c r="I1390" s="21"/>
      <c r="J1390" s="24">
        <v>-20.5</v>
      </c>
      <c r="K1390" s="21"/>
    </row>
    <row r="1391" spans="1:11" ht="16" x14ac:dyDescent="0.2">
      <c r="A1391" s="21">
        <v>1390</v>
      </c>
      <c r="B1391" s="22" t="s">
        <v>1810</v>
      </c>
      <c r="C1391" s="22" t="s">
        <v>57</v>
      </c>
      <c r="D1391" s="21" t="s">
        <v>69</v>
      </c>
      <c r="E1391" s="21"/>
      <c r="F1391" s="21"/>
      <c r="G1391" s="21"/>
      <c r="H1391" s="21"/>
      <c r="I1391" s="21">
        <v>11</v>
      </c>
      <c r="J1391" s="24">
        <v>-20.5</v>
      </c>
      <c r="K1391" s="21"/>
    </row>
    <row r="1392" spans="1:11" ht="16" x14ac:dyDescent="0.2">
      <c r="A1392" s="21">
        <v>1391</v>
      </c>
      <c r="B1392" s="22" t="s">
        <v>965</v>
      </c>
      <c r="C1392" s="22" t="s">
        <v>211</v>
      </c>
      <c r="D1392" s="21" t="s">
        <v>69</v>
      </c>
      <c r="E1392" s="21"/>
      <c r="F1392" s="21"/>
      <c r="G1392" s="21"/>
      <c r="H1392" s="21"/>
      <c r="I1392" s="21">
        <v>9</v>
      </c>
      <c r="J1392" s="24">
        <v>-20.6</v>
      </c>
      <c r="K1392" s="21"/>
    </row>
    <row r="1393" spans="1:11" ht="16" x14ac:dyDescent="0.2">
      <c r="A1393" s="21">
        <v>1392</v>
      </c>
      <c r="B1393" s="22" t="s">
        <v>603</v>
      </c>
      <c r="C1393" s="21"/>
      <c r="D1393" s="21" t="s">
        <v>25</v>
      </c>
      <c r="E1393" s="21"/>
      <c r="F1393" s="21"/>
      <c r="G1393" s="21"/>
      <c r="H1393" s="21">
        <v>95</v>
      </c>
      <c r="I1393" s="21"/>
      <c r="J1393" s="24">
        <v>-20.6</v>
      </c>
      <c r="K1393" s="21"/>
    </row>
    <row r="1394" spans="1:11" ht="16" x14ac:dyDescent="0.2">
      <c r="A1394" s="21">
        <v>1393</v>
      </c>
      <c r="B1394" s="22" t="s">
        <v>830</v>
      </c>
      <c r="C1394" s="22" t="s">
        <v>24</v>
      </c>
      <c r="D1394" s="21" t="s">
        <v>25</v>
      </c>
      <c r="E1394" s="21"/>
      <c r="F1394" s="21"/>
      <c r="G1394" s="21"/>
      <c r="H1394" s="21">
        <v>50</v>
      </c>
      <c r="I1394" s="21"/>
      <c r="J1394" s="24">
        <v>-20.6</v>
      </c>
      <c r="K1394" s="21"/>
    </row>
    <row r="1395" spans="1:11" ht="16" x14ac:dyDescent="0.2">
      <c r="A1395" s="21">
        <v>1394</v>
      </c>
      <c r="B1395" s="22" t="s">
        <v>734</v>
      </c>
      <c r="C1395" s="22" t="s">
        <v>36</v>
      </c>
      <c r="D1395" s="21" t="s">
        <v>78</v>
      </c>
      <c r="E1395" s="21"/>
      <c r="F1395" s="21"/>
      <c r="G1395" s="21"/>
      <c r="H1395" s="21">
        <v>63</v>
      </c>
      <c r="I1395" s="21"/>
      <c r="J1395" s="24">
        <v>-20.6</v>
      </c>
      <c r="K1395" s="21"/>
    </row>
    <row r="1396" spans="1:11" ht="16" x14ac:dyDescent="0.2">
      <c r="A1396" s="21">
        <v>1395</v>
      </c>
      <c r="B1396" s="22" t="s">
        <v>1327</v>
      </c>
      <c r="C1396" s="22" t="s">
        <v>12</v>
      </c>
      <c r="D1396" s="21" t="s">
        <v>206</v>
      </c>
      <c r="E1396" s="21"/>
      <c r="F1396" s="21"/>
      <c r="G1396" s="21"/>
      <c r="H1396" s="21">
        <v>97</v>
      </c>
      <c r="I1396" s="21"/>
      <c r="J1396" s="24">
        <v>-20.7</v>
      </c>
      <c r="K1396" s="21"/>
    </row>
    <row r="1397" spans="1:11" ht="16" x14ac:dyDescent="0.2">
      <c r="A1397" s="21">
        <v>1396</v>
      </c>
      <c r="B1397" s="22" t="s">
        <v>328</v>
      </c>
      <c r="C1397" s="22" t="s">
        <v>46</v>
      </c>
      <c r="D1397" s="21" t="s">
        <v>78</v>
      </c>
      <c r="E1397" s="21"/>
      <c r="F1397" s="23">
        <v>0.02</v>
      </c>
      <c r="G1397" s="23">
        <v>0</v>
      </c>
      <c r="H1397" s="21">
        <v>101</v>
      </c>
      <c r="I1397" s="21"/>
      <c r="J1397" s="24">
        <v>-20.8</v>
      </c>
      <c r="K1397" s="21"/>
    </row>
    <row r="1398" spans="1:11" ht="16" x14ac:dyDescent="0.2">
      <c r="A1398" s="21">
        <v>1397</v>
      </c>
      <c r="B1398" s="22" t="s">
        <v>768</v>
      </c>
      <c r="C1398" s="22" t="s">
        <v>57</v>
      </c>
      <c r="D1398" s="21" t="s">
        <v>82</v>
      </c>
      <c r="E1398" s="21"/>
      <c r="F1398" s="21"/>
      <c r="G1398" s="21"/>
      <c r="H1398" s="21">
        <v>102</v>
      </c>
      <c r="I1398" s="21"/>
      <c r="J1398" s="24">
        <v>-20.8</v>
      </c>
      <c r="K1398" s="21"/>
    </row>
    <row r="1399" spans="1:11" ht="16" x14ac:dyDescent="0.2">
      <c r="A1399" s="21">
        <v>1398</v>
      </c>
      <c r="B1399" s="22" t="s">
        <v>1328</v>
      </c>
      <c r="C1399" s="22" t="s">
        <v>232</v>
      </c>
      <c r="D1399" s="21" t="s">
        <v>25</v>
      </c>
      <c r="E1399" s="21"/>
      <c r="F1399" s="21"/>
      <c r="G1399" s="21"/>
      <c r="H1399" s="21">
        <v>38</v>
      </c>
      <c r="I1399" s="21"/>
      <c r="J1399" s="24">
        <v>-20.8</v>
      </c>
      <c r="K1399" s="21"/>
    </row>
    <row r="1400" spans="1:11" ht="16" x14ac:dyDescent="0.2">
      <c r="A1400" s="21">
        <v>1399</v>
      </c>
      <c r="B1400" s="22" t="s">
        <v>958</v>
      </c>
      <c r="C1400" s="21"/>
      <c r="D1400" s="21" t="s">
        <v>25</v>
      </c>
      <c r="E1400" s="21"/>
      <c r="F1400" s="21"/>
      <c r="G1400" s="21"/>
      <c r="H1400" s="21">
        <v>105</v>
      </c>
      <c r="I1400" s="21"/>
      <c r="J1400" s="24">
        <v>-20.8</v>
      </c>
      <c r="K1400" s="21"/>
    </row>
    <row r="1401" spans="1:11" ht="16" x14ac:dyDescent="0.2">
      <c r="A1401" s="21">
        <v>1400</v>
      </c>
      <c r="B1401" s="22" t="s">
        <v>856</v>
      </c>
      <c r="C1401" s="22" t="s">
        <v>211</v>
      </c>
      <c r="D1401" s="21" t="s">
        <v>25</v>
      </c>
      <c r="E1401" s="21"/>
      <c r="F1401" s="23">
        <v>0.02</v>
      </c>
      <c r="G1401" s="23">
        <v>0</v>
      </c>
      <c r="H1401" s="21">
        <v>23</v>
      </c>
      <c r="I1401" s="21"/>
      <c r="J1401" s="24">
        <v>-20.9</v>
      </c>
      <c r="K1401" s="21"/>
    </row>
    <row r="1402" spans="1:11" ht="16" x14ac:dyDescent="0.2">
      <c r="A1402" s="21">
        <v>1401</v>
      </c>
      <c r="B1402" s="22" t="s">
        <v>922</v>
      </c>
      <c r="C1402" s="22" t="s">
        <v>36</v>
      </c>
      <c r="D1402" s="21" t="s">
        <v>19</v>
      </c>
      <c r="E1402" s="21"/>
      <c r="F1402" s="21"/>
      <c r="G1402" s="21"/>
      <c r="H1402" s="21">
        <v>34</v>
      </c>
      <c r="I1402" s="21"/>
      <c r="J1402" s="24">
        <v>-20.9</v>
      </c>
      <c r="K1402" s="21"/>
    </row>
    <row r="1403" spans="1:11" ht="16" x14ac:dyDescent="0.2">
      <c r="A1403" s="21">
        <v>1402</v>
      </c>
      <c r="B1403" s="22" t="s">
        <v>561</v>
      </c>
      <c r="C1403" s="22" t="s">
        <v>18</v>
      </c>
      <c r="D1403" s="21" t="s">
        <v>206</v>
      </c>
      <c r="E1403" s="21"/>
      <c r="F1403" s="21"/>
      <c r="G1403" s="21"/>
      <c r="H1403" s="21">
        <v>211</v>
      </c>
      <c r="I1403" s="21"/>
      <c r="J1403" s="24">
        <v>-21</v>
      </c>
      <c r="K1403" s="21"/>
    </row>
    <row r="1404" spans="1:11" ht="16" x14ac:dyDescent="0.2">
      <c r="A1404" s="21">
        <v>1403</v>
      </c>
      <c r="B1404" s="22" t="s">
        <v>850</v>
      </c>
      <c r="C1404" s="22" t="s">
        <v>34</v>
      </c>
      <c r="D1404" s="21" t="s">
        <v>25</v>
      </c>
      <c r="E1404" s="21"/>
      <c r="F1404" s="21"/>
      <c r="G1404" s="21"/>
      <c r="H1404" s="21">
        <v>91</v>
      </c>
      <c r="I1404" s="21"/>
      <c r="J1404" s="24">
        <v>-21</v>
      </c>
      <c r="K1404" s="21"/>
    </row>
    <row r="1405" spans="1:11" ht="16" x14ac:dyDescent="0.2">
      <c r="A1405" s="21">
        <v>1404</v>
      </c>
      <c r="B1405" s="22" t="s">
        <v>532</v>
      </c>
      <c r="C1405" s="22" t="s">
        <v>125</v>
      </c>
      <c r="D1405" s="21" t="s">
        <v>280</v>
      </c>
      <c r="E1405" s="21"/>
      <c r="F1405" s="21"/>
      <c r="G1405" s="21"/>
      <c r="H1405" s="21">
        <v>214</v>
      </c>
      <c r="I1405" s="21"/>
      <c r="J1405" s="24">
        <v>-21</v>
      </c>
      <c r="K1405" s="21"/>
    </row>
    <row r="1406" spans="1:11" ht="16" x14ac:dyDescent="0.2">
      <c r="A1406" s="21">
        <v>1405</v>
      </c>
      <c r="B1406" s="22" t="s">
        <v>976</v>
      </c>
      <c r="C1406" s="22" t="s">
        <v>52</v>
      </c>
      <c r="D1406" s="21" t="s">
        <v>82</v>
      </c>
      <c r="E1406" s="21"/>
      <c r="F1406" s="21"/>
      <c r="G1406" s="21"/>
      <c r="H1406" s="21">
        <v>116</v>
      </c>
      <c r="I1406" s="21"/>
      <c r="J1406" s="24">
        <v>-21.1</v>
      </c>
      <c r="K1406" s="21"/>
    </row>
    <row r="1407" spans="1:11" ht="16" x14ac:dyDescent="0.2">
      <c r="A1407" s="21">
        <v>1406</v>
      </c>
      <c r="B1407" s="22" t="s">
        <v>908</v>
      </c>
      <c r="C1407" s="22" t="s">
        <v>34</v>
      </c>
      <c r="D1407" s="21" t="s">
        <v>25</v>
      </c>
      <c r="E1407" s="21"/>
      <c r="F1407" s="21"/>
      <c r="G1407" s="21"/>
      <c r="H1407" s="21">
        <v>75</v>
      </c>
      <c r="I1407" s="21"/>
      <c r="J1407" s="24">
        <v>-21.1</v>
      </c>
      <c r="K1407" s="21"/>
    </row>
    <row r="1408" spans="1:11" ht="16" x14ac:dyDescent="0.2">
      <c r="A1408" s="21">
        <v>1407</v>
      </c>
      <c r="B1408" s="22" t="s">
        <v>552</v>
      </c>
      <c r="C1408" s="22" t="s">
        <v>313</v>
      </c>
      <c r="D1408" s="21" t="s">
        <v>135</v>
      </c>
      <c r="E1408" s="21"/>
      <c r="F1408" s="21"/>
      <c r="G1408" s="21"/>
      <c r="H1408" s="21">
        <v>242</v>
      </c>
      <c r="I1408" s="21"/>
      <c r="J1408" s="24">
        <v>-21.1</v>
      </c>
      <c r="K1408" s="21"/>
    </row>
    <row r="1409" spans="1:11" ht="16" x14ac:dyDescent="0.2">
      <c r="A1409" s="21">
        <v>1408</v>
      </c>
      <c r="B1409" s="22" t="s">
        <v>791</v>
      </c>
      <c r="C1409" s="22" t="s">
        <v>39</v>
      </c>
      <c r="D1409" s="21" t="s">
        <v>25</v>
      </c>
      <c r="E1409" s="21"/>
      <c r="F1409" s="21"/>
      <c r="G1409" s="21"/>
      <c r="H1409" s="21">
        <v>42</v>
      </c>
      <c r="I1409" s="21"/>
      <c r="J1409" s="24">
        <v>-21.1</v>
      </c>
      <c r="K1409" s="21"/>
    </row>
    <row r="1410" spans="1:11" ht="16" x14ac:dyDescent="0.2">
      <c r="A1410" s="21">
        <v>1409</v>
      </c>
      <c r="B1410" s="22" t="s">
        <v>1329</v>
      </c>
      <c r="C1410" s="22" t="s">
        <v>313</v>
      </c>
      <c r="D1410" s="21" t="s">
        <v>25</v>
      </c>
      <c r="E1410" s="21"/>
      <c r="F1410" s="21"/>
      <c r="G1410" s="21"/>
      <c r="H1410" s="21">
        <v>73</v>
      </c>
      <c r="I1410" s="21"/>
      <c r="J1410" s="24">
        <v>-21.2</v>
      </c>
      <c r="K1410" s="21"/>
    </row>
    <row r="1411" spans="1:11" ht="16" x14ac:dyDescent="0.2">
      <c r="A1411" s="21">
        <v>1410</v>
      </c>
      <c r="B1411" s="22" t="s">
        <v>799</v>
      </c>
      <c r="C1411" s="21"/>
      <c r="D1411" s="21" t="s">
        <v>16</v>
      </c>
      <c r="E1411" s="21"/>
      <c r="F1411" s="21"/>
      <c r="G1411" s="21"/>
      <c r="H1411" s="21">
        <v>111</v>
      </c>
      <c r="I1411" s="21"/>
      <c r="J1411" s="24">
        <v>-21.2</v>
      </c>
      <c r="K1411" s="21"/>
    </row>
    <row r="1412" spans="1:11" ht="16" x14ac:dyDescent="0.2">
      <c r="A1412" s="21">
        <v>1411</v>
      </c>
      <c r="B1412" s="22" t="s">
        <v>581</v>
      </c>
      <c r="C1412" s="22" t="s">
        <v>21</v>
      </c>
      <c r="D1412" s="21" t="s">
        <v>25</v>
      </c>
      <c r="E1412" s="21"/>
      <c r="F1412" s="21"/>
      <c r="G1412" s="21"/>
      <c r="H1412" s="21">
        <v>55</v>
      </c>
      <c r="I1412" s="21"/>
      <c r="J1412" s="24">
        <v>-21.2</v>
      </c>
      <c r="K1412" s="21"/>
    </row>
    <row r="1413" spans="1:11" ht="16" x14ac:dyDescent="0.2">
      <c r="A1413" s="21">
        <v>1412</v>
      </c>
      <c r="B1413" s="22" t="s">
        <v>475</v>
      </c>
      <c r="C1413" s="21"/>
      <c r="D1413" s="21" t="s">
        <v>16</v>
      </c>
      <c r="E1413" s="21"/>
      <c r="F1413" s="21"/>
      <c r="G1413" s="21"/>
      <c r="H1413" s="21">
        <v>43</v>
      </c>
      <c r="I1413" s="21"/>
      <c r="J1413" s="24">
        <v>-21.2</v>
      </c>
      <c r="K1413" s="21"/>
    </row>
    <row r="1414" spans="1:11" ht="16" x14ac:dyDescent="0.2">
      <c r="A1414" s="21">
        <v>1413</v>
      </c>
      <c r="B1414" s="22" t="s">
        <v>891</v>
      </c>
      <c r="C1414" s="22" t="s">
        <v>57</v>
      </c>
      <c r="D1414" s="21" t="s">
        <v>25</v>
      </c>
      <c r="E1414" s="21"/>
      <c r="F1414" s="21"/>
      <c r="G1414" s="21"/>
      <c r="H1414" s="21">
        <v>34</v>
      </c>
      <c r="I1414" s="21"/>
      <c r="J1414" s="24">
        <v>-21.2</v>
      </c>
      <c r="K1414" s="21"/>
    </row>
    <row r="1415" spans="1:11" ht="16" x14ac:dyDescent="0.2">
      <c r="A1415" s="21">
        <v>1414</v>
      </c>
      <c r="B1415" s="22" t="s">
        <v>879</v>
      </c>
      <c r="C1415" s="22" t="s">
        <v>36</v>
      </c>
      <c r="D1415" s="21" t="s">
        <v>16</v>
      </c>
      <c r="E1415" s="21"/>
      <c r="F1415" s="21"/>
      <c r="G1415" s="21"/>
      <c r="H1415" s="21">
        <v>21</v>
      </c>
      <c r="I1415" s="21"/>
      <c r="J1415" s="24">
        <v>-21.3</v>
      </c>
      <c r="K1415" s="21"/>
    </row>
    <row r="1416" spans="1:11" ht="16" x14ac:dyDescent="0.2">
      <c r="A1416" s="21">
        <v>1415</v>
      </c>
      <c r="B1416" s="22" t="s">
        <v>489</v>
      </c>
      <c r="C1416" s="22" t="s">
        <v>140</v>
      </c>
      <c r="D1416" s="21" t="s">
        <v>25</v>
      </c>
      <c r="E1416" s="21"/>
      <c r="F1416" s="21"/>
      <c r="G1416" s="21"/>
      <c r="H1416" s="21">
        <v>125</v>
      </c>
      <c r="I1416" s="21"/>
      <c r="J1416" s="24">
        <v>-21.4</v>
      </c>
      <c r="K1416" s="21"/>
    </row>
    <row r="1417" spans="1:11" ht="16" x14ac:dyDescent="0.2">
      <c r="A1417" s="21">
        <v>1416</v>
      </c>
      <c r="B1417" s="22" t="s">
        <v>469</v>
      </c>
      <c r="C1417" s="22" t="s">
        <v>18</v>
      </c>
      <c r="D1417" s="21" t="s">
        <v>25</v>
      </c>
      <c r="E1417" s="21"/>
      <c r="F1417" s="21"/>
      <c r="G1417" s="21"/>
      <c r="H1417" s="21">
        <v>8</v>
      </c>
      <c r="I1417" s="21"/>
      <c r="J1417" s="24">
        <v>-21.4</v>
      </c>
      <c r="K1417" s="21"/>
    </row>
    <row r="1418" spans="1:11" ht="16" x14ac:dyDescent="0.2">
      <c r="A1418" s="21">
        <v>1417</v>
      </c>
      <c r="B1418" s="22" t="s">
        <v>874</v>
      </c>
      <c r="C1418" s="21"/>
      <c r="D1418" s="21" t="s">
        <v>152</v>
      </c>
      <c r="E1418" s="21"/>
      <c r="F1418" s="21"/>
      <c r="G1418" s="21"/>
      <c r="H1418" s="21">
        <v>73</v>
      </c>
      <c r="I1418" s="21"/>
      <c r="J1418" s="24">
        <v>-21.4</v>
      </c>
      <c r="K1418" s="21"/>
    </row>
    <row r="1419" spans="1:11" ht="16" x14ac:dyDescent="0.2">
      <c r="A1419" s="21">
        <v>1418</v>
      </c>
      <c r="B1419" s="22" t="s">
        <v>809</v>
      </c>
      <c r="C1419" s="22" t="s">
        <v>50</v>
      </c>
      <c r="D1419" s="21" t="s">
        <v>828</v>
      </c>
      <c r="E1419" s="21"/>
      <c r="F1419" s="21"/>
      <c r="G1419" s="21"/>
      <c r="H1419" s="21">
        <v>83</v>
      </c>
      <c r="I1419" s="21"/>
      <c r="J1419" s="24">
        <v>-21.5</v>
      </c>
      <c r="K1419" s="21"/>
    </row>
    <row r="1420" spans="1:11" ht="16" x14ac:dyDescent="0.2">
      <c r="A1420" s="21">
        <v>1419</v>
      </c>
      <c r="B1420" s="22" t="s">
        <v>1330</v>
      </c>
      <c r="C1420" s="21"/>
      <c r="D1420" s="21" t="s">
        <v>82</v>
      </c>
      <c r="E1420" s="21"/>
      <c r="F1420" s="21"/>
      <c r="G1420" s="21"/>
      <c r="H1420" s="21">
        <v>83</v>
      </c>
      <c r="I1420" s="21"/>
      <c r="J1420" s="24">
        <v>-21.5</v>
      </c>
      <c r="K1420" s="21"/>
    </row>
    <row r="1421" spans="1:11" ht="16" x14ac:dyDescent="0.2">
      <c r="A1421" s="21">
        <v>1420</v>
      </c>
      <c r="B1421" s="22" t="s">
        <v>957</v>
      </c>
      <c r="C1421" s="22" t="s">
        <v>64</v>
      </c>
      <c r="D1421" s="21" t="s">
        <v>16</v>
      </c>
      <c r="E1421" s="21"/>
      <c r="F1421" s="21"/>
      <c r="G1421" s="21"/>
      <c r="H1421" s="21">
        <v>12</v>
      </c>
      <c r="I1421" s="21"/>
      <c r="J1421" s="24">
        <v>-21.5</v>
      </c>
      <c r="K1421" s="21"/>
    </row>
    <row r="1422" spans="1:11" ht="16" x14ac:dyDescent="0.2">
      <c r="A1422" s="21">
        <v>1421</v>
      </c>
      <c r="B1422" s="22" t="s">
        <v>964</v>
      </c>
      <c r="C1422" s="22" t="s">
        <v>313</v>
      </c>
      <c r="D1422" s="21" t="s">
        <v>16</v>
      </c>
      <c r="E1422" s="21"/>
      <c r="F1422" s="21"/>
      <c r="G1422" s="21"/>
      <c r="H1422" s="21">
        <v>43</v>
      </c>
      <c r="I1422" s="21"/>
      <c r="J1422" s="24">
        <v>-21.5</v>
      </c>
      <c r="K1422" s="21"/>
    </row>
    <row r="1423" spans="1:11" ht="16" x14ac:dyDescent="0.2">
      <c r="A1423" s="21">
        <v>1422</v>
      </c>
      <c r="B1423" s="22" t="s">
        <v>1811</v>
      </c>
      <c r="C1423" s="22" t="s">
        <v>64</v>
      </c>
      <c r="D1423" s="21" t="s">
        <v>69</v>
      </c>
      <c r="E1423" s="21"/>
      <c r="F1423" s="21"/>
      <c r="G1423" s="21"/>
      <c r="H1423" s="21"/>
      <c r="I1423" s="21">
        <v>42</v>
      </c>
      <c r="J1423" s="24">
        <v>-21.6</v>
      </c>
      <c r="K1423" s="21"/>
    </row>
    <row r="1424" spans="1:11" ht="16" x14ac:dyDescent="0.2">
      <c r="A1424" s="21">
        <v>1423</v>
      </c>
      <c r="B1424" s="22" t="s">
        <v>862</v>
      </c>
      <c r="C1424" s="22" t="s">
        <v>60</v>
      </c>
      <c r="D1424" s="21" t="s">
        <v>78</v>
      </c>
      <c r="E1424" s="21"/>
      <c r="F1424" s="21"/>
      <c r="G1424" s="21"/>
      <c r="H1424" s="21">
        <v>39</v>
      </c>
      <c r="I1424" s="21"/>
      <c r="J1424" s="24">
        <v>-21.6</v>
      </c>
      <c r="K1424" s="21"/>
    </row>
    <row r="1425" spans="1:11" ht="16" x14ac:dyDescent="0.2">
      <c r="A1425" s="21">
        <v>1424</v>
      </c>
      <c r="B1425" s="22" t="s">
        <v>496</v>
      </c>
      <c r="C1425" s="22" t="s">
        <v>42</v>
      </c>
      <c r="D1425" s="21" t="s">
        <v>69</v>
      </c>
      <c r="E1425" s="21"/>
      <c r="F1425" s="21"/>
      <c r="G1425" s="21"/>
      <c r="H1425" s="21"/>
      <c r="I1425" s="21">
        <v>55</v>
      </c>
      <c r="J1425" s="24">
        <v>-21.6</v>
      </c>
      <c r="K1425" s="21"/>
    </row>
    <row r="1426" spans="1:11" ht="16" x14ac:dyDescent="0.2">
      <c r="A1426" s="21">
        <v>1425</v>
      </c>
      <c r="B1426" s="22" t="s">
        <v>1331</v>
      </c>
      <c r="C1426" s="22" t="s">
        <v>48</v>
      </c>
      <c r="D1426" s="21" t="s">
        <v>87</v>
      </c>
      <c r="E1426" s="21"/>
      <c r="F1426" s="21"/>
      <c r="G1426" s="21"/>
      <c r="H1426" s="21">
        <v>73</v>
      </c>
      <c r="I1426" s="21"/>
      <c r="J1426" s="24">
        <v>-21.6</v>
      </c>
      <c r="K1426" s="21"/>
    </row>
    <row r="1427" spans="1:11" ht="16" x14ac:dyDescent="0.2">
      <c r="A1427" s="21">
        <v>1426</v>
      </c>
      <c r="B1427" s="22" t="s">
        <v>952</v>
      </c>
      <c r="C1427" s="22" t="s">
        <v>36</v>
      </c>
      <c r="D1427" s="21" t="s">
        <v>25</v>
      </c>
      <c r="E1427" s="21"/>
      <c r="F1427" s="21"/>
      <c r="G1427" s="21"/>
      <c r="H1427" s="21">
        <v>4</v>
      </c>
      <c r="I1427" s="21"/>
      <c r="J1427" s="24">
        <v>-21.6</v>
      </c>
      <c r="K1427" s="21"/>
    </row>
    <row r="1428" spans="1:11" ht="16" x14ac:dyDescent="0.2">
      <c r="A1428" s="21">
        <v>1427</v>
      </c>
      <c r="B1428" s="22" t="s">
        <v>1332</v>
      </c>
      <c r="C1428" s="22" t="s">
        <v>21</v>
      </c>
      <c r="D1428" s="21" t="s">
        <v>25</v>
      </c>
      <c r="E1428" s="21"/>
      <c r="F1428" s="21"/>
      <c r="G1428" s="21"/>
      <c r="H1428" s="21">
        <v>8</v>
      </c>
      <c r="I1428" s="21"/>
      <c r="J1428" s="24">
        <v>-21.7</v>
      </c>
      <c r="K1428" s="21"/>
    </row>
    <row r="1429" spans="1:11" ht="16" x14ac:dyDescent="0.2">
      <c r="A1429" s="21">
        <v>1428</v>
      </c>
      <c r="B1429" s="22" t="s">
        <v>636</v>
      </c>
      <c r="C1429" s="21"/>
      <c r="D1429" s="21" t="s">
        <v>25</v>
      </c>
      <c r="E1429" s="21"/>
      <c r="F1429" s="21"/>
      <c r="G1429" s="21"/>
      <c r="H1429" s="21">
        <v>20</v>
      </c>
      <c r="I1429" s="21"/>
      <c r="J1429" s="24">
        <v>-21.7</v>
      </c>
      <c r="K1429" s="21"/>
    </row>
    <row r="1430" spans="1:11" ht="16" x14ac:dyDescent="0.2">
      <c r="A1430" s="21">
        <v>1429</v>
      </c>
      <c r="B1430" s="22" t="s">
        <v>1333</v>
      </c>
      <c r="C1430" s="22" t="s">
        <v>313</v>
      </c>
      <c r="D1430" s="21" t="s">
        <v>82</v>
      </c>
      <c r="E1430" s="21"/>
      <c r="F1430" s="21"/>
      <c r="G1430" s="21"/>
      <c r="H1430" s="21">
        <v>72</v>
      </c>
      <c r="I1430" s="21"/>
      <c r="J1430" s="24">
        <v>-21.7</v>
      </c>
      <c r="K1430" s="21"/>
    </row>
    <row r="1431" spans="1:11" ht="16" x14ac:dyDescent="0.2">
      <c r="A1431" s="21">
        <v>1430</v>
      </c>
      <c r="B1431" s="22" t="s">
        <v>1334</v>
      </c>
      <c r="C1431" s="22" t="s">
        <v>12</v>
      </c>
      <c r="D1431" s="21" t="s">
        <v>135</v>
      </c>
      <c r="E1431" s="21"/>
      <c r="F1431" s="21"/>
      <c r="G1431" s="21"/>
      <c r="H1431" s="21">
        <v>42</v>
      </c>
      <c r="I1431" s="21"/>
      <c r="J1431" s="24">
        <v>-21.7</v>
      </c>
      <c r="K1431" s="21"/>
    </row>
    <row r="1432" spans="1:11" ht="16" x14ac:dyDescent="0.2">
      <c r="A1432" s="21">
        <v>1431</v>
      </c>
      <c r="B1432" s="22" t="s">
        <v>955</v>
      </c>
      <c r="C1432" s="22" t="s">
        <v>66</v>
      </c>
      <c r="D1432" s="21" t="s">
        <v>865</v>
      </c>
      <c r="E1432" s="21"/>
      <c r="F1432" s="21"/>
      <c r="G1432" s="21"/>
      <c r="H1432" s="21">
        <v>34</v>
      </c>
      <c r="I1432" s="21"/>
      <c r="J1432" s="24">
        <v>-21.8</v>
      </c>
      <c r="K1432" s="21"/>
    </row>
    <row r="1433" spans="1:11" ht="16" x14ac:dyDescent="0.2">
      <c r="A1433" s="21">
        <v>1432</v>
      </c>
      <c r="B1433" s="22" t="s">
        <v>982</v>
      </c>
      <c r="C1433" s="21"/>
      <c r="D1433" s="21" t="s">
        <v>1309</v>
      </c>
      <c r="E1433" s="21"/>
      <c r="F1433" s="21"/>
      <c r="G1433" s="21"/>
      <c r="H1433" s="21">
        <v>63</v>
      </c>
      <c r="I1433" s="21"/>
      <c r="J1433" s="24">
        <v>-21.8</v>
      </c>
      <c r="K1433" s="21"/>
    </row>
    <row r="1434" spans="1:11" ht="16" x14ac:dyDescent="0.2">
      <c r="A1434" s="21">
        <v>1433</v>
      </c>
      <c r="B1434" s="22" t="s">
        <v>882</v>
      </c>
      <c r="C1434" s="22" t="s">
        <v>313</v>
      </c>
      <c r="D1434" s="21" t="s">
        <v>719</v>
      </c>
      <c r="E1434" s="21"/>
      <c r="F1434" s="21"/>
      <c r="G1434" s="21"/>
      <c r="H1434" s="21">
        <v>41</v>
      </c>
      <c r="I1434" s="21"/>
      <c r="J1434" s="24">
        <v>-21.9</v>
      </c>
      <c r="K1434" s="21"/>
    </row>
    <row r="1435" spans="1:11" ht="16" x14ac:dyDescent="0.2">
      <c r="A1435" s="21">
        <v>1434</v>
      </c>
      <c r="B1435" s="22" t="s">
        <v>1812</v>
      </c>
      <c r="C1435" s="22" t="s">
        <v>57</v>
      </c>
      <c r="D1435" s="21" t="s">
        <v>69</v>
      </c>
      <c r="E1435" s="21"/>
      <c r="F1435" s="21"/>
      <c r="G1435" s="21"/>
      <c r="H1435" s="21"/>
      <c r="I1435" s="21">
        <v>17</v>
      </c>
      <c r="J1435" s="24">
        <v>-21.9</v>
      </c>
      <c r="K1435" s="21"/>
    </row>
    <row r="1436" spans="1:11" ht="16" x14ac:dyDescent="0.2">
      <c r="A1436" s="21">
        <v>1435</v>
      </c>
      <c r="B1436" s="22" t="s">
        <v>1335</v>
      </c>
      <c r="C1436" s="22" t="s">
        <v>117</v>
      </c>
      <c r="D1436" s="21" t="s">
        <v>19</v>
      </c>
      <c r="E1436" s="21"/>
      <c r="F1436" s="21"/>
      <c r="G1436" s="21"/>
      <c r="H1436" s="21">
        <v>43</v>
      </c>
      <c r="I1436" s="21"/>
      <c r="J1436" s="24">
        <v>-21.9</v>
      </c>
      <c r="K1436" s="21"/>
    </row>
    <row r="1437" spans="1:11" ht="16" x14ac:dyDescent="0.2">
      <c r="A1437" s="21">
        <v>1436</v>
      </c>
      <c r="B1437" s="22" t="s">
        <v>1336</v>
      </c>
      <c r="C1437" s="22" t="s">
        <v>30</v>
      </c>
      <c r="D1437" s="21" t="s">
        <v>956</v>
      </c>
      <c r="E1437" s="21"/>
      <c r="F1437" s="21"/>
      <c r="G1437" s="21"/>
      <c r="H1437" s="21">
        <v>53</v>
      </c>
      <c r="I1437" s="21"/>
      <c r="J1437" s="24">
        <v>-21.9</v>
      </c>
      <c r="K1437" s="21"/>
    </row>
    <row r="1438" spans="1:11" ht="16" x14ac:dyDescent="0.2">
      <c r="A1438" s="21">
        <v>1437</v>
      </c>
      <c r="B1438" s="22" t="s">
        <v>525</v>
      </c>
      <c r="C1438" s="22" t="s">
        <v>15</v>
      </c>
      <c r="D1438" s="21" t="s">
        <v>25</v>
      </c>
      <c r="E1438" s="21"/>
      <c r="F1438" s="21"/>
      <c r="G1438" s="21"/>
      <c r="H1438" s="21">
        <v>76</v>
      </c>
      <c r="I1438" s="21"/>
      <c r="J1438" s="24">
        <v>-21.9</v>
      </c>
      <c r="K1438" s="21"/>
    </row>
    <row r="1439" spans="1:11" ht="16" x14ac:dyDescent="0.2">
      <c r="A1439" s="21">
        <v>1438</v>
      </c>
      <c r="B1439" s="22" t="s">
        <v>1337</v>
      </c>
      <c r="C1439" s="22" t="s">
        <v>15</v>
      </c>
      <c r="D1439" s="21" t="s">
        <v>206</v>
      </c>
      <c r="E1439" s="21"/>
      <c r="F1439" s="21"/>
      <c r="G1439" s="21"/>
      <c r="H1439" s="21">
        <v>66</v>
      </c>
      <c r="I1439" s="21"/>
      <c r="J1439" s="24">
        <v>-22</v>
      </c>
      <c r="K1439" s="21"/>
    </row>
    <row r="1440" spans="1:11" ht="16" x14ac:dyDescent="0.2">
      <c r="A1440" s="21">
        <v>1439</v>
      </c>
      <c r="B1440" s="22" t="s">
        <v>878</v>
      </c>
      <c r="C1440" s="22" t="s">
        <v>24</v>
      </c>
      <c r="D1440" s="21" t="s">
        <v>16</v>
      </c>
      <c r="E1440" s="21"/>
      <c r="F1440" s="21"/>
      <c r="G1440" s="21"/>
      <c r="H1440" s="21">
        <v>25</v>
      </c>
      <c r="I1440" s="21"/>
      <c r="J1440" s="24">
        <v>-22</v>
      </c>
      <c r="K1440" s="21"/>
    </row>
    <row r="1441" spans="1:11" ht="16" x14ac:dyDescent="0.2">
      <c r="A1441" s="21">
        <v>1440</v>
      </c>
      <c r="B1441" s="22" t="s">
        <v>1338</v>
      </c>
      <c r="C1441" s="22" t="s">
        <v>60</v>
      </c>
      <c r="D1441" s="21" t="s">
        <v>429</v>
      </c>
      <c r="E1441" s="21"/>
      <c r="F1441" s="21"/>
      <c r="G1441" s="21"/>
      <c r="H1441" s="21">
        <v>91</v>
      </c>
      <c r="I1441" s="21"/>
      <c r="J1441" s="24">
        <v>-22</v>
      </c>
      <c r="K1441" s="21"/>
    </row>
    <row r="1442" spans="1:11" ht="16" x14ac:dyDescent="0.2">
      <c r="A1442" s="21">
        <v>1441</v>
      </c>
      <c r="B1442" s="22" t="s">
        <v>944</v>
      </c>
      <c r="C1442" s="22" t="s">
        <v>66</v>
      </c>
      <c r="D1442" s="21" t="s">
        <v>889</v>
      </c>
      <c r="E1442" s="21"/>
      <c r="F1442" s="21"/>
      <c r="G1442" s="21"/>
      <c r="H1442" s="21">
        <v>26</v>
      </c>
      <c r="I1442" s="21"/>
      <c r="J1442" s="24">
        <v>-22</v>
      </c>
      <c r="K1442" s="21"/>
    </row>
    <row r="1443" spans="1:11" ht="16" x14ac:dyDescent="0.2">
      <c r="A1443" s="21">
        <v>1442</v>
      </c>
      <c r="B1443" s="22" t="s">
        <v>912</v>
      </c>
      <c r="C1443" s="21"/>
      <c r="D1443" s="21" t="s">
        <v>354</v>
      </c>
      <c r="E1443" s="21"/>
      <c r="F1443" s="21"/>
      <c r="G1443" s="21"/>
      <c r="H1443" s="21">
        <v>90</v>
      </c>
      <c r="I1443" s="21"/>
      <c r="J1443" s="24">
        <v>-22.1</v>
      </c>
      <c r="K1443" s="21"/>
    </row>
    <row r="1444" spans="1:11" ht="16" x14ac:dyDescent="0.2">
      <c r="A1444" s="21">
        <v>1443</v>
      </c>
      <c r="B1444" s="22" t="s">
        <v>593</v>
      </c>
      <c r="C1444" s="22" t="s">
        <v>12</v>
      </c>
      <c r="D1444" s="21" t="s">
        <v>25</v>
      </c>
      <c r="E1444" s="21"/>
      <c r="F1444" s="21"/>
      <c r="G1444" s="21"/>
      <c r="H1444" s="21">
        <v>19</v>
      </c>
      <c r="I1444" s="21"/>
      <c r="J1444" s="24">
        <v>-22.1</v>
      </c>
      <c r="K1444" s="21"/>
    </row>
    <row r="1445" spans="1:11" ht="16" x14ac:dyDescent="0.2">
      <c r="A1445" s="21">
        <v>1444</v>
      </c>
      <c r="B1445" s="22" t="s">
        <v>422</v>
      </c>
      <c r="C1445" s="22" t="s">
        <v>313</v>
      </c>
      <c r="D1445" s="21" t="s">
        <v>25</v>
      </c>
      <c r="E1445" s="21"/>
      <c r="F1445" s="21"/>
      <c r="G1445" s="21"/>
      <c r="H1445" s="21">
        <v>65</v>
      </c>
      <c r="I1445" s="21"/>
      <c r="J1445" s="24">
        <v>-22.1</v>
      </c>
      <c r="K1445" s="21"/>
    </row>
    <row r="1446" spans="1:11" ht="16" x14ac:dyDescent="0.2">
      <c r="A1446" s="21">
        <v>1445</v>
      </c>
      <c r="B1446" s="22" t="s">
        <v>935</v>
      </c>
      <c r="C1446" s="21"/>
      <c r="D1446" s="21" t="s">
        <v>16</v>
      </c>
      <c r="E1446" s="21"/>
      <c r="F1446" s="21"/>
      <c r="G1446" s="21"/>
      <c r="H1446" s="21">
        <v>21</v>
      </c>
      <c r="I1446" s="21"/>
      <c r="J1446" s="24">
        <v>-22.1</v>
      </c>
      <c r="K1446" s="21"/>
    </row>
    <row r="1447" spans="1:11" ht="16" x14ac:dyDescent="0.2">
      <c r="A1447" s="21">
        <v>1446</v>
      </c>
      <c r="B1447" s="22" t="s">
        <v>984</v>
      </c>
      <c r="C1447" s="22" t="s">
        <v>89</v>
      </c>
      <c r="D1447" s="21" t="s">
        <v>78</v>
      </c>
      <c r="E1447" s="21"/>
      <c r="F1447" s="21"/>
      <c r="G1447" s="21"/>
      <c r="H1447" s="21">
        <v>128</v>
      </c>
      <c r="I1447" s="21"/>
      <c r="J1447" s="24">
        <v>-22.1</v>
      </c>
      <c r="K1447" s="21"/>
    </row>
    <row r="1448" spans="1:11" ht="16" x14ac:dyDescent="0.2">
      <c r="A1448" s="21">
        <v>1447</v>
      </c>
      <c r="B1448" s="22" t="s">
        <v>829</v>
      </c>
      <c r="C1448" s="22" t="s">
        <v>27</v>
      </c>
      <c r="D1448" s="21" t="s">
        <v>25</v>
      </c>
      <c r="E1448" s="21"/>
      <c r="F1448" s="21"/>
      <c r="G1448" s="21"/>
      <c r="H1448" s="21">
        <v>13</v>
      </c>
      <c r="I1448" s="21"/>
      <c r="J1448" s="24">
        <v>-22.1</v>
      </c>
      <c r="K1448" s="21"/>
    </row>
    <row r="1449" spans="1:11" ht="16" x14ac:dyDescent="0.2">
      <c r="A1449" s="21">
        <v>1448</v>
      </c>
      <c r="B1449" s="22" t="s">
        <v>1339</v>
      </c>
      <c r="C1449" s="22" t="s">
        <v>232</v>
      </c>
      <c r="D1449" s="21" t="s">
        <v>915</v>
      </c>
      <c r="E1449" s="21"/>
      <c r="F1449" s="21"/>
      <c r="G1449" s="21"/>
      <c r="H1449" s="21">
        <v>47</v>
      </c>
      <c r="I1449" s="21"/>
      <c r="J1449" s="24">
        <v>-22.2</v>
      </c>
      <c r="K1449" s="21"/>
    </row>
    <row r="1450" spans="1:11" ht="16" x14ac:dyDescent="0.2">
      <c r="A1450" s="21">
        <v>1449</v>
      </c>
      <c r="B1450" s="22" t="s">
        <v>938</v>
      </c>
      <c r="C1450" s="22" t="s">
        <v>52</v>
      </c>
      <c r="D1450" s="21" t="s">
        <v>25</v>
      </c>
      <c r="E1450" s="21"/>
      <c r="F1450" s="21"/>
      <c r="G1450" s="21"/>
      <c r="H1450" s="21">
        <v>77</v>
      </c>
      <c r="I1450" s="21"/>
      <c r="J1450" s="24">
        <v>-22.2</v>
      </c>
      <c r="K1450" s="21"/>
    </row>
    <row r="1451" spans="1:11" ht="16" x14ac:dyDescent="0.2">
      <c r="A1451" s="21">
        <v>1450</v>
      </c>
      <c r="B1451" s="22" t="s">
        <v>1340</v>
      </c>
      <c r="C1451" s="22" t="s">
        <v>60</v>
      </c>
      <c r="D1451" s="21" t="s">
        <v>25</v>
      </c>
      <c r="E1451" s="21"/>
      <c r="F1451" s="21"/>
      <c r="G1451" s="21"/>
      <c r="H1451" s="21">
        <v>10</v>
      </c>
      <c r="I1451" s="21"/>
      <c r="J1451" s="24">
        <v>-22.2</v>
      </c>
      <c r="K1451" s="21"/>
    </row>
    <row r="1452" spans="1:11" ht="16" x14ac:dyDescent="0.2">
      <c r="A1452" s="21">
        <v>1451</v>
      </c>
      <c r="B1452" s="22" t="s">
        <v>1341</v>
      </c>
      <c r="C1452" s="22" t="s">
        <v>50</v>
      </c>
      <c r="D1452" s="21" t="s">
        <v>868</v>
      </c>
      <c r="E1452" s="21"/>
      <c r="F1452" s="21"/>
      <c r="G1452" s="21"/>
      <c r="H1452" s="21">
        <v>16</v>
      </c>
      <c r="I1452" s="21"/>
      <c r="J1452" s="24">
        <v>-22.3</v>
      </c>
      <c r="K1452" s="21"/>
    </row>
    <row r="1453" spans="1:11" ht="16" x14ac:dyDescent="0.2">
      <c r="A1453" s="21">
        <v>1452</v>
      </c>
      <c r="B1453" s="22" t="s">
        <v>1342</v>
      </c>
      <c r="C1453" s="21"/>
      <c r="D1453" s="21" t="s">
        <v>16</v>
      </c>
      <c r="E1453" s="21"/>
      <c r="F1453" s="21"/>
      <c r="G1453" s="21"/>
      <c r="H1453" s="21">
        <v>61</v>
      </c>
      <c r="I1453" s="21"/>
      <c r="J1453" s="24">
        <v>-22.3</v>
      </c>
      <c r="K1453" s="21"/>
    </row>
    <row r="1454" spans="1:11" ht="16" x14ac:dyDescent="0.2">
      <c r="A1454" s="21">
        <v>1453</v>
      </c>
      <c r="B1454" s="22" t="s">
        <v>967</v>
      </c>
      <c r="C1454" s="22" t="s">
        <v>39</v>
      </c>
      <c r="D1454" s="21" t="s">
        <v>135</v>
      </c>
      <c r="E1454" s="21"/>
      <c r="F1454" s="21"/>
      <c r="G1454" s="21"/>
      <c r="H1454" s="21">
        <v>13</v>
      </c>
      <c r="I1454" s="21"/>
      <c r="J1454" s="24">
        <v>-22.3</v>
      </c>
      <c r="K1454" s="21"/>
    </row>
    <row r="1455" spans="1:11" ht="16" x14ac:dyDescent="0.2">
      <c r="A1455" s="21">
        <v>1454</v>
      </c>
      <c r="B1455" s="22" t="s">
        <v>880</v>
      </c>
      <c r="C1455" s="22" t="s">
        <v>57</v>
      </c>
      <c r="D1455" s="21" t="s">
        <v>135</v>
      </c>
      <c r="E1455" s="21"/>
      <c r="F1455" s="21"/>
      <c r="G1455" s="21"/>
      <c r="H1455" s="21">
        <v>6</v>
      </c>
      <c r="I1455" s="21"/>
      <c r="J1455" s="24">
        <v>-22.3</v>
      </c>
      <c r="K1455" s="21"/>
    </row>
    <row r="1456" spans="1:11" ht="16" x14ac:dyDescent="0.2">
      <c r="A1456" s="21">
        <v>1455</v>
      </c>
      <c r="B1456" s="22" t="s">
        <v>377</v>
      </c>
      <c r="C1456" s="22" t="s">
        <v>66</v>
      </c>
      <c r="D1456" s="21" t="s">
        <v>87</v>
      </c>
      <c r="E1456" s="21"/>
      <c r="F1456" s="21"/>
      <c r="G1456" s="21"/>
      <c r="H1456" s="21">
        <v>36</v>
      </c>
      <c r="I1456" s="21"/>
      <c r="J1456" s="24">
        <v>-22.3</v>
      </c>
      <c r="K1456" s="21"/>
    </row>
    <row r="1457" spans="1:11" ht="16" x14ac:dyDescent="0.2">
      <c r="A1457" s="21">
        <v>1456</v>
      </c>
      <c r="B1457" s="22" t="s">
        <v>951</v>
      </c>
      <c r="C1457" s="21"/>
      <c r="D1457" s="21" t="s">
        <v>169</v>
      </c>
      <c r="E1457" s="21"/>
      <c r="F1457" s="21"/>
      <c r="G1457" s="21"/>
      <c r="H1457" s="21">
        <v>25</v>
      </c>
      <c r="I1457" s="21"/>
      <c r="J1457" s="24">
        <v>-22.3</v>
      </c>
      <c r="K1457" s="21"/>
    </row>
    <row r="1458" spans="1:11" ht="16" x14ac:dyDescent="0.2">
      <c r="A1458" s="21">
        <v>1457</v>
      </c>
      <c r="B1458" s="22" t="s">
        <v>1343</v>
      </c>
      <c r="C1458" s="22" t="s">
        <v>30</v>
      </c>
      <c r="D1458" s="21" t="s">
        <v>214</v>
      </c>
      <c r="E1458" s="21"/>
      <c r="F1458" s="21"/>
      <c r="G1458" s="21"/>
      <c r="H1458" s="21">
        <v>31</v>
      </c>
      <c r="I1458" s="21"/>
      <c r="J1458" s="24">
        <v>-22.4</v>
      </c>
      <c r="K1458" s="21"/>
    </row>
    <row r="1459" spans="1:11" ht="16" x14ac:dyDescent="0.2">
      <c r="A1459" s="21">
        <v>1458</v>
      </c>
      <c r="B1459" s="22" t="s">
        <v>840</v>
      </c>
      <c r="C1459" s="22" t="s">
        <v>132</v>
      </c>
      <c r="D1459" s="21" t="s">
        <v>1254</v>
      </c>
      <c r="E1459" s="21"/>
      <c r="F1459" s="21"/>
      <c r="G1459" s="21"/>
      <c r="H1459" s="21">
        <v>4</v>
      </c>
      <c r="I1459" s="21"/>
      <c r="J1459" s="24">
        <v>-22.4</v>
      </c>
      <c r="K1459" s="21"/>
    </row>
    <row r="1460" spans="1:11" ht="16" x14ac:dyDescent="0.2">
      <c r="A1460" s="21">
        <v>1459</v>
      </c>
      <c r="B1460" s="22" t="s">
        <v>988</v>
      </c>
      <c r="C1460" s="21"/>
      <c r="D1460" s="21" t="s">
        <v>16</v>
      </c>
      <c r="E1460" s="21"/>
      <c r="F1460" s="21"/>
      <c r="G1460" s="21"/>
      <c r="H1460" s="21">
        <v>43</v>
      </c>
      <c r="I1460" s="21"/>
      <c r="J1460" s="24">
        <v>-22.4</v>
      </c>
      <c r="K1460" s="21"/>
    </row>
    <row r="1461" spans="1:11" ht="16" x14ac:dyDescent="0.2">
      <c r="A1461" s="21">
        <v>1460</v>
      </c>
      <c r="B1461" s="22" t="s">
        <v>1344</v>
      </c>
      <c r="C1461" s="22" t="s">
        <v>64</v>
      </c>
      <c r="D1461" s="21" t="s">
        <v>25</v>
      </c>
      <c r="E1461" s="21"/>
      <c r="F1461" s="21"/>
      <c r="G1461" s="21"/>
      <c r="H1461" s="21">
        <v>2</v>
      </c>
      <c r="I1461" s="21"/>
      <c r="J1461" s="24">
        <v>-22.4</v>
      </c>
      <c r="K1461" s="21"/>
    </row>
    <row r="1462" spans="1:11" ht="16" x14ac:dyDescent="0.2">
      <c r="A1462" s="21">
        <v>1461</v>
      </c>
      <c r="B1462" s="22" t="s">
        <v>937</v>
      </c>
      <c r="C1462" s="22" t="s">
        <v>39</v>
      </c>
      <c r="D1462" s="21" t="s">
        <v>25</v>
      </c>
      <c r="E1462" s="21"/>
      <c r="F1462" s="21"/>
      <c r="G1462" s="21"/>
      <c r="H1462" s="21">
        <v>2</v>
      </c>
      <c r="I1462" s="21"/>
      <c r="J1462" s="24">
        <v>-22.4</v>
      </c>
      <c r="K1462" s="21"/>
    </row>
    <row r="1463" spans="1:11" ht="16" x14ac:dyDescent="0.2">
      <c r="A1463" s="21">
        <v>1462</v>
      </c>
      <c r="B1463" s="22" t="s">
        <v>919</v>
      </c>
      <c r="C1463" s="22" t="s">
        <v>27</v>
      </c>
      <c r="D1463" s="21" t="s">
        <v>25</v>
      </c>
      <c r="E1463" s="21"/>
      <c r="F1463" s="21"/>
      <c r="G1463" s="21"/>
      <c r="H1463" s="21">
        <v>8</v>
      </c>
      <c r="I1463" s="21"/>
      <c r="J1463" s="24">
        <v>-22.4</v>
      </c>
      <c r="K1463" s="21"/>
    </row>
    <row r="1464" spans="1:11" ht="16" x14ac:dyDescent="0.2">
      <c r="A1464" s="21">
        <v>1463</v>
      </c>
      <c r="B1464" s="22" t="s">
        <v>447</v>
      </c>
      <c r="C1464" s="22" t="s">
        <v>117</v>
      </c>
      <c r="D1464" s="21" t="s">
        <v>25</v>
      </c>
      <c r="E1464" s="21"/>
      <c r="F1464" s="21"/>
      <c r="G1464" s="21"/>
      <c r="H1464" s="21">
        <v>36</v>
      </c>
      <c r="I1464" s="21"/>
      <c r="J1464" s="24">
        <v>-22.5</v>
      </c>
      <c r="K1464" s="21"/>
    </row>
    <row r="1465" spans="1:11" ht="16" x14ac:dyDescent="0.2">
      <c r="A1465" s="21">
        <v>1464</v>
      </c>
      <c r="B1465" s="22" t="s">
        <v>962</v>
      </c>
      <c r="C1465" s="22" t="s">
        <v>117</v>
      </c>
      <c r="D1465" s="21" t="s">
        <v>78</v>
      </c>
      <c r="E1465" s="21"/>
      <c r="F1465" s="21"/>
      <c r="G1465" s="21"/>
      <c r="H1465" s="21">
        <v>9</v>
      </c>
      <c r="I1465" s="21"/>
      <c r="J1465" s="24">
        <v>-22.5</v>
      </c>
      <c r="K1465" s="21"/>
    </row>
    <row r="1466" spans="1:11" ht="16" x14ac:dyDescent="0.2">
      <c r="A1466" s="21">
        <v>1465</v>
      </c>
      <c r="B1466" s="22" t="s">
        <v>1345</v>
      </c>
      <c r="C1466" s="22" t="s">
        <v>34</v>
      </c>
      <c r="D1466" s="21" t="s">
        <v>201</v>
      </c>
      <c r="E1466" s="21"/>
      <c r="F1466" s="21"/>
      <c r="G1466" s="21"/>
      <c r="H1466" s="21">
        <v>6</v>
      </c>
      <c r="I1466" s="21"/>
      <c r="J1466" s="24">
        <v>-22.5</v>
      </c>
      <c r="K1466" s="21"/>
    </row>
    <row r="1467" spans="1:11" ht="16" x14ac:dyDescent="0.2">
      <c r="A1467" s="21">
        <v>1466</v>
      </c>
      <c r="B1467" s="22" t="s">
        <v>553</v>
      </c>
      <c r="C1467" s="22" t="s">
        <v>60</v>
      </c>
      <c r="D1467" s="21" t="s">
        <v>25</v>
      </c>
      <c r="E1467" s="21"/>
      <c r="F1467" s="21"/>
      <c r="G1467" s="21"/>
      <c r="H1467" s="21">
        <v>80</v>
      </c>
      <c r="I1467" s="21"/>
      <c r="J1467" s="24">
        <v>-22.5</v>
      </c>
      <c r="K1467" s="21"/>
    </row>
    <row r="1468" spans="1:11" ht="16" x14ac:dyDescent="0.2">
      <c r="A1468" s="21">
        <v>1467</v>
      </c>
      <c r="B1468" s="22" t="s">
        <v>1346</v>
      </c>
      <c r="C1468" s="21"/>
      <c r="D1468" s="21" t="s">
        <v>779</v>
      </c>
      <c r="E1468" s="21"/>
      <c r="F1468" s="21"/>
      <c r="G1468" s="21"/>
      <c r="H1468" s="21">
        <v>10</v>
      </c>
      <c r="I1468" s="21"/>
      <c r="J1468" s="24">
        <v>-22.5</v>
      </c>
      <c r="K1468" s="21"/>
    </row>
    <row r="1469" spans="1:11" ht="16" x14ac:dyDescent="0.2">
      <c r="A1469" s="21">
        <v>1468</v>
      </c>
      <c r="B1469" s="22" t="s">
        <v>975</v>
      </c>
      <c r="C1469" s="21"/>
      <c r="D1469" s="21" t="s">
        <v>1254</v>
      </c>
      <c r="E1469" s="21"/>
      <c r="F1469" s="21"/>
      <c r="G1469" s="21"/>
      <c r="H1469" s="21">
        <v>21</v>
      </c>
      <c r="I1469" s="21"/>
      <c r="J1469" s="24">
        <v>-22.5</v>
      </c>
      <c r="K1469" s="21"/>
    </row>
    <row r="1470" spans="1:11" ht="16" x14ac:dyDescent="0.2">
      <c r="A1470" s="21">
        <v>1469</v>
      </c>
      <c r="B1470" s="22" t="s">
        <v>969</v>
      </c>
      <c r="C1470" s="22" t="s">
        <v>64</v>
      </c>
      <c r="D1470" s="21" t="s">
        <v>429</v>
      </c>
      <c r="E1470" s="21"/>
      <c r="F1470" s="21"/>
      <c r="G1470" s="21"/>
      <c r="H1470" s="21">
        <v>17</v>
      </c>
      <c r="I1470" s="21"/>
      <c r="J1470" s="24">
        <v>-22.5</v>
      </c>
      <c r="K1470" s="21"/>
    </row>
    <row r="1471" spans="1:11" ht="16" x14ac:dyDescent="0.2">
      <c r="A1471" s="21">
        <v>1470</v>
      </c>
      <c r="B1471" s="22" t="s">
        <v>1813</v>
      </c>
      <c r="C1471" s="21"/>
      <c r="D1471" s="21" t="s">
        <v>69</v>
      </c>
      <c r="E1471" s="21"/>
      <c r="F1471" s="21"/>
      <c r="G1471" s="21"/>
      <c r="H1471" s="21"/>
      <c r="I1471" s="21">
        <v>29</v>
      </c>
      <c r="J1471" s="24">
        <v>-22.5</v>
      </c>
      <c r="K1471" s="21"/>
    </row>
    <row r="1472" spans="1:11" ht="16" x14ac:dyDescent="0.2">
      <c r="A1472" s="21">
        <v>1471</v>
      </c>
      <c r="B1472" s="22" t="s">
        <v>1347</v>
      </c>
      <c r="C1472" s="22" t="s">
        <v>27</v>
      </c>
      <c r="D1472" s="21" t="s">
        <v>973</v>
      </c>
      <c r="E1472" s="21"/>
      <c r="F1472" s="21"/>
      <c r="G1472" s="21"/>
      <c r="H1472" s="21">
        <v>17</v>
      </c>
      <c r="I1472" s="21"/>
      <c r="J1472" s="24">
        <v>-22.5</v>
      </c>
      <c r="K1472" s="21"/>
    </row>
    <row r="1473" spans="1:11" ht="16" x14ac:dyDescent="0.2">
      <c r="A1473" s="21">
        <v>1472</v>
      </c>
      <c r="B1473" s="22" t="s">
        <v>932</v>
      </c>
      <c r="C1473" s="22" t="s">
        <v>52</v>
      </c>
      <c r="D1473" s="21" t="s">
        <v>43</v>
      </c>
      <c r="E1473" s="21"/>
      <c r="F1473" s="21"/>
      <c r="G1473" s="21"/>
      <c r="H1473" s="21">
        <v>41</v>
      </c>
      <c r="I1473" s="21"/>
      <c r="J1473" s="24">
        <v>-22.6</v>
      </c>
      <c r="K1473" s="21"/>
    </row>
    <row r="1474" spans="1:11" ht="16" x14ac:dyDescent="0.2">
      <c r="A1474" s="21">
        <v>1473</v>
      </c>
      <c r="B1474" s="22" t="s">
        <v>960</v>
      </c>
      <c r="C1474" s="22" t="s">
        <v>50</v>
      </c>
      <c r="D1474" s="21" t="s">
        <v>865</v>
      </c>
      <c r="E1474" s="21"/>
      <c r="F1474" s="21"/>
      <c r="G1474" s="21"/>
      <c r="H1474" s="21">
        <v>32</v>
      </c>
      <c r="I1474" s="21"/>
      <c r="J1474" s="24">
        <v>-22.6</v>
      </c>
      <c r="K1474" s="21"/>
    </row>
    <row r="1475" spans="1:11" ht="16" x14ac:dyDescent="0.2">
      <c r="A1475" s="21">
        <v>1474</v>
      </c>
      <c r="B1475" s="22" t="s">
        <v>1348</v>
      </c>
      <c r="C1475" s="22" t="s">
        <v>89</v>
      </c>
      <c r="D1475" s="21" t="s">
        <v>25</v>
      </c>
      <c r="E1475" s="21"/>
      <c r="F1475" s="21"/>
      <c r="G1475" s="21"/>
      <c r="H1475" s="21">
        <v>18</v>
      </c>
      <c r="I1475" s="21"/>
      <c r="J1475" s="24">
        <v>-22.6</v>
      </c>
      <c r="K1475" s="21"/>
    </row>
    <row r="1476" spans="1:11" ht="16" x14ac:dyDescent="0.2">
      <c r="A1476" s="21">
        <v>1475</v>
      </c>
      <c r="B1476" s="22" t="s">
        <v>979</v>
      </c>
      <c r="C1476" s="22" t="s">
        <v>52</v>
      </c>
      <c r="D1476" s="21" t="s">
        <v>19</v>
      </c>
      <c r="E1476" s="21"/>
      <c r="F1476" s="21"/>
      <c r="G1476" s="21"/>
      <c r="H1476" s="21">
        <v>73</v>
      </c>
      <c r="I1476" s="21"/>
      <c r="J1476" s="24">
        <v>-22.6</v>
      </c>
      <c r="K1476" s="21"/>
    </row>
    <row r="1477" spans="1:11" ht="16" x14ac:dyDescent="0.2">
      <c r="A1477" s="21">
        <v>1476</v>
      </c>
      <c r="B1477" s="22" t="s">
        <v>873</v>
      </c>
      <c r="C1477" s="22" t="s">
        <v>30</v>
      </c>
      <c r="D1477" s="21" t="s">
        <v>87</v>
      </c>
      <c r="E1477" s="21"/>
      <c r="F1477" s="21"/>
      <c r="G1477" s="21"/>
      <c r="H1477" s="21">
        <v>12</v>
      </c>
      <c r="I1477" s="21"/>
      <c r="J1477" s="24">
        <v>-22.6</v>
      </c>
      <c r="K1477" s="21"/>
    </row>
    <row r="1478" spans="1:11" ht="16" x14ac:dyDescent="0.2">
      <c r="A1478" s="21">
        <v>1477</v>
      </c>
      <c r="B1478" s="22" t="s">
        <v>896</v>
      </c>
      <c r="C1478" s="22" t="s">
        <v>39</v>
      </c>
      <c r="D1478" s="21" t="s">
        <v>25</v>
      </c>
      <c r="E1478" s="21"/>
      <c r="F1478" s="21"/>
      <c r="G1478" s="21"/>
      <c r="H1478" s="21">
        <v>6</v>
      </c>
      <c r="I1478" s="21"/>
      <c r="J1478" s="24">
        <v>-22.7</v>
      </c>
      <c r="K1478" s="21"/>
    </row>
    <row r="1479" spans="1:11" ht="16" x14ac:dyDescent="0.2">
      <c r="A1479" s="21">
        <v>1478</v>
      </c>
      <c r="B1479" s="22" t="s">
        <v>1349</v>
      </c>
      <c r="C1479" s="22" t="s">
        <v>115</v>
      </c>
      <c r="D1479" s="21" t="s">
        <v>53</v>
      </c>
      <c r="E1479" s="21"/>
      <c r="F1479" s="21"/>
      <c r="G1479" s="21"/>
      <c r="H1479" s="21">
        <v>6</v>
      </c>
      <c r="I1479" s="21"/>
      <c r="J1479" s="24">
        <v>-22.7</v>
      </c>
      <c r="K1479" s="21"/>
    </row>
    <row r="1480" spans="1:11" ht="16" x14ac:dyDescent="0.2">
      <c r="A1480" s="21">
        <v>1479</v>
      </c>
      <c r="B1480" s="22" t="s">
        <v>987</v>
      </c>
      <c r="C1480" s="22" t="s">
        <v>12</v>
      </c>
      <c r="D1480" s="21" t="s">
        <v>82</v>
      </c>
      <c r="E1480" s="21"/>
      <c r="F1480" s="21"/>
      <c r="G1480" s="21"/>
      <c r="H1480" s="21">
        <v>21</v>
      </c>
      <c r="I1480" s="21"/>
      <c r="J1480" s="24">
        <v>-22.7</v>
      </c>
      <c r="K1480" s="21"/>
    </row>
    <row r="1481" spans="1:11" ht="16" x14ac:dyDescent="0.2">
      <c r="A1481" s="21">
        <v>1480</v>
      </c>
      <c r="B1481" s="22" t="s">
        <v>918</v>
      </c>
      <c r="C1481" s="22" t="s">
        <v>39</v>
      </c>
      <c r="D1481" s="21" t="s">
        <v>25</v>
      </c>
      <c r="E1481" s="21"/>
      <c r="F1481" s="21"/>
      <c r="G1481" s="21"/>
      <c r="H1481" s="21">
        <v>15</v>
      </c>
      <c r="I1481" s="21"/>
      <c r="J1481" s="24">
        <v>-22.7</v>
      </c>
      <c r="K1481" s="21"/>
    </row>
    <row r="1482" spans="1:11" ht="16" x14ac:dyDescent="0.2">
      <c r="A1482" s="21">
        <v>1481</v>
      </c>
      <c r="B1482" s="22" t="s">
        <v>1350</v>
      </c>
      <c r="C1482" s="22" t="s">
        <v>89</v>
      </c>
      <c r="D1482" s="21" t="s">
        <v>87</v>
      </c>
      <c r="E1482" s="21"/>
      <c r="F1482" s="21"/>
      <c r="G1482" s="21"/>
      <c r="H1482" s="21">
        <v>12</v>
      </c>
      <c r="I1482" s="21"/>
      <c r="J1482" s="24">
        <v>-22.7</v>
      </c>
      <c r="K1482" s="21"/>
    </row>
    <row r="1483" spans="1:11" ht="16" x14ac:dyDescent="0.2">
      <c r="A1483" s="21">
        <v>1482</v>
      </c>
      <c r="B1483" s="22" t="s">
        <v>679</v>
      </c>
      <c r="C1483" s="21"/>
      <c r="D1483" s="21" t="s">
        <v>16</v>
      </c>
      <c r="E1483" s="21"/>
      <c r="F1483" s="21"/>
      <c r="G1483" s="21"/>
      <c r="H1483" s="21">
        <v>8</v>
      </c>
      <c r="I1483" s="21"/>
      <c r="J1483" s="24">
        <v>-22.7</v>
      </c>
      <c r="K1483" s="21"/>
    </row>
    <row r="1484" spans="1:11" ht="16" x14ac:dyDescent="0.2">
      <c r="A1484" s="21">
        <v>1483</v>
      </c>
      <c r="B1484" s="22" t="s">
        <v>940</v>
      </c>
      <c r="C1484" s="22" t="s">
        <v>66</v>
      </c>
      <c r="D1484" s="21" t="s">
        <v>25</v>
      </c>
      <c r="E1484" s="21"/>
      <c r="F1484" s="21"/>
      <c r="G1484" s="21"/>
      <c r="H1484" s="21">
        <v>9</v>
      </c>
      <c r="I1484" s="21"/>
      <c r="J1484" s="24">
        <v>-22.7</v>
      </c>
      <c r="K1484" s="21"/>
    </row>
    <row r="1485" spans="1:11" ht="16" x14ac:dyDescent="0.2">
      <c r="A1485" s="21">
        <v>1484</v>
      </c>
      <c r="B1485" s="22" t="s">
        <v>1351</v>
      </c>
      <c r="C1485" s="22" t="s">
        <v>15</v>
      </c>
      <c r="D1485" s="21" t="s">
        <v>25</v>
      </c>
      <c r="E1485" s="21"/>
      <c r="F1485" s="21"/>
      <c r="G1485" s="21"/>
      <c r="H1485" s="21">
        <v>4</v>
      </c>
      <c r="I1485" s="21"/>
      <c r="J1485" s="24">
        <v>-22.7</v>
      </c>
      <c r="K1485" s="21"/>
    </row>
    <row r="1486" spans="1:11" ht="16" x14ac:dyDescent="0.2">
      <c r="A1486" s="21">
        <v>1485</v>
      </c>
      <c r="B1486" s="22" t="s">
        <v>1352</v>
      </c>
      <c r="C1486" s="22" t="s">
        <v>89</v>
      </c>
      <c r="D1486" s="21" t="s">
        <v>206</v>
      </c>
      <c r="E1486" s="21"/>
      <c r="F1486" s="21"/>
      <c r="G1486" s="21"/>
      <c r="H1486" s="21">
        <v>14</v>
      </c>
      <c r="I1486" s="21"/>
      <c r="J1486" s="24">
        <v>-22.7</v>
      </c>
      <c r="K1486" s="21"/>
    </row>
    <row r="1487" spans="1:11" ht="16" x14ac:dyDescent="0.2">
      <c r="A1487" s="21">
        <v>1486</v>
      </c>
      <c r="B1487" s="22" t="s">
        <v>972</v>
      </c>
      <c r="C1487" s="22" t="s">
        <v>15</v>
      </c>
      <c r="D1487" s="21" t="s">
        <v>280</v>
      </c>
      <c r="E1487" s="21"/>
      <c r="F1487" s="21"/>
      <c r="G1487" s="21"/>
      <c r="H1487" s="21">
        <v>10</v>
      </c>
      <c r="I1487" s="21"/>
      <c r="J1487" s="24">
        <v>-22.7</v>
      </c>
      <c r="K1487" s="21"/>
    </row>
    <row r="1488" spans="1:11" ht="16" x14ac:dyDescent="0.2">
      <c r="A1488" s="21">
        <v>1487</v>
      </c>
      <c r="B1488" s="22" t="s">
        <v>1353</v>
      </c>
      <c r="C1488" s="22" t="s">
        <v>18</v>
      </c>
      <c r="D1488" s="21" t="s">
        <v>78</v>
      </c>
      <c r="E1488" s="21"/>
      <c r="F1488" s="21"/>
      <c r="G1488" s="21"/>
      <c r="H1488" s="21">
        <v>19</v>
      </c>
      <c r="I1488" s="21"/>
      <c r="J1488" s="24">
        <v>-22.8</v>
      </c>
      <c r="K1488" s="21"/>
    </row>
    <row r="1489" spans="1:11" ht="16" x14ac:dyDescent="0.2">
      <c r="A1489" s="21">
        <v>1488</v>
      </c>
      <c r="B1489" s="22" t="s">
        <v>904</v>
      </c>
      <c r="C1489" s="22" t="s">
        <v>39</v>
      </c>
      <c r="D1489" s="21" t="s">
        <v>25</v>
      </c>
      <c r="E1489" s="21"/>
      <c r="F1489" s="21"/>
      <c r="G1489" s="21"/>
      <c r="H1489" s="21">
        <v>5</v>
      </c>
      <c r="I1489" s="21"/>
      <c r="J1489" s="24">
        <v>-22.8</v>
      </c>
      <c r="K1489" s="21"/>
    </row>
    <row r="1490" spans="1:11" ht="16" x14ac:dyDescent="0.2">
      <c r="A1490" s="21">
        <v>1489</v>
      </c>
      <c r="B1490" s="22" t="s">
        <v>843</v>
      </c>
      <c r="C1490" s="22" t="s">
        <v>55</v>
      </c>
      <c r="D1490" s="21" t="s">
        <v>25</v>
      </c>
      <c r="E1490" s="21"/>
      <c r="F1490" s="21"/>
      <c r="G1490" s="21"/>
      <c r="H1490" s="21">
        <v>26</v>
      </c>
      <c r="I1490" s="21"/>
      <c r="J1490" s="24">
        <v>-22.8</v>
      </c>
      <c r="K1490" s="21"/>
    </row>
    <row r="1491" spans="1:11" ht="16" x14ac:dyDescent="0.2">
      <c r="A1491" s="21">
        <v>1490</v>
      </c>
      <c r="B1491" s="22" t="s">
        <v>902</v>
      </c>
      <c r="C1491" s="21"/>
      <c r="D1491" s="21" t="s">
        <v>206</v>
      </c>
      <c r="E1491" s="21"/>
      <c r="F1491" s="21"/>
      <c r="G1491" s="21"/>
      <c r="H1491" s="21">
        <v>21</v>
      </c>
      <c r="I1491" s="21"/>
      <c r="J1491" s="24">
        <v>-22.8</v>
      </c>
      <c r="K1491" s="21"/>
    </row>
    <row r="1492" spans="1:11" ht="16" x14ac:dyDescent="0.2">
      <c r="A1492" s="21">
        <v>1491</v>
      </c>
      <c r="B1492" s="22" t="s">
        <v>876</v>
      </c>
      <c r="C1492" s="22" t="s">
        <v>132</v>
      </c>
      <c r="D1492" s="21" t="s">
        <v>82</v>
      </c>
      <c r="E1492" s="21"/>
      <c r="F1492" s="21"/>
      <c r="G1492" s="21"/>
      <c r="H1492" s="21">
        <v>73</v>
      </c>
      <c r="I1492" s="21"/>
      <c r="J1492" s="24">
        <v>-22.8</v>
      </c>
      <c r="K1492" s="21"/>
    </row>
    <row r="1493" spans="1:11" ht="16" x14ac:dyDescent="0.2">
      <c r="A1493" s="21">
        <v>1492</v>
      </c>
      <c r="B1493" s="22" t="s">
        <v>1354</v>
      </c>
      <c r="C1493" s="22" t="s">
        <v>57</v>
      </c>
      <c r="D1493" s="21" t="s">
        <v>16</v>
      </c>
      <c r="E1493" s="21"/>
      <c r="F1493" s="21"/>
      <c r="G1493" s="21"/>
      <c r="H1493" s="21">
        <v>9</v>
      </c>
      <c r="I1493" s="21"/>
      <c r="J1493" s="24">
        <v>-22.8</v>
      </c>
      <c r="K1493" s="21"/>
    </row>
    <row r="1494" spans="1:11" ht="16" x14ac:dyDescent="0.2">
      <c r="A1494" s="21">
        <v>1493</v>
      </c>
      <c r="B1494" s="22" t="s">
        <v>930</v>
      </c>
      <c r="C1494" s="22" t="s">
        <v>39</v>
      </c>
      <c r="D1494" s="21" t="s">
        <v>25</v>
      </c>
      <c r="E1494" s="21"/>
      <c r="F1494" s="21"/>
      <c r="G1494" s="21"/>
      <c r="H1494" s="21">
        <v>18</v>
      </c>
      <c r="I1494" s="21"/>
      <c r="J1494" s="24">
        <v>-22.8</v>
      </c>
      <c r="K1494" s="21"/>
    </row>
    <row r="1495" spans="1:11" ht="16" x14ac:dyDescent="0.2">
      <c r="A1495" s="21">
        <v>1494</v>
      </c>
      <c r="B1495" s="22" t="s">
        <v>942</v>
      </c>
      <c r="C1495" s="22" t="s">
        <v>125</v>
      </c>
      <c r="D1495" s="21" t="s">
        <v>25</v>
      </c>
      <c r="E1495" s="21"/>
      <c r="F1495" s="21"/>
      <c r="G1495" s="21"/>
      <c r="H1495" s="21">
        <v>44</v>
      </c>
      <c r="I1495" s="21"/>
      <c r="J1495" s="24">
        <v>-22.8</v>
      </c>
      <c r="K1495" s="21"/>
    </row>
    <row r="1496" spans="1:11" ht="16" x14ac:dyDescent="0.2">
      <c r="A1496" s="21">
        <v>1495</v>
      </c>
      <c r="B1496" s="22" t="s">
        <v>1355</v>
      </c>
      <c r="C1496" s="22" t="s">
        <v>89</v>
      </c>
      <c r="D1496" s="21" t="s">
        <v>25</v>
      </c>
      <c r="E1496" s="21"/>
      <c r="F1496" s="21"/>
      <c r="G1496" s="21"/>
      <c r="H1496" s="21">
        <v>37</v>
      </c>
      <c r="I1496" s="21"/>
      <c r="J1496" s="24">
        <v>-22.8</v>
      </c>
      <c r="K1496" s="21"/>
    </row>
    <row r="1497" spans="1:11" ht="16" x14ac:dyDescent="0.2">
      <c r="A1497" s="21">
        <v>1496</v>
      </c>
      <c r="B1497" s="22" t="s">
        <v>1356</v>
      </c>
      <c r="C1497" s="22" t="s">
        <v>64</v>
      </c>
      <c r="D1497" s="21" t="s">
        <v>793</v>
      </c>
      <c r="E1497" s="21"/>
      <c r="F1497" s="21"/>
      <c r="G1497" s="21"/>
      <c r="H1497" s="21">
        <v>29</v>
      </c>
      <c r="I1497" s="21"/>
      <c r="J1497" s="24">
        <v>-22.9</v>
      </c>
      <c r="K1497" s="21"/>
    </row>
    <row r="1498" spans="1:11" ht="16" x14ac:dyDescent="0.2">
      <c r="A1498" s="21">
        <v>1497</v>
      </c>
      <c r="B1498" s="22" t="s">
        <v>981</v>
      </c>
      <c r="C1498" s="22" t="s">
        <v>48</v>
      </c>
      <c r="D1498" s="21" t="s">
        <v>87</v>
      </c>
      <c r="E1498" s="21"/>
      <c r="F1498" s="21"/>
      <c r="G1498" s="21"/>
      <c r="H1498" s="21">
        <v>105</v>
      </c>
      <c r="I1498" s="21"/>
      <c r="J1498" s="24">
        <v>-22.9</v>
      </c>
      <c r="K1498" s="21"/>
    </row>
    <row r="1499" spans="1:11" ht="16" x14ac:dyDescent="0.2">
      <c r="A1499" s="21">
        <v>1498</v>
      </c>
      <c r="B1499" s="22" t="s">
        <v>1357</v>
      </c>
      <c r="C1499" s="22" t="s">
        <v>21</v>
      </c>
      <c r="D1499" s="21" t="s">
        <v>82</v>
      </c>
      <c r="E1499" s="21"/>
      <c r="F1499" s="21"/>
      <c r="G1499" s="21"/>
      <c r="H1499" s="21">
        <v>8</v>
      </c>
      <c r="I1499" s="21"/>
      <c r="J1499" s="24">
        <v>-23</v>
      </c>
      <c r="K1499" s="21"/>
    </row>
    <row r="1500" spans="1:11" ht="16" x14ac:dyDescent="0.2">
      <c r="A1500" s="21">
        <v>1499</v>
      </c>
      <c r="B1500" s="22" t="s">
        <v>846</v>
      </c>
      <c r="C1500" s="21"/>
      <c r="D1500" s="21" t="s">
        <v>19</v>
      </c>
      <c r="E1500" s="21"/>
      <c r="F1500" s="21"/>
      <c r="G1500" s="21"/>
      <c r="H1500" s="21">
        <v>10</v>
      </c>
      <c r="I1500" s="21"/>
      <c r="J1500" s="24">
        <v>-23</v>
      </c>
      <c r="K1500" s="21"/>
    </row>
    <row r="1501" spans="1:11" ht="16" x14ac:dyDescent="0.2">
      <c r="A1501" s="21">
        <v>1500</v>
      </c>
      <c r="B1501" s="22" t="s">
        <v>1358</v>
      </c>
      <c r="C1501" s="22" t="s">
        <v>66</v>
      </c>
      <c r="D1501" s="21" t="s">
        <v>479</v>
      </c>
      <c r="E1501" s="21"/>
      <c r="F1501" s="21"/>
      <c r="G1501" s="21"/>
      <c r="H1501" s="21">
        <v>11</v>
      </c>
      <c r="I1501" s="21"/>
      <c r="J1501" s="24">
        <v>-23</v>
      </c>
      <c r="K1501" s="21"/>
    </row>
    <row r="1502" spans="1:11" ht="16" x14ac:dyDescent="0.2">
      <c r="A1502" s="21">
        <v>1501</v>
      </c>
      <c r="B1502" s="22" t="s">
        <v>897</v>
      </c>
      <c r="C1502" s="22" t="s">
        <v>27</v>
      </c>
      <c r="D1502" s="21" t="s">
        <v>87</v>
      </c>
      <c r="E1502" s="21"/>
      <c r="F1502" s="21"/>
      <c r="G1502" s="21"/>
      <c r="H1502" s="21">
        <v>55</v>
      </c>
      <c r="I1502" s="21"/>
      <c r="J1502" s="24">
        <v>-23</v>
      </c>
      <c r="K1502" s="21"/>
    </row>
    <row r="1503" spans="1:11" ht="16" x14ac:dyDescent="0.2">
      <c r="A1503" s="21">
        <v>1502</v>
      </c>
      <c r="B1503" s="22" t="s">
        <v>276</v>
      </c>
      <c r="C1503" s="22" t="s">
        <v>32</v>
      </c>
      <c r="D1503" s="21" t="s">
        <v>16</v>
      </c>
      <c r="E1503" s="21"/>
      <c r="F1503" s="21"/>
      <c r="G1503" s="21"/>
      <c r="H1503" s="21">
        <v>50</v>
      </c>
      <c r="I1503" s="21"/>
      <c r="J1503" s="24">
        <v>-23</v>
      </c>
      <c r="K1503" s="21"/>
    </row>
    <row r="1504" spans="1:11" ht="16" x14ac:dyDescent="0.2">
      <c r="A1504" s="21">
        <v>1503</v>
      </c>
      <c r="B1504" s="22" t="s">
        <v>921</v>
      </c>
      <c r="C1504" s="22" t="s">
        <v>232</v>
      </c>
      <c r="D1504" s="21" t="s">
        <v>16</v>
      </c>
      <c r="E1504" s="21"/>
      <c r="F1504" s="21"/>
      <c r="G1504" s="21"/>
      <c r="H1504" s="21">
        <v>15</v>
      </c>
      <c r="I1504" s="21"/>
      <c r="J1504" s="24">
        <v>-23.1</v>
      </c>
      <c r="K1504" s="21"/>
    </row>
    <row r="1505" spans="1:11" ht="16" x14ac:dyDescent="0.2">
      <c r="A1505" s="21">
        <v>1504</v>
      </c>
      <c r="B1505" s="22" t="s">
        <v>543</v>
      </c>
      <c r="C1505" s="22" t="s">
        <v>55</v>
      </c>
      <c r="D1505" s="21" t="s">
        <v>25</v>
      </c>
      <c r="E1505" s="21"/>
      <c r="F1505" s="21"/>
      <c r="G1505" s="21"/>
      <c r="H1505" s="21">
        <v>13</v>
      </c>
      <c r="I1505" s="21"/>
      <c r="J1505" s="24">
        <v>-23.1</v>
      </c>
      <c r="K1505" s="21"/>
    </row>
    <row r="1506" spans="1:11" ht="16" x14ac:dyDescent="0.2">
      <c r="A1506" s="21">
        <v>1505</v>
      </c>
      <c r="B1506" s="22" t="s">
        <v>1359</v>
      </c>
      <c r="C1506" s="22" t="s">
        <v>132</v>
      </c>
      <c r="D1506" s="21" t="s">
        <v>254</v>
      </c>
      <c r="E1506" s="21"/>
      <c r="F1506" s="21"/>
      <c r="G1506" s="21"/>
      <c r="H1506" s="21">
        <v>4</v>
      </c>
      <c r="I1506" s="21"/>
      <c r="J1506" s="24">
        <v>-23.1</v>
      </c>
      <c r="K1506" s="21"/>
    </row>
    <row r="1507" spans="1:11" ht="16" x14ac:dyDescent="0.2">
      <c r="A1507" s="21">
        <v>1506</v>
      </c>
      <c r="B1507" s="22" t="s">
        <v>994</v>
      </c>
      <c r="C1507" s="21"/>
      <c r="D1507" s="21" t="s">
        <v>19</v>
      </c>
      <c r="E1507" s="21"/>
      <c r="F1507" s="21"/>
      <c r="G1507" s="21"/>
      <c r="H1507" s="21">
        <v>43</v>
      </c>
      <c r="I1507" s="21"/>
      <c r="J1507" s="24">
        <v>-23.1</v>
      </c>
      <c r="K1507" s="21"/>
    </row>
    <row r="1508" spans="1:11" ht="16" x14ac:dyDescent="0.2">
      <c r="A1508" s="21">
        <v>1507</v>
      </c>
      <c r="B1508" s="22" t="s">
        <v>1360</v>
      </c>
      <c r="C1508" s="21"/>
      <c r="D1508" s="21" t="s">
        <v>16</v>
      </c>
      <c r="E1508" s="21"/>
      <c r="F1508" s="21"/>
      <c r="G1508" s="21"/>
      <c r="H1508" s="21">
        <v>30</v>
      </c>
      <c r="I1508" s="21"/>
      <c r="J1508" s="24">
        <v>-23.1</v>
      </c>
      <c r="K1508" s="21"/>
    </row>
    <row r="1509" spans="1:11" ht="16" x14ac:dyDescent="0.2">
      <c r="A1509" s="21">
        <v>1508</v>
      </c>
      <c r="B1509" s="22" t="s">
        <v>936</v>
      </c>
      <c r="C1509" s="22" t="s">
        <v>46</v>
      </c>
      <c r="D1509" s="21" t="s">
        <v>354</v>
      </c>
      <c r="E1509" s="21"/>
      <c r="F1509" s="21"/>
      <c r="G1509" s="21"/>
      <c r="H1509" s="21">
        <v>25</v>
      </c>
      <c r="I1509" s="21"/>
      <c r="J1509" s="24">
        <v>-23.1</v>
      </c>
      <c r="K1509" s="21"/>
    </row>
    <row r="1510" spans="1:11" ht="16" x14ac:dyDescent="0.2">
      <c r="A1510" s="21">
        <v>1509</v>
      </c>
      <c r="B1510" s="22" t="s">
        <v>1361</v>
      </c>
      <c r="C1510" s="22" t="s">
        <v>66</v>
      </c>
      <c r="D1510" s="21" t="s">
        <v>16</v>
      </c>
      <c r="E1510" s="21"/>
      <c r="F1510" s="21"/>
      <c r="G1510" s="21"/>
      <c r="H1510" s="21">
        <v>16</v>
      </c>
      <c r="I1510" s="21"/>
      <c r="J1510" s="24">
        <v>-23.1</v>
      </c>
      <c r="K1510" s="21"/>
    </row>
    <row r="1511" spans="1:11" ht="16" x14ac:dyDescent="0.2">
      <c r="A1511" s="21">
        <v>1510</v>
      </c>
      <c r="B1511" s="22" t="s">
        <v>996</v>
      </c>
      <c r="C1511" s="22" t="s">
        <v>140</v>
      </c>
      <c r="D1511" s="21" t="s">
        <v>43</v>
      </c>
      <c r="E1511" s="21"/>
      <c r="F1511" s="21"/>
      <c r="G1511" s="21"/>
      <c r="H1511" s="21">
        <v>9</v>
      </c>
      <c r="I1511" s="21"/>
      <c r="J1511" s="24">
        <v>-23.2</v>
      </c>
      <c r="K1511" s="21"/>
    </row>
    <row r="1512" spans="1:11" ht="16" x14ac:dyDescent="0.2">
      <c r="A1512" s="21">
        <v>1511</v>
      </c>
      <c r="B1512" s="22" t="s">
        <v>995</v>
      </c>
      <c r="C1512" s="22" t="s">
        <v>30</v>
      </c>
      <c r="D1512" s="21" t="s">
        <v>152</v>
      </c>
      <c r="E1512" s="21"/>
      <c r="F1512" s="21"/>
      <c r="G1512" s="21"/>
      <c r="H1512" s="21">
        <v>59</v>
      </c>
      <c r="I1512" s="21"/>
      <c r="J1512" s="24">
        <v>-23.2</v>
      </c>
      <c r="K1512" s="21"/>
    </row>
    <row r="1513" spans="1:11" ht="16" x14ac:dyDescent="0.2">
      <c r="A1513" s="21">
        <v>1512</v>
      </c>
      <c r="B1513" s="22" t="s">
        <v>910</v>
      </c>
      <c r="C1513" s="21"/>
      <c r="D1513" s="21" t="s">
        <v>719</v>
      </c>
      <c r="E1513" s="21"/>
      <c r="F1513" s="21"/>
      <c r="G1513" s="21"/>
      <c r="H1513" s="21">
        <v>9</v>
      </c>
      <c r="I1513" s="21"/>
      <c r="J1513" s="24">
        <v>-23.2</v>
      </c>
      <c r="K1513" s="21"/>
    </row>
    <row r="1514" spans="1:11" ht="16" x14ac:dyDescent="0.2">
      <c r="A1514" s="21">
        <v>1513</v>
      </c>
      <c r="B1514" s="22" t="s">
        <v>1362</v>
      </c>
      <c r="C1514" s="22" t="s">
        <v>125</v>
      </c>
      <c r="D1514" s="21" t="s">
        <v>13</v>
      </c>
      <c r="E1514" s="21"/>
      <c r="F1514" s="21"/>
      <c r="G1514" s="21"/>
      <c r="H1514" s="21">
        <v>2</v>
      </c>
      <c r="I1514" s="21"/>
      <c r="J1514" s="24">
        <v>-23.2</v>
      </c>
      <c r="K1514" s="21"/>
    </row>
    <row r="1515" spans="1:11" ht="16" x14ac:dyDescent="0.2">
      <c r="A1515" s="21">
        <v>1514</v>
      </c>
      <c r="B1515" s="22" t="s">
        <v>968</v>
      </c>
      <c r="C1515" s="22" t="s">
        <v>50</v>
      </c>
      <c r="D1515" s="21" t="s">
        <v>810</v>
      </c>
      <c r="E1515" s="21"/>
      <c r="F1515" s="21"/>
      <c r="G1515" s="21"/>
      <c r="H1515" s="21">
        <v>17</v>
      </c>
      <c r="I1515" s="21"/>
      <c r="J1515" s="24">
        <v>-23.2</v>
      </c>
      <c r="K1515" s="21"/>
    </row>
    <row r="1516" spans="1:11" ht="16" x14ac:dyDescent="0.2">
      <c r="A1516" s="21">
        <v>1515</v>
      </c>
      <c r="B1516" s="22" t="s">
        <v>453</v>
      </c>
      <c r="C1516" s="21"/>
      <c r="D1516" s="21" t="s">
        <v>25</v>
      </c>
      <c r="E1516" s="21"/>
      <c r="F1516" s="21"/>
      <c r="G1516" s="21"/>
      <c r="H1516" s="21">
        <v>108</v>
      </c>
      <c r="I1516" s="21"/>
      <c r="J1516" s="24">
        <v>-23.3</v>
      </c>
      <c r="K1516" s="21"/>
    </row>
    <row r="1517" spans="1:11" ht="16" x14ac:dyDescent="0.2">
      <c r="A1517" s="21">
        <v>1516</v>
      </c>
      <c r="B1517" s="22" t="s">
        <v>886</v>
      </c>
      <c r="C1517" s="22" t="s">
        <v>36</v>
      </c>
      <c r="D1517" s="21" t="s">
        <v>832</v>
      </c>
      <c r="E1517" s="21"/>
      <c r="F1517" s="21"/>
      <c r="G1517" s="21"/>
      <c r="H1517" s="21">
        <v>33</v>
      </c>
      <c r="I1517" s="21"/>
      <c r="J1517" s="24">
        <v>-23.3</v>
      </c>
      <c r="K1517" s="21"/>
    </row>
    <row r="1518" spans="1:11" ht="16" x14ac:dyDescent="0.2">
      <c r="A1518" s="21">
        <v>1517</v>
      </c>
      <c r="B1518" s="22" t="s">
        <v>1363</v>
      </c>
      <c r="C1518" s="22" t="s">
        <v>48</v>
      </c>
      <c r="D1518" s="21" t="s">
        <v>354</v>
      </c>
      <c r="E1518" s="21"/>
      <c r="F1518" s="21"/>
      <c r="G1518" s="21"/>
      <c r="H1518" s="21">
        <v>7</v>
      </c>
      <c r="I1518" s="21"/>
      <c r="J1518" s="24">
        <v>-23.3</v>
      </c>
      <c r="K1518" s="21"/>
    </row>
    <row r="1519" spans="1:11" ht="16" x14ac:dyDescent="0.2">
      <c r="A1519" s="21">
        <v>1518</v>
      </c>
      <c r="B1519" s="22" t="s">
        <v>1364</v>
      </c>
      <c r="C1519" s="22" t="s">
        <v>30</v>
      </c>
      <c r="D1519" s="21" t="s">
        <v>25</v>
      </c>
      <c r="E1519" s="21"/>
      <c r="F1519" s="21"/>
      <c r="G1519" s="21"/>
      <c r="H1519" s="21">
        <v>75</v>
      </c>
      <c r="I1519" s="21"/>
      <c r="J1519" s="24">
        <v>-23.3</v>
      </c>
      <c r="K1519" s="21"/>
    </row>
    <row r="1520" spans="1:11" ht="16" x14ac:dyDescent="0.2">
      <c r="A1520" s="21">
        <v>1519</v>
      </c>
      <c r="B1520" s="22" t="s">
        <v>382</v>
      </c>
      <c r="C1520" s="22" t="s">
        <v>117</v>
      </c>
      <c r="D1520" s="21" t="s">
        <v>169</v>
      </c>
      <c r="E1520" s="21"/>
      <c r="F1520" s="21"/>
      <c r="G1520" s="21"/>
      <c r="H1520" s="21">
        <v>91</v>
      </c>
      <c r="I1520" s="21"/>
      <c r="J1520" s="24">
        <v>-23.4</v>
      </c>
      <c r="K1520" s="21"/>
    </row>
    <row r="1521" spans="1:11" ht="16" x14ac:dyDescent="0.2">
      <c r="A1521" s="21">
        <v>1520</v>
      </c>
      <c r="B1521" s="22" t="s">
        <v>1365</v>
      </c>
      <c r="C1521" s="21"/>
      <c r="D1521" s="21" t="s">
        <v>25</v>
      </c>
      <c r="E1521" s="21"/>
      <c r="F1521" s="21"/>
      <c r="G1521" s="21"/>
      <c r="H1521" s="21">
        <v>14</v>
      </c>
      <c r="I1521" s="21"/>
      <c r="J1521" s="24">
        <v>-23.4</v>
      </c>
      <c r="K1521" s="21"/>
    </row>
    <row r="1522" spans="1:11" ht="16" x14ac:dyDescent="0.2">
      <c r="A1522" s="21">
        <v>1521</v>
      </c>
      <c r="B1522" s="22" t="s">
        <v>1366</v>
      </c>
      <c r="C1522" s="22" t="s">
        <v>313</v>
      </c>
      <c r="D1522" s="21" t="s">
        <v>25</v>
      </c>
      <c r="E1522" s="21"/>
      <c r="F1522" s="21"/>
      <c r="G1522" s="21"/>
      <c r="H1522" s="21">
        <v>12</v>
      </c>
      <c r="I1522" s="21"/>
      <c r="J1522" s="24">
        <v>-23.4</v>
      </c>
      <c r="K1522" s="21"/>
    </row>
    <row r="1523" spans="1:11" ht="16" x14ac:dyDescent="0.2">
      <c r="A1523" s="21">
        <v>1522</v>
      </c>
      <c r="B1523" s="22" t="s">
        <v>539</v>
      </c>
      <c r="C1523" s="21"/>
      <c r="D1523" s="21" t="s">
        <v>43</v>
      </c>
      <c r="E1523" s="21"/>
      <c r="F1523" s="21"/>
      <c r="G1523" s="21"/>
      <c r="H1523" s="21">
        <v>9</v>
      </c>
      <c r="I1523" s="21"/>
      <c r="J1523" s="24">
        <v>-23.5</v>
      </c>
      <c r="K1523" s="21"/>
    </row>
    <row r="1524" spans="1:11" ht="16" x14ac:dyDescent="0.2">
      <c r="A1524" s="21">
        <v>1523</v>
      </c>
      <c r="B1524" s="22" t="s">
        <v>1367</v>
      </c>
      <c r="C1524" s="22" t="s">
        <v>55</v>
      </c>
      <c r="D1524" s="21" t="s">
        <v>43</v>
      </c>
      <c r="E1524" s="21"/>
      <c r="F1524" s="21"/>
      <c r="G1524" s="21"/>
      <c r="H1524" s="21">
        <v>37</v>
      </c>
      <c r="I1524" s="21"/>
      <c r="J1524" s="24">
        <v>-23.5</v>
      </c>
      <c r="K1524" s="21"/>
    </row>
    <row r="1525" spans="1:11" ht="16" x14ac:dyDescent="0.2">
      <c r="A1525" s="21">
        <v>1524</v>
      </c>
      <c r="B1525" s="22" t="s">
        <v>1814</v>
      </c>
      <c r="C1525" s="22" t="s">
        <v>211</v>
      </c>
      <c r="D1525" s="21" t="s">
        <v>28</v>
      </c>
      <c r="E1525" s="21"/>
      <c r="F1525" s="21"/>
      <c r="G1525" s="21"/>
      <c r="H1525" s="21"/>
      <c r="I1525" s="21">
        <v>58.1</v>
      </c>
      <c r="J1525" s="24">
        <v>-23.5</v>
      </c>
      <c r="K1525" s="21"/>
    </row>
    <row r="1526" spans="1:11" ht="16" x14ac:dyDescent="0.2">
      <c r="A1526" s="21">
        <v>1525</v>
      </c>
      <c r="B1526" s="22" t="s">
        <v>836</v>
      </c>
      <c r="C1526" s="22" t="s">
        <v>42</v>
      </c>
      <c r="D1526" s="21" t="s">
        <v>354</v>
      </c>
      <c r="E1526" s="21"/>
      <c r="F1526" s="21"/>
      <c r="G1526" s="21"/>
      <c r="H1526" s="21">
        <v>32</v>
      </c>
      <c r="I1526" s="21"/>
      <c r="J1526" s="24">
        <v>-23.5</v>
      </c>
      <c r="K1526" s="21"/>
    </row>
    <row r="1527" spans="1:11" ht="16" x14ac:dyDescent="0.2">
      <c r="A1527" s="21">
        <v>1526</v>
      </c>
      <c r="B1527" s="22" t="s">
        <v>927</v>
      </c>
      <c r="C1527" s="22" t="s">
        <v>55</v>
      </c>
      <c r="D1527" s="21" t="s">
        <v>970</v>
      </c>
      <c r="E1527" s="21"/>
      <c r="F1527" s="21"/>
      <c r="G1527" s="21"/>
      <c r="H1527" s="21">
        <v>32</v>
      </c>
      <c r="I1527" s="21"/>
      <c r="J1527" s="24">
        <v>-23.5</v>
      </c>
      <c r="K1527" s="21"/>
    </row>
    <row r="1528" spans="1:11" ht="16" x14ac:dyDescent="0.2">
      <c r="A1528" s="21">
        <v>1527</v>
      </c>
      <c r="B1528" s="22" t="s">
        <v>560</v>
      </c>
      <c r="C1528" s="22" t="s">
        <v>140</v>
      </c>
      <c r="D1528" s="21" t="s">
        <v>87</v>
      </c>
      <c r="E1528" s="21"/>
      <c r="F1528" s="21"/>
      <c r="G1528" s="21"/>
      <c r="H1528" s="21">
        <v>125</v>
      </c>
      <c r="I1528" s="21"/>
      <c r="J1528" s="24">
        <v>-23.7</v>
      </c>
      <c r="K1528" s="21"/>
    </row>
    <row r="1529" spans="1:11" ht="16" x14ac:dyDescent="0.2">
      <c r="A1529" s="21">
        <v>1528</v>
      </c>
      <c r="B1529" s="22" t="s">
        <v>1368</v>
      </c>
      <c r="C1529" s="21"/>
      <c r="D1529" s="21" t="s">
        <v>87</v>
      </c>
      <c r="E1529" s="21"/>
      <c r="F1529" s="21"/>
      <c r="G1529" s="21"/>
      <c r="H1529" s="21">
        <v>38</v>
      </c>
      <c r="I1529" s="21"/>
      <c r="J1529" s="24">
        <v>-23.7</v>
      </c>
      <c r="K1529" s="21"/>
    </row>
    <row r="1530" spans="1:11" ht="16" x14ac:dyDescent="0.2">
      <c r="A1530" s="21">
        <v>1529</v>
      </c>
      <c r="B1530" s="22" t="s">
        <v>728</v>
      </c>
      <c r="C1530" s="22" t="s">
        <v>89</v>
      </c>
      <c r="D1530" s="21" t="s">
        <v>214</v>
      </c>
      <c r="E1530" s="21"/>
      <c r="F1530" s="21"/>
      <c r="G1530" s="21"/>
      <c r="H1530" s="21">
        <v>28</v>
      </c>
      <c r="I1530" s="21"/>
      <c r="J1530" s="24">
        <v>-23.8</v>
      </c>
      <c r="K1530" s="21"/>
    </row>
    <row r="1531" spans="1:11" ht="16" x14ac:dyDescent="0.2">
      <c r="A1531" s="21">
        <v>1530</v>
      </c>
      <c r="B1531" s="22" t="s">
        <v>875</v>
      </c>
      <c r="C1531" s="22" t="s">
        <v>89</v>
      </c>
      <c r="D1531" s="21" t="s">
        <v>13</v>
      </c>
      <c r="E1531" s="21"/>
      <c r="F1531" s="21"/>
      <c r="G1531" s="21"/>
      <c r="H1531" s="21">
        <v>41</v>
      </c>
      <c r="I1531" s="21"/>
      <c r="J1531" s="24">
        <v>-23.8</v>
      </c>
      <c r="K1531" s="21"/>
    </row>
    <row r="1532" spans="1:11" ht="16" x14ac:dyDescent="0.2">
      <c r="A1532" s="21">
        <v>1531</v>
      </c>
      <c r="B1532" s="22" t="s">
        <v>934</v>
      </c>
      <c r="C1532" s="22" t="s">
        <v>66</v>
      </c>
      <c r="D1532" s="21" t="s">
        <v>43</v>
      </c>
      <c r="E1532" s="21"/>
      <c r="F1532" s="21"/>
      <c r="G1532" s="21"/>
      <c r="H1532" s="21">
        <v>40</v>
      </c>
      <c r="I1532" s="21"/>
      <c r="J1532" s="24">
        <v>-23.8</v>
      </c>
      <c r="K1532" s="21"/>
    </row>
    <row r="1533" spans="1:11" ht="16" x14ac:dyDescent="0.2">
      <c r="A1533" s="21">
        <v>1532</v>
      </c>
      <c r="B1533" s="22" t="s">
        <v>1369</v>
      </c>
      <c r="C1533" s="22" t="s">
        <v>36</v>
      </c>
      <c r="D1533" s="21" t="s">
        <v>82</v>
      </c>
      <c r="E1533" s="21"/>
      <c r="F1533" s="21"/>
      <c r="G1533" s="21"/>
      <c r="H1533" s="21">
        <v>23</v>
      </c>
      <c r="I1533" s="21"/>
      <c r="J1533" s="24">
        <v>-24</v>
      </c>
      <c r="K1533" s="21"/>
    </row>
    <row r="1534" spans="1:11" ht="16" x14ac:dyDescent="0.2">
      <c r="A1534" s="21">
        <v>1533</v>
      </c>
      <c r="B1534" s="22" t="s">
        <v>913</v>
      </c>
      <c r="C1534" s="22" t="s">
        <v>117</v>
      </c>
      <c r="D1534" s="21" t="s">
        <v>82</v>
      </c>
      <c r="E1534" s="21"/>
      <c r="F1534" s="21"/>
      <c r="G1534" s="21"/>
      <c r="H1534" s="21">
        <v>23</v>
      </c>
      <c r="I1534" s="21"/>
      <c r="J1534" s="24">
        <v>-24</v>
      </c>
      <c r="K1534" s="21"/>
    </row>
    <row r="1535" spans="1:11" ht="16" x14ac:dyDescent="0.2">
      <c r="A1535" s="21">
        <v>1534</v>
      </c>
      <c r="B1535" s="22" t="s">
        <v>1016</v>
      </c>
      <c r="C1535" s="22" t="s">
        <v>15</v>
      </c>
      <c r="D1535" s="21" t="s">
        <v>69</v>
      </c>
      <c r="E1535" s="21"/>
      <c r="F1535" s="21"/>
      <c r="G1535" s="21"/>
      <c r="H1535" s="21"/>
      <c r="I1535" s="21">
        <v>58.1</v>
      </c>
      <c r="J1535" s="24">
        <v>-24.1</v>
      </c>
      <c r="K1535" s="21"/>
    </row>
    <row r="1536" spans="1:11" ht="16" x14ac:dyDescent="0.2">
      <c r="A1536" s="21">
        <v>1535</v>
      </c>
      <c r="B1536" s="22" t="s">
        <v>510</v>
      </c>
      <c r="C1536" s="22" t="s">
        <v>24</v>
      </c>
      <c r="D1536" s="21" t="s">
        <v>25</v>
      </c>
      <c r="E1536" s="21"/>
      <c r="F1536" s="21"/>
      <c r="G1536" s="21"/>
      <c r="H1536" s="21">
        <v>65</v>
      </c>
      <c r="I1536" s="21"/>
      <c r="J1536" s="24">
        <v>-24.2</v>
      </c>
      <c r="K1536" s="21"/>
    </row>
    <row r="1537" spans="1:11" ht="16" x14ac:dyDescent="0.2">
      <c r="A1537" s="21">
        <v>1536</v>
      </c>
      <c r="B1537" s="22" t="s">
        <v>400</v>
      </c>
      <c r="C1537" s="22" t="s">
        <v>66</v>
      </c>
      <c r="D1537" s="21" t="s">
        <v>13</v>
      </c>
      <c r="E1537" s="21"/>
      <c r="F1537" s="21"/>
      <c r="G1537" s="21"/>
      <c r="H1537" s="21">
        <v>27</v>
      </c>
      <c r="I1537" s="21"/>
      <c r="J1537" s="24">
        <v>-24.6</v>
      </c>
      <c r="K1537" s="21"/>
    </row>
    <row r="1538" spans="1:11" ht="16" x14ac:dyDescent="0.2">
      <c r="A1538" s="21">
        <v>1537</v>
      </c>
      <c r="B1538" s="22" t="s">
        <v>506</v>
      </c>
      <c r="C1538" s="22" t="s">
        <v>117</v>
      </c>
      <c r="D1538" s="21" t="s">
        <v>28</v>
      </c>
      <c r="E1538" s="21"/>
      <c r="F1538" s="21"/>
      <c r="G1538" s="21"/>
      <c r="H1538" s="21"/>
      <c r="I1538" s="21">
        <v>111</v>
      </c>
      <c r="J1538" s="24">
        <v>-26.8</v>
      </c>
      <c r="K1538" s="21"/>
    </row>
    <row r="1539" spans="1:11" ht="16" x14ac:dyDescent="0.2">
      <c r="A1539" s="21">
        <v>1538</v>
      </c>
      <c r="B1539" s="22" t="s">
        <v>1815</v>
      </c>
      <c r="C1539" s="22" t="s">
        <v>66</v>
      </c>
      <c r="D1539" s="21" t="s">
        <v>28</v>
      </c>
      <c r="E1539" s="21"/>
      <c r="F1539" s="21"/>
      <c r="G1539" s="21"/>
      <c r="H1539" s="21"/>
      <c r="I1539" s="21">
        <v>126</v>
      </c>
      <c r="J1539" s="24">
        <v>-28.7</v>
      </c>
      <c r="K1539" s="21"/>
    </row>
    <row r="1540" spans="1:11" ht="16" x14ac:dyDescent="0.2">
      <c r="A1540" s="21">
        <v>1539</v>
      </c>
      <c r="B1540" s="22" t="s">
        <v>1816</v>
      </c>
      <c r="C1540" s="22" t="s">
        <v>89</v>
      </c>
      <c r="D1540" s="21" t="s">
        <v>28</v>
      </c>
      <c r="E1540" s="21"/>
      <c r="F1540" s="21"/>
      <c r="G1540" s="21"/>
      <c r="H1540" s="21"/>
      <c r="I1540" s="21">
        <v>130</v>
      </c>
      <c r="J1540" s="24">
        <v>-32.4</v>
      </c>
      <c r="K1540" s="21"/>
    </row>
  </sheetData>
  <hyperlinks>
    <hyperlink ref="B2" r:id="rId1" display="https://www.fangraphs.com/players/shohei-ohtani/19755/stats" xr:uid="{B3DBCFAC-B7C9-0D42-AD84-42C5CA7E7FA7}"/>
    <hyperlink ref="C2" r:id="rId2" display="https://www.fangraphs.com/teams/dodgers" xr:uid="{1B5B7A0F-9E45-B140-B481-4606209F87AA}"/>
    <hyperlink ref="B3" r:id="rId3" display="https://www.fangraphs.com/players/shohei-ohtani/19755/stats" xr:uid="{A3E2E78A-2E98-5F45-A6AF-529DC75BBE5E}"/>
    <hyperlink ref="C3" r:id="rId4" display="https://www.fangraphs.com/teams/dodgers" xr:uid="{6F8E7720-57B1-9946-A72F-B0BDF30A69A7}"/>
    <hyperlink ref="B4" r:id="rId5" display="https://www.fangraphs.com/players/aaron-judge/15640/stats" xr:uid="{2FBEBD6C-09EC-9549-9226-D3AD88AC52F3}"/>
    <hyperlink ref="C4" r:id="rId6" display="https://www.fangraphs.com/teams/yankees" xr:uid="{9E62AAE8-CAC0-F347-B75F-F0E1B3C32D62}"/>
    <hyperlink ref="B5" r:id="rId7" display="https://www.fangraphs.com/players/bobby-witt-jr/25764/stats" xr:uid="{94F2F443-285C-494B-83D5-470B95E0907F}"/>
    <hyperlink ref="C5" r:id="rId8" display="https://www.fangraphs.com/teams/royals" xr:uid="{9AAD4CBE-33E8-DC45-BC48-7969172CA890}"/>
    <hyperlink ref="B6" r:id="rId9" display="https://www.fangraphs.com/players/juan-soto/20123/stats" xr:uid="{6D18B090-A328-5044-8885-D9DF9CA01A29}"/>
    <hyperlink ref="C6" r:id="rId10" display="https://www.fangraphs.com/teams/mets" xr:uid="{A04DF56B-75A0-CB4B-98F4-8E7C2E3763DC}"/>
    <hyperlink ref="B7" r:id="rId11" display="https://www.fangraphs.com/players/jose-ramirez/13510/stats" xr:uid="{911DE352-EA8A-BF44-ADDA-605D0DC6F20E}"/>
    <hyperlink ref="C7" r:id="rId12" display="https://www.fangraphs.com/teams/guardians" xr:uid="{825F3D5E-5494-A046-8822-932FF7340A33}"/>
    <hyperlink ref="B8" r:id="rId13" display="https://www.fangraphs.com/players/ronald-acuna-jr/18401/stats" xr:uid="{3A2125BB-05A2-E742-A108-703540CD73F7}"/>
    <hyperlink ref="C8" r:id="rId14" display="https://www.fangraphs.com/teams/braves" xr:uid="{3F73F03B-9547-6749-841F-92E332582A03}"/>
    <hyperlink ref="B9" r:id="rId15" display="https://www.fangraphs.com/players/tarik-skubal/22267/stats" xr:uid="{F814564F-9E3B-D343-9AC9-13DC400DC79B}"/>
    <hyperlink ref="C9" r:id="rId16" display="https://www.fangraphs.com/teams/tigers" xr:uid="{3B7E6183-94ED-B74B-AD76-F6795479CBF5}"/>
    <hyperlink ref="B10" r:id="rId17" display="https://www.fangraphs.com/players/elly-de-la-cruz/26668/stats" xr:uid="{A64D2606-25C2-B647-815F-8C9E9837E6B0}"/>
    <hyperlink ref="C10" r:id="rId18" display="https://www.fangraphs.com/teams/reds" xr:uid="{490A405D-C7A0-F340-98A1-A640675739B2}"/>
    <hyperlink ref="B11" r:id="rId19" display="https://www.fangraphs.com/players/paul-skenes/33677/stats" xr:uid="{EEF11A70-3973-4146-AEB9-C7D4FCB5D1E2}"/>
    <hyperlink ref="C11" r:id="rId20" display="https://www.fangraphs.com/teams/pirates" xr:uid="{AA666DB0-CF40-0B49-B6E3-4BDA082C9F1F}"/>
    <hyperlink ref="B12" r:id="rId21" display="https://www.fangraphs.com/players/julio-rodriguez/23697/stats" xr:uid="{4E121410-BC31-4A49-984E-933E94EF51D0}"/>
    <hyperlink ref="C12" r:id="rId22" display="https://www.fangraphs.com/teams/mariners" xr:uid="{B7754EAF-5648-8E44-AC54-09A5A72D61A1}"/>
    <hyperlink ref="B13" r:id="rId23" display="https://www.fangraphs.com/players/garrett-crochet/27463/stats" xr:uid="{5246CE2D-502B-454D-AB5E-53A6F82BA2F4}"/>
    <hyperlink ref="C13" r:id="rId24" display="https://www.fangraphs.com/teams/red-sox" xr:uid="{860D148D-77C3-7541-B788-57A722B3AA1A}"/>
    <hyperlink ref="B14" r:id="rId25" display="https://www.fangraphs.com/players/corbin-carroll/25878/stats" xr:uid="{944101A5-82FA-B14F-B2D1-5191538365C7}"/>
    <hyperlink ref="C14" r:id="rId26" display="https://www.fangraphs.com/teams/diamondbacks" xr:uid="{7067F8E7-B25B-9542-BA6F-68F95145C9D4}"/>
    <hyperlink ref="B15" r:id="rId27" display="https://www.fangraphs.com/players/gunnar-henderson/26289/stats" xr:uid="{24BF7658-7718-E94C-9DA6-F371CC8AAFCC}"/>
    <hyperlink ref="C15" r:id="rId28" display="https://www.fangraphs.com/teams/orioles" xr:uid="{0ED08E4B-C85E-7F4B-826E-9DF4E4DF63BA}"/>
    <hyperlink ref="B16" r:id="rId29" display="https://www.fangraphs.com/players/kyle-tucker/18345/stats" xr:uid="{D1808970-8A29-CB48-AF29-142334928DDD}"/>
    <hyperlink ref="C16" r:id="rId30" display="https://www.fangraphs.com/teams/dodgers" xr:uid="{231F55DD-949F-6D4E-BF11-76819D984FFB}"/>
    <hyperlink ref="B17" r:id="rId31" display="https://www.fangraphs.com/players/fernando-tatis-jr/19709/stats" xr:uid="{07BD2806-7FF9-9840-9CEA-843922D1EF4B}"/>
    <hyperlink ref="C17" r:id="rId32" display="https://www.fangraphs.com/teams/padres" xr:uid="{C14E6A52-AD03-124C-9829-880718226B3E}"/>
    <hyperlink ref="B18" r:id="rId33" display="https://www.fangraphs.com/players/junior-caminero/28163/stats" xr:uid="{603EA070-020A-FA41-A0EB-FDFB7EF0BACE}"/>
    <hyperlink ref="C18" r:id="rId34" display="https://www.fangraphs.com/teams/rays" xr:uid="{81123DF9-F80F-9748-BC91-384255035B5B}"/>
    <hyperlink ref="B19" r:id="rId35" display="https://www.fangraphs.com/players/nick-kurtz/35110/stats" xr:uid="{178C52EA-E4C5-DB47-B378-6246218B7990}"/>
    <hyperlink ref="C19" r:id="rId36" display="https://www.fangraphs.com/teams/athletics" xr:uid="{B59B08C2-848C-A043-A472-335FB67C6D3C}"/>
    <hyperlink ref="B20" r:id="rId37" display="https://www.fangraphs.com/players/vladimir-guerrero-jr/19611/stats" xr:uid="{98672848-77A0-DE4C-8C0C-11542441AFDE}"/>
    <hyperlink ref="C20" r:id="rId38" display="https://www.fangraphs.com/teams/blue-jays" xr:uid="{D693D450-C094-1647-B1F4-17D67E5AE4D5}"/>
    <hyperlink ref="B21" r:id="rId39" display="https://www.fangraphs.com/players/cal-raleigh/21534/stats" xr:uid="{EDB1B19C-3E2C-1048-A654-6346DDCD1C62}"/>
    <hyperlink ref="C21" r:id="rId40" display="https://www.fangraphs.com/teams/mariners" xr:uid="{A74172EE-2C0B-0440-BE68-AF173EB23087}"/>
    <hyperlink ref="B22" r:id="rId41" display="https://www.fangraphs.com/players/jackson-chourio/28806/stats" xr:uid="{FF322823-5F90-D044-B637-90D543D4D0E1}"/>
    <hyperlink ref="C22" r:id="rId42" display="https://www.fangraphs.com/teams/brewers" xr:uid="{956A3E8C-C1EB-DF41-BA9F-F5ECA3AFCD65}"/>
    <hyperlink ref="B23" r:id="rId43" display="https://www.fangraphs.com/players/jazz-chisholm-jr/20454/stats" xr:uid="{DA344DF2-1A36-4D40-AB24-5898B55F6222}"/>
    <hyperlink ref="C23" r:id="rId44" display="https://www.fangraphs.com/teams/yankees" xr:uid="{E00EE24D-E8B0-6644-AFA9-958D1C86F97F}"/>
    <hyperlink ref="B24" r:id="rId45" display="https://www.fangraphs.com/players/francisco-lindor/12916/stats" xr:uid="{349E66F7-99A3-CA47-BB39-38F62D80664E}"/>
    <hyperlink ref="C24" r:id="rId46" display="https://www.fangraphs.com/teams/mets" xr:uid="{83FFC9A6-BB61-5947-A7B3-9ADDEE2C8BC1}"/>
    <hyperlink ref="B25" r:id="rId47" display="https://www.fangraphs.com/players/kyle-schwarber/16478/stats" xr:uid="{9A0E36F5-059C-7647-B874-54799FC5BFA2}"/>
    <hyperlink ref="C25" r:id="rId48" display="https://www.fangraphs.com/teams/phillies" xr:uid="{466401A8-E96B-574F-AE8D-6BACF4765957}"/>
    <hyperlink ref="B26" r:id="rId49" display="https://www.fangraphs.com/players/pete-alonso/19251/stats" xr:uid="{C0944C5D-3FF9-FA40-AB99-C0A9F17E4B0C}"/>
    <hyperlink ref="C26" r:id="rId50" display="https://www.fangraphs.com/teams/orioles" xr:uid="{FC49E8DD-060C-B647-9233-859BFC0FFE91}"/>
    <hyperlink ref="B27" r:id="rId51" display="https://www.fangraphs.com/players/cristopher-sanchez/20778/stats" xr:uid="{EFBE0A44-B490-3A43-A4B3-D5BDD7A6F387}"/>
    <hyperlink ref="C27" r:id="rId52" display="https://www.fangraphs.com/teams/phillies" xr:uid="{5B957238-F7AF-9B4D-878D-8DA9A5518627}"/>
    <hyperlink ref="B28" r:id="rId53" display="https://www.fangraphs.com/players/zach-neto/31347/stats" xr:uid="{E2D2AF77-D705-4C4E-A3FF-C284A19CC3AF}"/>
    <hyperlink ref="C28" r:id="rId54" display="https://www.fangraphs.com/teams/angels" xr:uid="{1886771A-E7DD-994E-BCFD-063283064CF4}"/>
    <hyperlink ref="B29" r:id="rId55" display="https://www.fangraphs.com/players/yoshinobu-yamamoto/33825/stats" xr:uid="{DD4D892E-5CB9-C240-997E-C41590866C0F}"/>
    <hyperlink ref="C29" r:id="rId56" display="https://www.fangraphs.com/teams/dodgers" xr:uid="{40B3BFD5-2600-4646-B857-99C96F9494E4}"/>
    <hyperlink ref="B30" r:id="rId57" display="https://www.fangraphs.com/players/trea-turner/16252/stats" xr:uid="{B1EC4114-DE4B-9B4E-A0AE-3771DE62AA71}"/>
    <hyperlink ref="C30" r:id="rId58" display="https://www.fangraphs.com/teams/phillies" xr:uid="{0B985399-AFE2-B648-A014-58C9031266E5}"/>
    <hyperlink ref="B31" r:id="rId59" display="https://www.fangraphs.com/players/mason-miller/31757/stats" xr:uid="{0C767D71-5E88-2B40-A0EF-13B7D3D989DA}"/>
    <hyperlink ref="C31" r:id="rId60" display="https://www.fangraphs.com/teams/padres" xr:uid="{8DCBEFBB-3A19-804A-BC73-AF35AC33C8A3}"/>
    <hyperlink ref="B32" r:id="rId61" display="https://www.fangraphs.com/players/pete-crow-armstrong/27769/stats" xr:uid="{1AC5DF4E-53FE-4D43-9B53-ECF287AFC083}"/>
    <hyperlink ref="C32" r:id="rId62" display="https://www.fangraphs.com/teams/cubs" xr:uid="{2255E96D-B2A5-394D-AE30-E8F39239EEAD}"/>
    <hyperlink ref="B33" r:id="rId63" display="https://www.fangraphs.com/players/ketel-marte/13613/stats" xr:uid="{1D7FCB38-223D-E447-9521-85DCACD280BB}"/>
    <hyperlink ref="C33" r:id="rId64" display="https://www.fangraphs.com/teams/diamondbacks" xr:uid="{A5A8A045-F2E4-674A-8DFF-578CB5A4A2E5}"/>
    <hyperlink ref="B34" r:id="rId65" display="https://www.fangraphs.com/players/james-wood/29518/stats" xr:uid="{738F05C0-C3D4-5842-9C9D-641D0F5D07DF}"/>
    <hyperlink ref="C34" r:id="rId66" display="https://www.fangraphs.com/teams/nationals" xr:uid="{BC730D3A-A2E0-9C4E-9F36-0663A3FD8CE9}"/>
    <hyperlink ref="B35" r:id="rId67" display="https://www.fangraphs.com/players/edwin-diaz/14710/stats" xr:uid="{69946230-670D-EF4D-8935-E580D210CD4B}"/>
    <hyperlink ref="C35" r:id="rId68" display="https://www.fangraphs.com/teams/dodgers" xr:uid="{8EA56D24-9467-AF4A-B49A-9D2AB5F04910}"/>
    <hyperlink ref="B36" r:id="rId69" display="https://www.fangraphs.com/players/logan-gilbert/22250/stats" xr:uid="{B16010F1-5B47-5442-91C5-9BF29412C833}"/>
    <hyperlink ref="C36" r:id="rId70" display="https://www.fangraphs.com/teams/mariners" xr:uid="{D93D721D-2810-6A4A-8F84-E189047F9D1E}"/>
    <hyperlink ref="B37" r:id="rId71" display="https://www.fangraphs.com/players/yordan-alvarez/19556/stats" xr:uid="{CEEEE5BA-E064-9A49-9825-45875FA353F8}"/>
    <hyperlink ref="C37" r:id="rId72" display="https://www.fangraphs.com/teams/astros" xr:uid="{BE4E6C54-1FC7-1245-A261-0487DC1EE215}"/>
    <hyperlink ref="B38" r:id="rId73" display="https://www.fangraphs.com/players/hunter-brown/25880/stats" xr:uid="{28874A24-8F94-1D4D-A476-86722A6A6A40}"/>
    <hyperlink ref="C38" r:id="rId74" display="https://www.fangraphs.com/teams/astros" xr:uid="{E17BF7CD-02FB-D446-AC8C-A84901C498B2}"/>
    <hyperlink ref="B39" r:id="rId75" display="https://www.fangraphs.com/players/bryan-woo/30279/stats" xr:uid="{D716FD27-9656-1849-AEC4-FF9CA1EF9AD7}"/>
    <hyperlink ref="C39" r:id="rId76" display="https://www.fangraphs.com/teams/mariners" xr:uid="{EB141FD0-C46E-C342-B3DF-2D5461580D4F}"/>
    <hyperlink ref="B40" r:id="rId77" display="https://www.fangraphs.com/players/chris-sale/10603/stats" xr:uid="{C6DF8E12-3A37-704B-99D5-033625465F46}"/>
    <hyperlink ref="C40" r:id="rId78" display="https://www.fangraphs.com/teams/braves" xr:uid="{F60795DF-1540-7247-99FC-4D90175A13F6}"/>
    <hyperlink ref="B41" r:id="rId79" display="https://www.fangraphs.com/players/manny-machado/11493/stats" xr:uid="{04C5532D-FF38-184B-B5E8-BEB995B421D9}"/>
    <hyperlink ref="C41" r:id="rId80" display="https://www.fangraphs.com/teams/padres" xr:uid="{F57551E0-1408-0043-A729-871F0867339A}"/>
    <hyperlink ref="B42" r:id="rId81" display="https://www.fangraphs.com/players/andres-munoz/20373/stats" xr:uid="{7E4B5604-C5FF-FA4E-990E-56C406100244}"/>
    <hyperlink ref="C42" r:id="rId82" display="https://www.fangraphs.com/teams/mariners" xr:uid="{6D137F7C-6BB5-9742-84E7-10C26A54BA1B}"/>
    <hyperlink ref="B43" r:id="rId83" display="https://www.fangraphs.com/players/jhoan-duran/21029/stats" xr:uid="{CE59604C-62CC-AD48-A5A2-847FBC7DECC8}"/>
    <hyperlink ref="C43" r:id="rId84" display="https://www.fangraphs.com/teams/phillies" xr:uid="{72BD69DD-84A6-784A-BE5F-FF28A8ECE6C4}"/>
    <hyperlink ref="B44" r:id="rId85" display="https://www.fangraphs.com/players/cade-smith/27867/stats" xr:uid="{F41D34DB-CADB-F345-96C3-C9534D641663}"/>
    <hyperlink ref="C44" r:id="rId86" display="https://www.fangraphs.com/teams/guardians" xr:uid="{FDE51A4C-C1E1-A745-A986-7E420C31A465}"/>
    <hyperlink ref="B45" r:id="rId87" display="https://www.fangraphs.com/players/wyatt-langford/33333/stats" xr:uid="{51204EE8-0DCF-1840-919D-387222ED4FEB}"/>
    <hyperlink ref="C45" r:id="rId88" display="https://www.fangraphs.com/teams/rangers" xr:uid="{6AB31B06-D9EA-0F47-AE8C-19AE770B98DC}"/>
    <hyperlink ref="B46" r:id="rId89" display="https://www.fangraphs.com/players/hunter-greene/22182/stats" xr:uid="{CC64D177-B838-C846-80AD-5A5BA6BC1C98}"/>
    <hyperlink ref="C46" r:id="rId90" display="https://www.fangraphs.com/teams/reds" xr:uid="{D4E0534E-7B64-D94F-A67A-174D0FE88885}"/>
    <hyperlink ref="B47" r:id="rId91" display="https://www.fangraphs.com/players/cole-ragans/21846/stats" xr:uid="{06792B2F-956A-3D43-867C-2A8E86C130AC}"/>
    <hyperlink ref="C47" r:id="rId92" display="https://www.fangraphs.com/teams/royals" xr:uid="{BDAC1FFC-3F15-F64B-937A-F7B770037B0A}"/>
    <hyperlink ref="B48" r:id="rId93" display="https://www.fangraphs.com/players/jacob-degrom/10954/stats" xr:uid="{627DDCC4-368D-9048-9521-6B1473CC5553}"/>
    <hyperlink ref="C48" r:id="rId94" display="https://www.fangraphs.com/teams/rangers" xr:uid="{3DE490DD-4035-3C47-889F-7A07BDE795CA}"/>
    <hyperlink ref="B49" r:id="rId95" display="https://www.fangraphs.com/players/ben-rice/29576/stats" xr:uid="{A5F803E8-B659-A84E-8A49-29F2BC88A65A}"/>
    <hyperlink ref="C49" r:id="rId96" display="https://www.fangraphs.com/teams/yankees" xr:uid="{697A0994-79E5-4A4B-9F41-8D513DCFF83D}"/>
    <hyperlink ref="B50" r:id="rId97" display="https://www.fangraphs.com/players/bryce-harper/11579/stats" xr:uid="{D5B43336-36B3-AF43-983E-315246FD5E3D}"/>
    <hyperlink ref="C50" r:id="rId98" display="https://www.fangraphs.com/teams/phillies" xr:uid="{F378A438-19ED-7444-828D-CC82893BE991}"/>
    <hyperlink ref="B51" r:id="rId99" display="https://www.fangraphs.com/players/matt-olson/14344/stats" xr:uid="{D143C7EE-D69E-0647-BBA6-AEFB3A918747}"/>
    <hyperlink ref="C51" r:id="rId100" display="https://www.fangraphs.com/teams/braves" xr:uid="{A7E736D3-C083-8C41-8755-F4782852132D}"/>
    <hyperlink ref="B52" r:id="rId101" display="https://www.fangraphs.com/players/brent-rooker/19627/stats" xr:uid="{740CC397-B2F1-E14E-8F07-B636AFC87A12}"/>
    <hyperlink ref="C52" r:id="rId102" display="https://www.fangraphs.com/teams/athletics" xr:uid="{6D8B6A6D-2EB9-FF44-BD13-102563E63F4E}"/>
    <hyperlink ref="B53" r:id="rId103" display="https://www.fangraphs.com/players/brice-turang/22186/stats" xr:uid="{0F61D9BC-54D6-9E45-91B5-2258AAF79F2F}"/>
    <hyperlink ref="C53" r:id="rId104" display="https://www.fangraphs.com/teams/brewers" xr:uid="{78140C4E-ED9B-934D-B408-C9E011C6208E}"/>
    <hyperlink ref="B54" r:id="rId105" display="https://www.fangraphs.com/players/william-contreras/20503/stats" xr:uid="{0D3B6A4E-87BE-BE49-9D38-E9F96B20C032}"/>
    <hyperlink ref="C54" r:id="rId106" display="https://www.fangraphs.com/teams/brewers" xr:uid="{FBDF2073-206B-9C40-B286-7090FEF83D8A}"/>
    <hyperlink ref="B55" r:id="rId107" display="https://www.fangraphs.com/players/max-fried/13743/stats" xr:uid="{9CD90AF9-C520-4E4C-A3F7-E7632AC25FE5}"/>
    <hyperlink ref="C55" r:id="rId108" display="https://www.fangraphs.com/teams/yankees" xr:uid="{48EA3787-9A26-A94D-8A88-AB7E866176DE}"/>
    <hyperlink ref="B56" r:id="rId109" display="https://www.fangraphs.com/players/shea-langeliers/25816/stats" xr:uid="{AC458AB9-48A7-0547-AD51-9A02AF727867}"/>
    <hyperlink ref="C56" r:id="rId110" display="https://www.fangraphs.com/teams/athletics" xr:uid="{A7541200-13B0-5649-9F61-AD26A33C4EF4}"/>
    <hyperlink ref="B57" r:id="rId111" display="https://www.fangraphs.com/players/roman-anthony/31812/stats" xr:uid="{E7284E88-1840-4047-89D9-CB8C5FDFD1C4}"/>
    <hyperlink ref="C57" r:id="rId112" display="https://www.fangraphs.com/teams/red-sox" xr:uid="{C9DE9C6D-3AF9-C34D-839B-463B712F2428}"/>
    <hyperlink ref="B58" r:id="rId113" display="https://www.fangraphs.com/players/rafael-devers/17350/stats" xr:uid="{3B387A7E-C88A-4242-9A1A-C6EBCB6346F5}"/>
    <hyperlink ref="C58" r:id="rId114" display="https://www.fangraphs.com/teams/giants" xr:uid="{5761D585-FA9F-C34B-A714-23E44C29EB06}"/>
    <hyperlink ref="B59" r:id="rId115" display="https://www.fangraphs.com/players/mookie-betts/13611/stats" xr:uid="{40A58E00-97EE-BD40-88BB-FC6AB20083EF}"/>
    <hyperlink ref="C59" r:id="rId116" display="https://www.fangraphs.com/teams/dodgers" xr:uid="{D08C422D-DF1D-C248-BBBF-207794B42F25}"/>
    <hyperlink ref="B60" r:id="rId117" display="https://www.fangraphs.com/players/freddy-peralta/18679/stats" xr:uid="{927A9AD9-1BF6-FD43-B8D0-33C93C1E6F11}"/>
    <hyperlink ref="C60" r:id="rId118" display="https://www.fangraphs.com/teams/mets" xr:uid="{F0DBDE2C-4C1E-E14C-8D01-04F7745D225F}"/>
    <hyperlink ref="B61" r:id="rId119" display="https://www.fangraphs.com/players/david-bednar/19569/stats" xr:uid="{8E8E41BB-D1A3-5042-A6AF-0EEFC18DDBC1}"/>
    <hyperlink ref="C61" r:id="rId120" display="https://www.fangraphs.com/teams/yankees" xr:uid="{A12709EA-7D02-3E4A-A25F-6E4533524025}"/>
    <hyperlink ref="B62" r:id="rId121" display="https://www.fangraphs.com/players/cj-abrams/25768/stats" xr:uid="{FC340948-45E4-A742-9E3C-4EA82238618A}"/>
    <hyperlink ref="C62" r:id="rId122" display="https://www.fangraphs.com/teams/nationals" xr:uid="{1ADE2CF8-6532-404D-B4C8-8FB41E9F6321}"/>
    <hyperlink ref="B63" r:id="rId123" display="https://www.fangraphs.com/players/aroldis-chapman/10233/stats" xr:uid="{2E531543-AC4F-844C-AA02-9704B0AFF783}"/>
    <hyperlink ref="C63" r:id="rId124" display="https://www.fangraphs.com/teams/red-sox" xr:uid="{CD834E94-F759-2E43-B91A-A584A6599494}"/>
    <hyperlink ref="B64" r:id="rId125" display="https://www.fangraphs.com/players/logan-webb/17995/stats" xr:uid="{A7F602CD-E2D4-B344-BA59-74952CB6F211}"/>
    <hyperlink ref="C64" r:id="rId126" display="https://www.fangraphs.com/teams/giants" xr:uid="{90277530-9CB9-AC4C-9684-14EC803F0C7C}"/>
    <hyperlink ref="B65" r:id="rId127" display="https://www.fangraphs.com/players/devin-williams/15816/stats" xr:uid="{CFCD19D7-D86B-C745-9375-B9DDE39D9403}"/>
    <hyperlink ref="C65" r:id="rId128" display="https://www.fangraphs.com/teams/mets" xr:uid="{5C01A0D5-6CCA-9445-8134-EC9D23C1FA1B}"/>
    <hyperlink ref="B66" r:id="rId129" display="https://www.fangraphs.com/players/hunter-goodman/29715/stats" xr:uid="{F2780651-5D52-524E-91B4-07C0355ADEB4}"/>
    <hyperlink ref="C66" r:id="rId130" display="https://www.fangraphs.com/teams/rockies" xr:uid="{A082C166-E539-944F-9E9D-4346589F39EE}"/>
    <hyperlink ref="B67" r:id="rId131" display="https://www.fangraphs.com/players/josh-naylor/18839/stats" xr:uid="{57C46388-A930-0A44-9DB2-6BF20BC41A2F}"/>
    <hyperlink ref="C67" r:id="rId132" display="https://www.fangraphs.com/teams/mariners" xr:uid="{EA053238-AA4F-AC47-9A7B-A758D936813C}"/>
    <hyperlink ref="B68" r:id="rId133" display="https://www.fangraphs.com/players/austin-riley/18360/stats" xr:uid="{138DDB87-17D9-544A-9E61-0FA47240D44B}"/>
    <hyperlink ref="C68" r:id="rId134" display="https://www.fangraphs.com/teams/braves" xr:uid="{7A7617D2-ACA5-F24C-BB68-B8058E208B04}"/>
    <hyperlink ref="B69" r:id="rId135" display="https://www.fangraphs.com/players/george-kirby/25436/stats" xr:uid="{BDAC30FD-A4A6-3343-9AAE-A15781B2B470}"/>
    <hyperlink ref="C69" r:id="rId136" display="https://www.fangraphs.com/teams/mariners" xr:uid="{04BD3121-E9B1-0E4C-AACF-A2508BFAB889}"/>
    <hyperlink ref="B70" r:id="rId137" display="https://www.fangraphs.com/players/maikel-garcia/22715/stats" xr:uid="{E5EDAE2A-3F5F-4A4A-BC1A-D183605899D7}"/>
    <hyperlink ref="C70" r:id="rId138" display="https://www.fangraphs.com/teams/royals" xr:uid="{F0F78FD0-AA0B-4248-B6DF-8D67D38924B2}"/>
    <hyperlink ref="B71" r:id="rId139" display="https://www.fangraphs.com/players/freddie-freeman/5361/stats" xr:uid="{517CACCF-982A-E948-98B5-C71305B2B257}"/>
    <hyperlink ref="C71" r:id="rId140" display="https://www.fangraphs.com/teams/dodgers" xr:uid="{3E7A922D-E80D-B24F-9401-472D176EBB99}"/>
    <hyperlink ref="B72" r:id="rId141" display="https://www.fangraphs.com/players/byron-buxton/14161/stats" xr:uid="{03759ACF-382A-2849-846B-4E358B80FB58}"/>
    <hyperlink ref="C72" r:id="rId142" display="https://www.fangraphs.com/teams/twins" xr:uid="{8FDBC09A-15AE-4941-8184-8E5D75C40C13}"/>
    <hyperlink ref="B73" r:id="rId143" display="https://www.fangraphs.com/players/kyle-bradish/24586/stats" xr:uid="{80CCC337-D927-9749-AF6E-7ED0F2C4EB53}"/>
    <hyperlink ref="C73" r:id="rId144" display="https://www.fangraphs.com/teams/orioles" xr:uid="{FAF509C8-4873-114D-9C33-1C27B130ED3C}"/>
    <hyperlink ref="B74" r:id="rId145" display="https://www.fangraphs.com/players/jackson-merrill/29490/stats" xr:uid="{D9F3C8FE-4D79-394D-B672-543A185A1F17}"/>
    <hyperlink ref="C74" r:id="rId146" display="https://www.fangraphs.com/teams/padres" xr:uid="{07F5B4A4-CE6E-BE48-90BC-0A5C4CD27D35}"/>
    <hyperlink ref="B75" r:id="rId147" display="https://www.fangraphs.com/players/jarren-duran/24617/stats" xr:uid="{801BF928-B60E-A640-ADB6-1169CC8610AB}"/>
    <hyperlink ref="C75" r:id="rId148" display="https://www.fangraphs.com/teams/red-sox" xr:uid="{9DF1BBD2-FA92-1840-B475-4B6036E71806}"/>
    <hyperlink ref="B76" r:id="rId149" display="https://www.fangraphs.com/players/joe-ryan/21390/stats" xr:uid="{92DD14F0-7A04-8645-8696-F99CFBE231A7}"/>
    <hyperlink ref="C76" r:id="rId150" display="https://www.fangraphs.com/teams/twins" xr:uid="{1C7BD100-44F8-D144-B89D-E248B3986499}"/>
    <hyperlink ref="B77" r:id="rId151" display="https://www.fangraphs.com/players/jesus-luzardo/19959/stats" xr:uid="{8BE1103D-4B68-C746-82DC-0C4717237C9A}"/>
    <hyperlink ref="C77" r:id="rId152" display="https://www.fangraphs.com/teams/phillies" xr:uid="{6F2D61E5-A04C-5D4C-8188-078534B53B98}"/>
    <hyperlink ref="B78" r:id="rId153" display="https://www.fangraphs.com/players/geraldo-perdomo/22799/stats" xr:uid="{F3D71A21-1768-A64A-B090-4412E9B15578}"/>
    <hyperlink ref="C78" r:id="rId154" display="https://www.fangraphs.com/teams/diamondbacks" xr:uid="{ABED2F12-4D3F-3F4E-A6FE-B9A0721212B4}"/>
    <hyperlink ref="B79" r:id="rId155" display="https://www.fangraphs.com/players/cody-bellinger/15998/stats" xr:uid="{5F359316-44C9-3F47-8038-39EA0A44FDDC}"/>
    <hyperlink ref="C79" r:id="rId156" display="https://www.fangraphs.com/teams/yankees" xr:uid="{C785191D-424A-2148-943C-3F3971FAA39A}"/>
    <hyperlink ref="B80" r:id="rId157" display="https://www.fangraphs.com/players/riley-greene/25976/stats" xr:uid="{A7FEDB4E-60DA-D14F-9979-01125FB07939}"/>
    <hyperlink ref="C80" r:id="rId158" display="https://www.fangraphs.com/teams/tigers" xr:uid="{B01D9E56-BB12-BF4C-9D59-28FEEFD1AA54}"/>
    <hyperlink ref="B81" r:id="rId159" display="https://www.fangraphs.com/players/vinnie-pasquantino/27676/stats" xr:uid="{1386D8A1-0E65-D14C-A9C6-386731B050C5}"/>
    <hyperlink ref="C81" r:id="rId160" display="https://www.fangraphs.com/teams/royals" xr:uid="{25020C47-BB0B-154C-9E7B-BD8E335E33E1}"/>
    <hyperlink ref="B82" r:id="rId161" display="https://www.fangraphs.com/players/dylan-cease/18525/stats" xr:uid="{AF26DAC0-6A95-BB40-A397-73219309E7FD}"/>
    <hyperlink ref="C82" r:id="rId162" display="https://www.fangraphs.com/teams/blue-jays" xr:uid="{DCF4C161-6B2E-1547-96CE-030E4F9E194C}"/>
    <hyperlink ref="B83" r:id="rId163" display="https://www.fangraphs.com/players/ryan-helsley/18138/stats" xr:uid="{024CAE0F-4F8C-1F47-90D5-69EE308BC930}"/>
    <hyperlink ref="C83" r:id="rId164" display="https://www.fangraphs.com/teams/orioles" xr:uid="{5B4A1FFD-B56B-874A-B5E2-3B714E4F17D1}"/>
    <hyperlink ref="B84" r:id="rId165" display="https://www.fangraphs.com/players/agustin-ramirez/26546/stats" xr:uid="{45C83847-B0FA-AC40-ACCF-4F6AA1717AFD}"/>
    <hyperlink ref="C84" r:id="rId166" display="https://www.fangraphs.com/teams/marlins" xr:uid="{E673B5F7-BFA9-0048-9724-65580501F553}"/>
    <hyperlink ref="B85" r:id="rId167" display="https://www.fangraphs.com/players/eury-perez/27768/stats" xr:uid="{D5D2990A-F726-0545-A842-1CA05AF2E4D2}"/>
    <hyperlink ref="C85" r:id="rId168" display="https://www.fangraphs.com/teams/marlins" xr:uid="{73DA6DC1-F364-6543-87E7-F78D08DB17B5}"/>
    <hyperlink ref="B86" r:id="rId169" display="https://www.fangraphs.com/players/tyler-soderstrom/27467/stats" xr:uid="{CC126720-9186-104F-81F5-0A442131FB8D}"/>
    <hyperlink ref="C86" r:id="rId170" display="https://www.fangraphs.com/teams/athletics" xr:uid="{A3A0BB7D-F137-984E-BE47-27E9B478F41C}"/>
    <hyperlink ref="B87" r:id="rId171" display="https://www.fangraphs.com/players/drake-baldwin/31539/stats" xr:uid="{863BC30A-3DB0-EC42-993B-4EB1F82541BC}"/>
    <hyperlink ref="C87" r:id="rId172" display="https://www.fangraphs.com/teams/braves" xr:uid="{4782FC2C-4D0E-4848-90FF-54A2481B97AE}"/>
    <hyperlink ref="B88" r:id="rId173" display="https://www.fangraphs.com/players/randy-arozarena/19290/stats" xr:uid="{2DBBB5EE-32DF-AB4E-8481-02063EE8BFB9}"/>
    <hyperlink ref="C88" r:id="rId174" display="https://www.fangraphs.com/teams/mariners" xr:uid="{83857092-6970-8244-BE3C-7B9577EDE3C6}"/>
    <hyperlink ref="B89" r:id="rId175" display="https://www.fangraphs.com/players/framber-valdez/17295/stats" xr:uid="{D8BFC606-49C9-1348-B0F1-22B188B05BB5}"/>
    <hyperlink ref="C89" r:id="rId176" display="https://www.fangraphs.com/teams/tigers" xr:uid="{61BE76E6-EBC3-7C41-8309-261397397AE1}"/>
    <hyperlink ref="B90" r:id="rId177" display="https://www.fangraphs.com/players/josh-hader/14212/stats" xr:uid="{7A68AAA4-8B1B-C34B-88BC-053B7A073368}"/>
    <hyperlink ref="C90" r:id="rId178" display="https://www.fangraphs.com/teams/astros" xr:uid="{FAEF0FA5-AC15-0949-9938-347BB1C5F0F7}"/>
    <hyperlink ref="B91" r:id="rId179" display="https://www.fangraphs.com/players/nolan-mclean/33703/stats" xr:uid="{A8F8A87E-59FE-9244-8CD4-C2DA9D47F8BD}"/>
    <hyperlink ref="C91" r:id="rId180" display="https://www.fangraphs.com/teams/mets" xr:uid="{D042D3AA-DCAB-974F-8140-AD59C507FEC8}"/>
    <hyperlink ref="B92" r:id="rId181" display="https://www.fangraphs.com/players/jeremy-pena/21636/stats" xr:uid="{E31C5781-2994-6A43-A81D-6B3FFF79143F}"/>
    <hyperlink ref="C92" r:id="rId182" display="https://www.fangraphs.com/teams/astros" xr:uid="{FB97A311-F6FF-7A40-98E2-7FD3248F72CF}"/>
    <hyperlink ref="B93" r:id="rId183" display="https://www.fangraphs.com/players/oneil-cruz/21711/stats" xr:uid="{810E6175-D061-0440-97F4-8894D0BDB84C}"/>
    <hyperlink ref="C93" r:id="rId184" display="https://www.fangraphs.com/teams/pirates" xr:uid="{7012E294-0140-004F-A82F-D40785400F34}"/>
    <hyperlink ref="B94" r:id="rId185" display="https://www.fangraphs.com/players/salvador-perez/7304/stats" xr:uid="{426A1521-388E-3241-AC60-E6FB98E1197B}"/>
    <hyperlink ref="C94" r:id="rId186" display="https://www.fangraphs.com/teams/royals" xr:uid="{07EDDBA3-C210-9243-8115-0E99D0F9344C}"/>
    <hyperlink ref="B95" r:id="rId187" display="https://www.fangraphs.com/players/george-springer/12856/stats" xr:uid="{84E78D6D-9344-0B4B-BD97-8155ECED182B}"/>
    <hyperlink ref="C95" r:id="rId188" display="https://www.fangraphs.com/teams/blue-jays" xr:uid="{58E1F923-74D7-8A48-A16E-60EE0C40759E}"/>
    <hyperlink ref="B96" r:id="rId189" display="https://www.fangraphs.com/players/carlos-estevez/14542/stats" xr:uid="{CF82A09A-6632-094D-9F00-A9289F554D89}"/>
    <hyperlink ref="C96" r:id="rId190" display="https://www.fangraphs.com/teams/royals" xr:uid="{016C5B34-5073-8A4F-A96B-4C1798018822}"/>
    <hyperlink ref="B97" r:id="rId191" display="https://www.fangraphs.com/players/nick-pivetta/15454/stats" xr:uid="{59549BAF-99EE-914A-A612-0B971D79994A}"/>
    <hyperlink ref="C97" r:id="rId192" display="https://www.fangraphs.com/teams/padres" xr:uid="{46E74E07-651D-0E46-A960-500433442751}"/>
    <hyperlink ref="B98" r:id="rId193" display="https://www.fangraphs.com/players/seiya-suzuki/30116/stats" xr:uid="{4DF60C6A-EE44-874F-A6F1-310C6042DC06}"/>
    <hyperlink ref="C98" r:id="rId194" display="https://www.fangraphs.com/teams/cubs" xr:uid="{FF9A92F6-1E91-B14D-A8AB-EF44FD37A45B}"/>
    <hyperlink ref="B99" r:id="rId195" display="https://www.fangraphs.com/players/raisel-iglesias/17130/stats" xr:uid="{C468D7C0-BC52-BA49-B741-ACB6DF56891C}"/>
    <hyperlink ref="C99" r:id="rId196" display="https://www.fangraphs.com/teams/braves" xr:uid="{36AFF0C9-3F6F-4C41-A0B0-403556B652B8}"/>
    <hyperlink ref="B100" r:id="rId197" display="https://www.fangraphs.com/players/spencer-strider/27498/stats" xr:uid="{BD4E73B9-C306-094A-AD08-17C689E8683F}"/>
    <hyperlink ref="C100" r:id="rId198" display="https://www.fangraphs.com/teams/braves" xr:uid="{87A1FD1B-5D23-5647-AE52-ED861ABFD535}"/>
    <hyperlink ref="B101" r:id="rId199" display="https://www.fangraphs.com/players/corey-seager/13624/stats" xr:uid="{CE9F27F9-5201-1C4F-A030-EAF6903165B5}"/>
    <hyperlink ref="C101" r:id="rId200" display="https://www.fangraphs.com/teams/rangers" xr:uid="{0881325D-AC1A-2D40-BAD9-05E626D4E98C}"/>
    <hyperlink ref="B102" r:id="rId201" display="https://www.fangraphs.com/players/bo-bichette/19612/stats" xr:uid="{390F0ED6-DACB-F440-85DC-6FD245250BC8}"/>
    <hyperlink ref="C102" r:id="rId202" display="https://www.fangraphs.com/teams/mets" xr:uid="{EF944D58-4D73-564A-B016-B5336C432A5A}"/>
    <hyperlink ref="B103" r:id="rId203" display="https://www.fangraphs.com/players/michael-harris-ii/25931/stats" xr:uid="{1B8063B3-0707-F244-86FE-23046A5B019C}"/>
    <hyperlink ref="C103" r:id="rId204" display="https://www.fangraphs.com/teams/braves" xr:uid="{ADA13C9E-50A5-CC49-AD2E-8A648A7D2353}"/>
    <hyperlink ref="B104" r:id="rId205" display="https://www.fangraphs.com/players/chase-burns/35333/stats" xr:uid="{810D575B-0CE8-5A41-A8D9-3D146BED128E}"/>
    <hyperlink ref="C104" r:id="rId206" display="https://www.fangraphs.com/teams/reds" xr:uid="{B9F8E344-A51E-B34F-BB00-1510DBB1733E}"/>
    <hyperlink ref="B105" r:id="rId207" display="https://www.fangraphs.com/players/will-smith/19197/stats" xr:uid="{DF4CEE74-02AE-FD45-B373-193A4EC51BD4}"/>
    <hyperlink ref="C105" r:id="rId208" display="https://www.fangraphs.com/teams/dodgers" xr:uid="{B8D3A6D7-CC99-7049-9A84-F12837F134B4}"/>
    <hyperlink ref="B106" r:id="rId209" display="https://www.fangraphs.com/players/luis-robert-jr/20043/stats" xr:uid="{1F4AF066-23AB-6742-A484-A231FE095C2D}"/>
    <hyperlink ref="C106" r:id="rId210" display="https://www.fangraphs.com/teams/mets" xr:uid="{D1EAC0C4-4D96-2148-BA4C-6FD48978F331}"/>
    <hyperlink ref="B107" r:id="rId211" display="https://www.fangraphs.com/players/eugenio-suarez/12552/stats" xr:uid="{7CFED54F-A6A6-5E48-B91E-35657625D3C9}"/>
    <hyperlink ref="C107" r:id="rId212" display="https://www.fangraphs.com/teams/reds" xr:uid="{80B9C938-36C3-AD4D-AF32-D59FD051A278}"/>
    <hyperlink ref="B108" r:id="rId213" display="https://www.fangraphs.com/players/trevor-story/12564/stats" xr:uid="{71908BC7-3F5F-3842-B153-2472FFE7AE56}"/>
    <hyperlink ref="C108" r:id="rId214" display="https://www.fangraphs.com/teams/red-sox" xr:uid="{95229FE7-CBF6-F440-993C-09DC0DA456CB}"/>
    <hyperlink ref="B109" r:id="rId215" display="https://www.fangraphs.com/players/nico-hoerner/21479/stats" xr:uid="{A4C6D158-57F3-7D49-9438-1C14C435B6A7}"/>
    <hyperlink ref="C109" r:id="rId216" display="https://www.fangraphs.com/teams/cubs" xr:uid="{5908FF08-786D-0D45-B3B3-4088B91F7E1B}"/>
    <hyperlink ref="B110" r:id="rId217" display="https://www.fangraphs.com/players/michael-busch/26319/stats" xr:uid="{1D53C05E-A7F4-5140-B3FC-31A47DB5D333}"/>
    <hyperlink ref="C110" r:id="rId218" display="https://www.fangraphs.com/teams/cubs" xr:uid="{9312C245-C253-4D43-90B7-0DC8B59B38F2}"/>
    <hyperlink ref="B111" r:id="rId219" display="https://www.fangraphs.com/players/brandon-woodruff/16162/stats" xr:uid="{23065E1F-FAA2-EA4C-A1F0-613C7F86EC68}"/>
    <hyperlink ref="C111" r:id="rId220" display="https://www.fangraphs.com/teams/brewers" xr:uid="{9E178DDC-776E-1C46-A5E0-C718A0B18860}"/>
    <hyperlink ref="B112" r:id="rId221" display="https://www.fangraphs.com/players/emilio-pagan/14771/stats" xr:uid="{689285D4-7BDD-3443-94CF-E9EDACBCAF56}"/>
    <hyperlink ref="C112" r:id="rId222" display="https://www.fangraphs.com/teams/reds" xr:uid="{DA2D2DFD-CD6A-C648-81A0-8A796A7A6A2D}"/>
    <hyperlink ref="B113" r:id="rId223" display="https://www.fangraphs.com/players/jeff-hoffman/17432/stats" xr:uid="{3F06ED54-320E-A946-BD2C-9D8EC07EBE9F}"/>
    <hyperlink ref="C113" r:id="rId224" display="https://www.fangraphs.com/teams/blue-jays" xr:uid="{219EDF86-AB3E-0441-9A60-B3A687B0125B}"/>
    <hyperlink ref="B114" r:id="rId225" display="https://www.fangraphs.com/players/yainer-diaz/23003/stats" xr:uid="{6992541B-D2D7-7C4A-B25C-C1DEFEB88310}"/>
    <hyperlink ref="C114" r:id="rId226" display="https://www.fangraphs.com/teams/astros" xr:uid="{B5553128-52B0-514C-9E10-2999E125F59D}"/>
    <hyperlink ref="B115" r:id="rId227" display="https://www.fangraphs.com/players/pete-fairbanks/17998/stats" xr:uid="{39E0CFE5-E61C-364E-BE90-9A9E0C4E21EB}"/>
    <hyperlink ref="C115" r:id="rId228" display="https://www.fangraphs.com/teams/marlins" xr:uid="{3C3E0B7D-C3E5-DC42-8916-9F3264239CA4}"/>
    <hyperlink ref="B116" r:id="rId229" display="https://www.fangraphs.com/players/blake-snell/13543/stats" xr:uid="{DEFF0964-CDAB-4C43-A441-607F0D07E1B2}"/>
    <hyperlink ref="C116" r:id="rId230" display="https://www.fangraphs.com/teams/dodgers" xr:uid="{70715231-CCC9-CE45-990D-B28B1E39EFEB}"/>
    <hyperlink ref="B117" r:id="rId231" display="https://www.fangraphs.com/players/jose-altuve/5417/stats" xr:uid="{715D523C-E6F7-074E-BA97-9A5B2D7FC5B7}"/>
    <hyperlink ref="C117" r:id="rId232" display="https://www.fangraphs.com/teams/astros" xr:uid="{C2F54C5C-3DF7-8A49-9A81-DCEDF2631DD0}"/>
    <hyperlink ref="B118" r:id="rId233" display="https://www.fangraphs.com/players/zack-wheeler/10310/stats" xr:uid="{43815D17-C227-654E-BFF1-CB177C1B44E3}"/>
    <hyperlink ref="C118" r:id="rId234" display="https://www.fangraphs.com/teams/phillies" xr:uid="{3DA16873-02FD-B740-B3CA-3DF65540073C}"/>
    <hyperlink ref="B119" r:id="rId235" display="https://www.fangraphs.com/players/tyler-glasnow/14374/stats" xr:uid="{B033DF46-85E0-1745-B97B-C9F51CD576B6}"/>
    <hyperlink ref="C119" r:id="rId236" display="https://www.fangraphs.com/teams/dodgers" xr:uid="{929528FB-B6BD-814D-98F8-B34B5019ABD2}"/>
    <hyperlink ref="B120" r:id="rId237" display="https://www.fangraphs.com/players/kevin-gausman/14107/stats" xr:uid="{223EC2C4-7A68-0E47-9718-96CFC3A10449}"/>
    <hyperlink ref="C120" r:id="rId238" display="https://www.fangraphs.com/teams/blue-jays" xr:uid="{36F35740-345F-1E4C-8168-ED828FDD0CBB}"/>
    <hyperlink ref="B121" r:id="rId239" display="https://www.fangraphs.com/players/alex-bregman/17678/stats" xr:uid="{7CD798D3-2D21-AA49-A3D8-43872865810D}"/>
    <hyperlink ref="C121" r:id="rId240" display="https://www.fangraphs.com/teams/cubs" xr:uid="{F4EB8BFE-48C0-C042-9CE8-AB4A776D5B06}"/>
    <hyperlink ref="B122" r:id="rId241" display="https://www.fangraphs.com/players/emmet-sheehan/29839/stats" xr:uid="{6F498B53-4852-1547-8F7A-6A173210F151}"/>
    <hyperlink ref="C122" r:id="rId242" display="https://www.fangraphs.com/teams/dodgers" xr:uid="{ECE6330A-894E-974E-8D12-BDB69ED2023E}"/>
    <hyperlink ref="B123" r:id="rId243" display="https://www.fangraphs.com/players/jo-adell/20220/stats" xr:uid="{D3514C42-403E-9F43-87E7-754DB5550628}"/>
    <hyperlink ref="C123" r:id="rId244" display="https://www.fangraphs.com/teams/angels" xr:uid="{AAB6FDA5-409E-1343-BB59-C7B558A3A352}"/>
    <hyperlink ref="B124" r:id="rId245" display="https://www.fangraphs.com/players/daniel-palencia/27914/stats" xr:uid="{70EF5E24-AA7B-514A-B6AF-D68634B70B44}"/>
    <hyperlink ref="C124" r:id="rId246" display="https://www.fangraphs.com/teams/cubs" xr:uid="{54F6B100-E8C8-E04B-BBC7-789F13066000}"/>
    <hyperlink ref="B125" r:id="rId247" display="https://www.fangraphs.com/players/jacob-misiorowski/31623/stats" xr:uid="{E113C61B-5795-5744-879D-B8DD1C7F66DA}"/>
    <hyperlink ref="C125" r:id="rId248" display="https://www.fangraphs.com/teams/brewers" xr:uid="{CE12AE5A-A5D0-BD41-A739-CF339853C683}"/>
    <hyperlink ref="B126" r:id="rId249" display="https://www.fangraphs.com/players/michael-king/19853/stats" xr:uid="{53D21F10-187C-7644-B035-7E67DA98CED9}"/>
    <hyperlink ref="C126" r:id="rId250" display="https://www.fangraphs.com/teams/padres" xr:uid="{8A6BEBF4-D606-FF4B-8AAA-E2625FBF478D}"/>
    <hyperlink ref="B127" r:id="rId251" display="https://www.fangraphs.com/players/cam-schlittler/32095/stats" xr:uid="{E8D61D9B-185E-B54A-9F59-CBE7EF866875}"/>
    <hyperlink ref="C127" r:id="rId252" display="https://www.fangraphs.com/teams/yankees" xr:uid="{EA71A01B-A726-8D4A-ABE7-80725384DB8F}"/>
    <hyperlink ref="B128" r:id="rId253" display="https://www.fangraphs.com/players/christian-yelich/11477/stats" xr:uid="{A0097BEF-5912-FF40-B7F2-F92D521EC70A}"/>
    <hyperlink ref="C128" r:id="rId254" display="https://www.fangraphs.com/teams/brewers" xr:uid="{BE83F0F7-45E6-4C40-8E22-22BBB948F429}"/>
    <hyperlink ref="B129" r:id="rId255" display="https://www.fangraphs.com/players/nick-lodolo/26378/stats" xr:uid="{6B224BF1-0AA7-3249-A280-351DEA1B64F1}"/>
    <hyperlink ref="C129" r:id="rId256" display="https://www.fangraphs.com/teams/reds" xr:uid="{D9DB5B39-EBEC-CC4D-B667-49233763035C}"/>
    <hyperlink ref="B130" r:id="rId257" display="https://www.fangraphs.com/players/kyle-stowers/26151/stats" xr:uid="{0D3415FE-63DB-6340-8244-B516F273BBCE}"/>
    <hyperlink ref="C130" r:id="rId258" display="https://www.fangraphs.com/teams/marlins" xr:uid="{AEE510A5-E538-D946-9B7D-2FC58B3C2A5E}"/>
    <hyperlink ref="B131" r:id="rId259" display="https://www.fangraphs.com/players/ryan-pepiot/26221/stats" xr:uid="{6D9BB8AE-1271-5D49-ABBD-A93709D034C4}"/>
    <hyperlink ref="C131" r:id="rId260" display="https://www.fangraphs.com/teams/rays" xr:uid="{9DEA28A9-455C-BF40-B80C-79359FA10F84}"/>
    <hyperlink ref="B132" r:id="rId261" display="https://www.fangraphs.com/players/luke-keaschall/33321/stats" xr:uid="{DF91DAE0-8B7E-0B41-A033-4F166A7193BC}"/>
    <hyperlink ref="C132" r:id="rId262" display="https://www.fangraphs.com/teams/twins" xr:uid="{DABBCA6E-D571-C248-A59C-D79EEE807903}"/>
    <hyperlink ref="B133" r:id="rId263" display="https://www.fangraphs.com/players/sonny-gray/12768/stats" xr:uid="{1FD38687-85ED-EA4D-B448-7102DB916636}"/>
    <hyperlink ref="C133" r:id="rId264" display="https://www.fangraphs.com/teams/red-sox" xr:uid="{91081FF1-CD50-624A-85C3-0971D3E01145}"/>
    <hyperlink ref="B134" r:id="rId265" display="https://www.fangraphs.com/players/willy-adames/15986/stats" xr:uid="{E96C38A3-4716-964F-B22B-378FF0D7D3F8}"/>
    <hyperlink ref="C134" r:id="rId266" display="https://www.fangraphs.com/teams/giants" xr:uid="{504C2300-D1AA-884C-B2DA-22CAC4B6397F}"/>
    <hyperlink ref="B135" r:id="rId267" display="https://www.fangraphs.com/players/yandy-diaz/16578/stats" xr:uid="{9DE1E1B7-E0A5-0149-B23A-FEB8F6F3589B}"/>
    <hyperlink ref="C135" r:id="rId268" display="https://www.fangraphs.com/teams/rays" xr:uid="{1856E8FD-A1BF-214D-8A96-2D24E34B1830}"/>
    <hyperlink ref="B136" r:id="rId269" display="https://www.fangraphs.com/players/kenley-jansen/3096/stats" xr:uid="{79C82B21-C708-6C44-968F-99A184A6C2F3}"/>
    <hyperlink ref="C136" r:id="rId270" display="https://www.fangraphs.com/teams/tigers" xr:uid="{2C625A8E-3863-CC42-9400-504AC7FD306D}"/>
    <hyperlink ref="B137" r:id="rId271" display="https://www.fangraphs.com/players/trevor-megill/17722/stats" xr:uid="{1CCF3139-B4CC-DF44-B3F4-00FA2DF8AE72}"/>
    <hyperlink ref="C137" r:id="rId272" display="https://www.fangraphs.com/teams/brewers" xr:uid="{1297F043-3787-4D49-9CE0-AD6029C00007}"/>
    <hyperlink ref="B138" r:id="rId273" display="https://www.fangraphs.com/players/noelvi-marte/26517/stats" xr:uid="{AA241E1D-18CD-4641-81F6-8D96FD21BC3B}"/>
    <hyperlink ref="C138" r:id="rId274" display="https://www.fangraphs.com/teams/reds" xr:uid="{8FBD6E43-29E4-7246-8909-2B92DD951F5C}"/>
    <hyperlink ref="B139" r:id="rId275" display="https://www.fangraphs.com/players/teoscar-hernandez/13066/stats" xr:uid="{197C2A8E-1AC1-B545-B508-9E1B69C82241}"/>
    <hyperlink ref="C139" r:id="rId276" display="https://www.fangraphs.com/teams/dodgers" xr:uid="{DF23ABC9-6188-8C47-B655-BFB2B1042081}"/>
    <hyperlink ref="B140" r:id="rId277" display="https://www.fangraphs.com/players/ceddanne-rafaela/24262/stats" xr:uid="{18A0F04A-1A5E-DD4B-AA63-A7EA4ED72844}"/>
    <hyperlink ref="C140" r:id="rId278" display="https://www.fangraphs.com/teams/red-sox" xr:uid="{C0EBAB0E-9389-254D-8108-4D4443059CB7}"/>
    <hyperlink ref="B141" r:id="rId279" display="https://www.fangraphs.com/players/andy-pages/24816/stats" xr:uid="{ACBA12CF-22BE-8447-BCB7-F1DD9938D256}"/>
    <hyperlink ref="C141" r:id="rId280" display="https://www.fangraphs.com/teams/dodgers" xr:uid="{CC071927-3BFC-4F4A-A11D-6F3CACC546DE}"/>
    <hyperlink ref="B142" r:id="rId281" display="https://www.fangraphs.com/players/gavin-williams/30122/stats" xr:uid="{2298642C-3037-184B-89E8-CFA7907751EC}"/>
    <hyperlink ref="C142" r:id="rId282" display="https://www.fangraphs.com/teams/guardians" xr:uid="{8ACE3D23-3C4E-5C4A-8380-15FC5F28EA7E}"/>
    <hyperlink ref="B143" r:id="rId283" display="https://www.fangraphs.com/players/trey-yesavage/35456/stats" xr:uid="{85FF265A-A9C3-6C43-B419-A70046F491ED}"/>
    <hyperlink ref="C143" r:id="rId284" display="https://www.fangraphs.com/teams/blue-jays" xr:uid="{EC3EC06F-6566-AE44-ACD4-308AEE94E027}"/>
    <hyperlink ref="B144" r:id="rId285" display="https://www.fangraphs.com/players/jakob-marsee/31370/stats" xr:uid="{8969071E-6449-694D-8E59-3697DAE2FEF2}"/>
    <hyperlink ref="C144" r:id="rId286" display="https://www.fangraphs.com/teams/marlins" xr:uid="{EB5909C6-2465-4B4B-8AB8-C6F1A28297C3}"/>
    <hyperlink ref="B145" r:id="rId287" display="https://www.fangraphs.com/players/bubba-chandler/29868/stats" xr:uid="{A2941F5A-9382-3840-876C-FA6818256E0F}"/>
    <hyperlink ref="C145" r:id="rId288" display="https://www.fangraphs.com/teams/pirates" xr:uid="{EBFBDD4D-070C-F742-A267-7E2484ED8D5A}"/>
    <hyperlink ref="B146" r:id="rId289" display="https://www.fangraphs.com/players/brandon-nimmo/12927/stats" xr:uid="{3C475F45-785F-9042-8FB9-AD9B117E32EE}"/>
    <hyperlink ref="C146" r:id="rId290" display="https://www.fangraphs.com/teams/rangers" xr:uid="{9BC66741-DBF0-4C4B-AABC-A59D1D2CA230}"/>
    <hyperlink ref="B147" r:id="rId291" display="https://www.fangraphs.com/players/nathan-eovaldi/9132/stats" xr:uid="{09C33414-5184-3F47-B7C0-B0E2F50DD80D}"/>
    <hyperlink ref="C147" r:id="rId292" display="https://www.fangraphs.com/teams/rangers" xr:uid="{50E6A65A-B7CA-FF44-9E06-CF27FA049A66}"/>
    <hyperlink ref="B148" r:id="rId293" display="https://www.fangraphs.com/players/sandy-alcantara/18684/stats" xr:uid="{8C199FAB-E762-E140-9BF4-3ED1B920CF23}"/>
    <hyperlink ref="C148" r:id="rId294" display="https://www.fangraphs.com/teams/marlins" xr:uid="{EAED5557-02F7-BD4B-B140-7C6C809F4D8E}"/>
    <hyperlink ref="B149" r:id="rId295" display="https://www.fangraphs.com/players/lawrence-butler/22542/stats" xr:uid="{BAFF2DED-0AA1-624E-9E7E-6F5E01E4D6C3}"/>
    <hyperlink ref="C149" r:id="rId296" display="https://www.fangraphs.com/teams/athletics" xr:uid="{061D0CF2-154E-BC4B-9365-2BDF9749F2B3}"/>
    <hyperlink ref="B150" r:id="rId297" display="https://www.fangraphs.com/players/dennis-santana/17878/stats" xr:uid="{D833CB80-C554-B34E-B86C-C0C2037CA0D5}"/>
    <hyperlink ref="C150" r:id="rId298" display="https://www.fangraphs.com/teams/pirates" xr:uid="{A46F6EB6-07F9-3046-AA87-51D1E87FF7F6}"/>
    <hyperlink ref="B151" r:id="rId299" display="https://www.fangraphs.com/players/adley-rutschman/26288/stats" xr:uid="{8F123C9B-F485-BF4A-AEA6-224656FFFF25}"/>
    <hyperlink ref="C151" r:id="rId300" display="https://www.fangraphs.com/teams/orioles" xr:uid="{6FC4C94E-A08C-5E4B-B346-8DF13423BCB9}"/>
    <hyperlink ref="B152" r:id="rId301" display="https://www.fangraphs.com/players/drew-rasmussen/25385/stats" xr:uid="{E01DFCBB-558D-D544-B5D9-90FD9B2CFD44}"/>
    <hyperlink ref="C152" r:id="rId302" display="https://www.fangraphs.com/teams/rays" xr:uid="{649BA712-C4F0-0644-A14D-C49A230A0D61}"/>
    <hyperlink ref="B153" r:id="rId303" display="https://www.fangraphs.com/players/dansby-swanson/18314/stats" xr:uid="{35BE5C7B-E565-BB47-85AE-4526908D2F57}"/>
    <hyperlink ref="C153" r:id="rId304" display="https://www.fangraphs.com/teams/cubs" xr:uid="{83B46D41-9535-594B-BFC1-9ACBEFD9EE4B}"/>
    <hyperlink ref="B154" r:id="rId305" display="https://www.fangraphs.com/players/taylor-ward/17548/stats" xr:uid="{74ED652D-9ABC-C94F-A202-D1CFAA4BFC2D}"/>
    <hyperlink ref="C154" r:id="rId306" display="https://www.fangraphs.com/teams/orioles" xr:uid="{3C05D418-1EAF-E04E-BA8D-45CCEC0B2E28}"/>
    <hyperlink ref="B155" r:id="rId307" display="https://www.fangraphs.com/players/ivan-herrera/20599/stats" xr:uid="{54F763D7-1BA7-9A4E-ABD3-309A74A4486A}"/>
    <hyperlink ref="C155" r:id="rId308" display="https://www.fangraphs.com/teams/cardinals" xr:uid="{A7A98377-375F-2140-B988-D1599EBD870C}"/>
    <hyperlink ref="B156" r:id="rId309" display="https://www.fangraphs.com/players/ozzie-albies/16556/stats" xr:uid="{95F0C702-9EB3-654A-9206-09D64BFB6861}"/>
    <hyperlink ref="C156" r:id="rId310" display="https://www.fangraphs.com/teams/braves" xr:uid="{42487105-5667-2345-AC1F-43B2EE989D83}"/>
    <hyperlink ref="B157" r:id="rId311" display="https://www.fangraphs.com/players/abner-uribe/25327/stats" xr:uid="{B0ED6AE4-F1B5-C243-8E72-6455E59C288C}"/>
    <hyperlink ref="C157" r:id="rId312" display="https://www.fangraphs.com/teams/brewers" xr:uid="{97F8AB4B-7E49-5A4F-8D03-DA42095439B0}"/>
    <hyperlink ref="B158" r:id="rId313" display="https://www.fangraphs.com/players/alejandro-kirk/22581/stats" xr:uid="{983E0E92-4A20-1649-A393-F460230C31FE}"/>
    <hyperlink ref="C158" r:id="rId314" display="https://www.fangraphs.com/teams/blue-jays" xr:uid="{6511C65F-6FD7-3346-80CD-77BFD3499D0F}"/>
    <hyperlink ref="B159" r:id="rId315" display="https://www.fangraphs.com/players/robbie-ray/11486/stats" xr:uid="{4BCCABF0-DCC0-814D-85DC-338EE71B882D}"/>
    <hyperlink ref="C159" r:id="rId316" display="https://www.fangraphs.com/teams/giants" xr:uid="{212268BF-1903-D140-B151-0B9F54B92009}"/>
    <hyperlink ref="B160" r:id="rId317" display="https://www.fangraphs.com/players/brenton-doyle/25479/stats" xr:uid="{2750F663-A26D-4247-9E98-7CE926CD5CFD}"/>
    <hyperlink ref="C160" r:id="rId318" display="https://www.fangraphs.com/teams/rockies" xr:uid="{AD337D84-7C53-F648-83B7-AFC87B6FD656}"/>
    <hyperlink ref="B161" r:id="rId319" display="https://www.fangraphs.com/players/dylan-crews/33541/stats" xr:uid="{B8F8214B-1DAB-7C49-86FF-EC4254EE6DED}"/>
    <hyperlink ref="C161" r:id="rId320" display="https://www.fangraphs.com/teams/nationals" xr:uid="{08318640-BDC2-2C4E-9EB5-F674F908C49C}"/>
    <hyperlink ref="B162" r:id="rId321" display="https://www.fangraphs.com/players/trevor-rogers/22286/stats" xr:uid="{4519C2C0-98BC-8744-80C4-7D62BD929487}"/>
    <hyperlink ref="C162" r:id="rId322" display="https://www.fangraphs.com/teams/orioles" xr:uid="{BC44B1A7-F15D-1949-8259-F4A0C84CCF95}"/>
    <hyperlink ref="B163" r:id="rId323" display="https://www.fangraphs.com/players/trevor-rogers/22286/stats" xr:uid="{B1237176-143C-8844-9B3C-42BBA7D6255D}"/>
    <hyperlink ref="C163" r:id="rId324" display="https://www.fangraphs.com/teams/orioles" xr:uid="{497FDDD9-0185-4E4A-B56C-AC9FEC588FF8}"/>
    <hyperlink ref="B164" r:id="rId325" display="https://www.fangraphs.com/players/ryan-walker/20423/stats" xr:uid="{B25ACE45-9DF5-F046-8681-A4FB3C22D3DF}"/>
    <hyperlink ref="C164" r:id="rId326" display="https://www.fangraphs.com/teams/giants" xr:uid="{38937883-BB6B-CC45-92C7-BB242611A924}"/>
    <hyperlink ref="B165" r:id="rId327" display="https://www.fangraphs.com/players/steven-kwan/24610/stats" xr:uid="{2DA90C03-8BF9-4241-99E1-8E5DA61520C8}"/>
    <hyperlink ref="C165" r:id="rId328" display="https://www.fangraphs.com/teams/guardians" xr:uid="{91BF86B2-89CE-D840-B2C1-575B7230857D}"/>
    <hyperlink ref="B166" r:id="rId329" display="https://www.fangraphs.com/players/matt-chapman/16505/stats" xr:uid="{69986E2A-23B5-B147-ABD6-783C31DF5797}"/>
    <hyperlink ref="C166" r:id="rId330" display="https://www.fangraphs.com/teams/giants" xr:uid="{3D16C271-0A0E-D241-8888-16411378D715}"/>
    <hyperlink ref="B167" r:id="rId331" display="https://www.fangraphs.com/players/jackson-holliday/31781/stats" xr:uid="{B268BCD0-7F9A-D943-92D0-850E560A9D12}"/>
    <hyperlink ref="C167" r:id="rId332" display="https://www.fangraphs.com/teams/orioles" xr:uid="{F4CDA688-A040-C34B-A7F1-ADB284171148}"/>
    <hyperlink ref="B168" r:id="rId333" display="https://www.fangraphs.com/players/mackenzie-gore/22201/stats" xr:uid="{51804CB1-0AE5-104D-B0A2-8066A74EBAFE}"/>
    <hyperlink ref="C168" r:id="rId334" display="https://www.fangraphs.com/teams/rangers" xr:uid="{5AB67181-3C94-584A-B970-147E098E01B9}"/>
    <hyperlink ref="B169" r:id="rId335" display="https://www.fangraphs.com/players/chandler-simpson/31912/stats" xr:uid="{44B605CF-7615-F34C-A5B1-2317765B1BAD}"/>
    <hyperlink ref="C169" r:id="rId336" display="https://www.fangraphs.com/teams/rays" xr:uid="{A91B1806-0599-2A44-A0F7-A42E57ACFB71}"/>
    <hyperlink ref="B170" r:id="rId337" display="https://www.fangraphs.com/players/royce-lewis/20437/stats" xr:uid="{C915E1CD-F18C-0E46-9A86-9E3AFA669235}"/>
    <hyperlink ref="C170" r:id="rId338" display="https://www.fangraphs.com/teams/twins" xr:uid="{0507F011-356B-4E4C-870F-81CDDC07E9E8}"/>
    <hyperlink ref="B171" r:id="rId339" display="https://www.fangraphs.com/players/luis-castillo/15689/stats" xr:uid="{71B564BA-15E6-2549-AEC3-B697FDD3AB57}"/>
    <hyperlink ref="C171" r:id="rId340" display="https://www.fangraphs.com/teams/mariners" xr:uid="{1FD3A084-24BE-5E4D-851F-C40000FD4C74}"/>
    <hyperlink ref="B172" r:id="rId341" display="https://www.fangraphs.com/players/mike-trout/10155/stats" xr:uid="{BF9C6DE6-0FBF-5447-8DA1-954330DD0836}"/>
    <hyperlink ref="C172" r:id="rId342" display="https://www.fangraphs.com/teams/angels" xr:uid="{AACF6BE9-68E5-514C-9F9A-4A7EA7EDE820}"/>
    <hyperlink ref="B173" r:id="rId343" display="https://www.fangraphs.com/players/willson-contreras/11609/stats" xr:uid="{F06DE59E-F3C2-C64B-92E6-E4A9BAC311C9}"/>
    <hyperlink ref="C173" r:id="rId344" display="https://www.fangraphs.com/teams/red-sox" xr:uid="{E6F421D7-C107-C143-AC67-D8AB5F4C3CAB}"/>
    <hyperlink ref="B174" r:id="rId345" display="https://www.fangraphs.com/players/shota-imanaga/33829/stats" xr:uid="{D48D50DB-9AF2-C14A-8BD9-748510A859B5}"/>
    <hyperlink ref="C174" r:id="rId346" display="https://www.fangraphs.com/teams/cubs" xr:uid="{330C2B9A-2ACA-3346-9C44-2585CE86A93F}"/>
    <hyperlink ref="B175" r:id="rId347" display="https://www.fangraphs.com/players/samuel-basallo/28824/stats" xr:uid="{3498E1D4-132A-3046-83A6-F75E98BB2542}"/>
    <hyperlink ref="C175" r:id="rId348" display="https://www.fangraphs.com/teams/orioles" xr:uid="{3A31A1C0-6D9E-544F-84C5-E146BE9DA76C}"/>
    <hyperlink ref="B176" r:id="rId349" display="https://www.fangraphs.com/players/ranger-suarez/17277/stats" xr:uid="{0851B93C-7113-8C44-9C0D-A7E801C6010E}"/>
    <hyperlink ref="C176" r:id="rId350" display="https://www.fangraphs.com/teams/red-sox" xr:uid="{2AD8330E-78D5-4142-8759-B40C6FEFD12D}"/>
    <hyperlink ref="B177" r:id="rId351" display="https://www.fangraphs.com/players/francisco-alvarez/26121/stats" xr:uid="{D5F9EBFB-3F10-F04E-B7FE-3B4E1E0E9EF8}"/>
    <hyperlink ref="C177" r:id="rId352" display="https://www.fangraphs.com/teams/mets" xr:uid="{0F034EE8-FD22-0C44-8D8B-8A636DB9AC2B}"/>
    <hyperlink ref="B178" r:id="rId353" display="https://www.fangraphs.com/players/gabriel-moreno/22664/stats" xr:uid="{0B9A754A-8ECB-2846-9CD0-DC9BCACC9E49}"/>
    <hyperlink ref="C178" r:id="rId354" display="https://www.fangraphs.com/teams/diamondbacks" xr:uid="{4CEA20F3-E1E2-CB4E-AAAE-AEED0F79E8B3}"/>
    <hyperlink ref="B179" r:id="rId355" display="https://www.fangraphs.com/players/alec-burleson/27615/stats" xr:uid="{EC8B4D3A-AC5A-114A-8FD3-5476664522AA}"/>
    <hyperlink ref="C179" r:id="rId356" display="https://www.fangraphs.com/teams/cardinals" xr:uid="{47CA37D4-9D19-6346-9303-FA5320BAB9E3}"/>
    <hyperlink ref="B180" r:id="rId357" display="https://www.fangraphs.com/players/alec-burleson/27615/stats" xr:uid="{86DFAAD1-67C9-DD46-8B4A-2C7B1FA8B553}"/>
    <hyperlink ref="C180" r:id="rId358" display="https://www.fangraphs.com/teams/cardinals" xr:uid="{B80151B0-34D7-C145-89E2-E45645AEB19A}"/>
    <hyperlink ref="B181" r:id="rId359" display="https://www.fangraphs.com/players/edward-cabrera/21690/stats" xr:uid="{C2EADB30-DF85-5941-B237-D84A5F6801CF}"/>
    <hyperlink ref="C181" r:id="rId360" display="https://www.fangraphs.com/teams/cubs" xr:uid="{92616101-60C8-5649-A01D-B8EA05E1E076}"/>
    <hyperlink ref="B182" r:id="rId361" display="https://www.fangraphs.com/players/matt-mclain/29695/stats" xr:uid="{4564C611-4B91-054F-9960-8D888966E18A}"/>
    <hyperlink ref="C182" r:id="rId362" display="https://www.fangraphs.com/teams/reds" xr:uid="{7AD672F8-B672-F249-A8C9-B215ECEC7330}"/>
    <hyperlink ref="B183" r:id="rId363" display="https://www.fangraphs.com/players/xavier-edwards/22266/stats" xr:uid="{5530F66A-EF8D-8F4C-B084-744146BD0D3C}"/>
    <hyperlink ref="C183" r:id="rId364" display="https://www.fangraphs.com/teams/marlins" xr:uid="{3F1BCE79-A2BD-644C-A221-FC25C6BB8846}"/>
    <hyperlink ref="B184" r:id="rId365" display="https://www.fangraphs.com/players/brandon-lowe/18882/stats" xr:uid="{7C32214D-7B9B-BB45-9850-E072245BDFC7}"/>
    <hyperlink ref="C184" r:id="rId366" display="https://www.fangraphs.com/teams/pirates" xr:uid="{BDE0E453-055B-814F-95FB-1FFCE58AE165}"/>
    <hyperlink ref="B185" r:id="rId367" display="https://www.fangraphs.com/players/bryson-stott/26294/stats" xr:uid="{CD78B0CC-68E9-9C4F-9010-B074B6C03258}"/>
    <hyperlink ref="C185" r:id="rId368" display="https://www.fangraphs.com/teams/phillies" xr:uid="{78B64CE0-B8E8-E94F-AE63-4495ACEA9644}"/>
    <hyperlink ref="B186" r:id="rId369" display="https://www.fangraphs.com/players/kyle-teel/33549/stats" xr:uid="{68E2301F-8C56-154C-9E5F-BF4BFEA3A54C}"/>
    <hyperlink ref="C186" r:id="rId370" display="https://www.fangraphs.com/teams/white-sox" xr:uid="{3199A97F-11E6-4543-B545-ABE6309B6A2A}"/>
    <hyperlink ref="B187" r:id="rId371" display="https://www.fangraphs.com/players/jacob-wilson/33266/stats" xr:uid="{C34DF644-6EA4-0D45-B5C7-61F589042276}"/>
    <hyperlink ref="C187" r:id="rId372" display="https://www.fangraphs.com/teams/athletics" xr:uid="{185759DC-0971-B14F-BEF6-B8CAB608A6C1}"/>
    <hyperlink ref="B188" r:id="rId373" display="https://www.fangraphs.com/players/spencer-torkelson/27465/stats" xr:uid="{8F7453A8-6EF0-2848-9EDB-AECF160CD6EC}"/>
    <hyperlink ref="C188" r:id="rId374" display="https://www.fangraphs.com/teams/tigers" xr:uid="{F56F16BD-3E5D-FE44-B777-2E7A298726D6}"/>
    <hyperlink ref="B189" r:id="rId375" display="https://www.fangraphs.com/players/tanner-bibee/30134/stats" xr:uid="{CEF819AE-10CE-524F-9442-8AD7CAA3D933}"/>
    <hyperlink ref="C189" r:id="rId376" display="https://www.fangraphs.com/teams/guardians" xr:uid="{3A04BBCD-E11F-8F43-96AF-F5EC132E5BD3}"/>
    <hyperlink ref="B190" r:id="rId377" display="https://www.fangraphs.com/players/griffin-jax/20253/stats" xr:uid="{91662EC3-78C9-3644-8D06-18A486CC3541}"/>
    <hyperlink ref="C190" r:id="rId378" display="https://www.fangraphs.com/teams/rays" xr:uid="{18628BC5-118D-1C44-A7E2-312695CEE7F0}"/>
    <hyperlink ref="B191" r:id="rId379" display="https://www.fangraphs.com/players/ian-happ/17919/stats" xr:uid="{43F5EF33-EA4E-034B-B995-FA32652206C0}"/>
    <hyperlink ref="C191" r:id="rId380" display="https://www.fangraphs.com/teams/cubs" xr:uid="{8F09DECB-6FD6-4F48-946C-A739BF9CEEB6}"/>
    <hyperlink ref="B192" r:id="rId381" display="https://www.fangraphs.com/players/jurickson-profar/10815/stats" xr:uid="{42BCF150-B381-DD4C-A704-EF5128EAB25B}"/>
    <hyperlink ref="C192" r:id="rId382" display="https://www.fangraphs.com/teams/braves" xr:uid="{B8F3C5E7-6E83-BE48-AC0D-4AFC224D236F}"/>
    <hyperlink ref="B193" r:id="rId383" display="https://www.fangraphs.com/players/jonathan-aranda/21837/stats" xr:uid="{EA43EBE2-507C-FD43-A47F-CC806C246B23}"/>
    <hyperlink ref="C193" r:id="rId384" display="https://www.fangraphs.com/teams/rays" xr:uid="{FADC4E7A-719A-3F4F-803F-9051DA3428F9}"/>
    <hyperlink ref="B194" r:id="rId385" display="https://www.fangraphs.com/players/carlos-rodon/16137/stats" xr:uid="{F29B1AF3-1F53-A548-B5D8-21B67AF24711}"/>
    <hyperlink ref="C194" r:id="rId386" display="https://www.fangraphs.com/teams/yankees" xr:uid="{4670A62A-38D3-A94D-AE5F-C19753A93E36}"/>
    <hyperlink ref="B195" r:id="rId387" display="https://www.fangraphs.com/players/cade-horton/31872/stats" xr:uid="{B036DF00-83F5-C84B-A41E-1DC0CCAD7C5A}"/>
    <hyperlink ref="C195" r:id="rId388" display="https://www.fangraphs.com/teams/cubs" xr:uid="{A144FF10-3AD1-2D45-85E6-86AEF28065BF}"/>
    <hyperlink ref="B196" r:id="rId389" display="https://www.fangraphs.com/players/sal-stewart/31505/stats" xr:uid="{02C7EC66-15F3-1A49-88E6-41CC9F25B60D}"/>
    <hyperlink ref="C196" r:id="rId390" display="https://www.fangraphs.com/teams/reds" xr:uid="{6D77C51D-7516-0C4A-BFFA-0642903350DD}"/>
    <hyperlink ref="B197" r:id="rId391" display="https://www.fangraphs.com/players/daylen-lile/29995/stats" xr:uid="{7FF2CDF6-3F51-1942-BC2A-EC325EF82121}"/>
    <hyperlink ref="C197" r:id="rId392" display="https://www.fangraphs.com/teams/nationals" xr:uid="{F9CEDB94-1714-A249-AC10-D8541AC74EE2}"/>
    <hyperlink ref="B198" r:id="rId393" display="https://www.fangraphs.com/players/shane-baz/22264/stats" xr:uid="{59EB629E-55FC-6E48-832E-87653F04003A}"/>
    <hyperlink ref="C198" r:id="rId394" display="https://www.fangraphs.com/teams/orioles" xr:uid="{2795ADC7-11FD-9742-ADB9-02E488A2CF5F}"/>
    <hyperlink ref="B199" r:id="rId395" display="https://www.fangraphs.com/players/jordan-westburg/27815/stats" xr:uid="{8C980E69-07EF-0144-A802-6C970561E8AA}"/>
    <hyperlink ref="C199" r:id="rId396" display="https://www.fangraphs.com/teams/orioles" xr:uid="{E45BD1D3-3537-504E-AFC8-638071A28A69}"/>
    <hyperlink ref="B200" r:id="rId397" display="https://www.fangraphs.com/players/robert-suarez/30115/stats" xr:uid="{791B0788-67F7-154A-B4E6-B33963DAD340}"/>
    <hyperlink ref="C200" r:id="rId398" display="https://www.fangraphs.com/teams/braves" xr:uid="{DA7A3D84-5747-DD4C-AA28-EC243DECB3DC}"/>
    <hyperlink ref="B201" r:id="rId399" display="https://www.fangraphs.com/players/seranthony-dominguez/19249/stats" xr:uid="{61C9BFDD-ADE2-6449-9C17-124D4E9CEC0E}"/>
    <hyperlink ref="C201" r:id="rId400" display="https://www.fangraphs.com/teams/white-sox" xr:uid="{09E3AB76-F857-E740-8E53-EC9F57AFFF1B}"/>
    <hyperlink ref="B202" r:id="rId401" display="https://www.fangraphs.com/players/bryan-reynolds/19326/stats" xr:uid="{E9181F78-F125-4647-909F-2AB944F90891}"/>
    <hyperlink ref="C202" r:id="rId402" display="https://www.fangraphs.com/teams/pirates" xr:uid="{78D053F6-9266-9C46-A98E-804E6C45AE2D}"/>
    <hyperlink ref="B203" r:id="rId403" display="https://www.fangraphs.com/players/ezequiel-tovar/24064/stats" xr:uid="{982F7D2E-2F81-4C4D-82CF-035EA957D3C9}"/>
    <hyperlink ref="C203" r:id="rId404" display="https://www.fangraphs.com/teams/rockies" xr:uid="{67913953-B95C-0A42-B485-C25F41D0609A}"/>
    <hyperlink ref="B204" r:id="rId405" display="https://www.fangraphs.com/players/christian-walker/13419/stats" xr:uid="{0C45CBDD-43FC-C840-939D-2172A68CAB30}"/>
    <hyperlink ref="C204" r:id="rId406" display="https://www.fangraphs.com/teams/astros" xr:uid="{447DC862-52B8-C24D-B352-775887A6F685}"/>
    <hyperlink ref="B205" r:id="rId407" display="https://www.fangraphs.com/players/kris-bubic/21455/stats" xr:uid="{F4246244-6D0A-A04A-9E00-2A8FD4BB6159}"/>
    <hyperlink ref="C205" r:id="rId408" display="https://www.fangraphs.com/teams/royals" xr:uid="{CC8884ED-A25F-B54B-8D81-DD215C3A1AB0}"/>
    <hyperlink ref="B206" r:id="rId409" display="https://www.fangraphs.com/players/addison-barger/24598/stats" xr:uid="{A2FF369E-9271-F54E-B4EE-A3BBAD130B10}"/>
    <hyperlink ref="C206" r:id="rId410" display="https://www.fangraphs.com/teams/blue-jays" xr:uid="{ACF07156-6808-D548-83C8-283340CBCA5F}"/>
    <hyperlink ref="B207" r:id="rId411" display="https://www.fangraphs.com/players/jose-caballero/23401/stats" xr:uid="{84682E07-B4AF-304E-9307-65C110D8571A}"/>
    <hyperlink ref="C207" r:id="rId412" display="https://www.fangraphs.com/teams/yankees" xr:uid="{20ACA0D8-7F95-794E-9EC3-1DD9C0C66E9A}"/>
    <hyperlink ref="B208" r:id="rId413" display="https://www.fangraphs.com/players/jose-caballero/23401/stats" xr:uid="{BE4D0F73-B2D7-3C4C-93B3-3D4C9596B7A1}"/>
    <hyperlink ref="C208" r:id="rId414" display="https://www.fangraphs.com/teams/yankees" xr:uid="{1E108686-2BB6-1649-96E7-533CC6AA0D22}"/>
    <hyperlink ref="B209" r:id="rId415" display="https://www.fangraphs.com/players/daulton-varsho/19918/stats" xr:uid="{7D3E29FF-9286-A94A-AB4A-56995B6F4E4A}"/>
    <hyperlink ref="C209" r:id="rId416" display="https://www.fangraphs.com/teams/blue-jays" xr:uid="{002EF74D-DE5E-854D-A09B-101E6F1DA7CB}"/>
    <hyperlink ref="B210" r:id="rId417" display="https://www.fangraphs.com/players/jac-caglianone/35041/stats" xr:uid="{D8AA906F-94C1-B347-9C40-AC2EBF4854CE}"/>
    <hyperlink ref="C210" r:id="rId418" display="https://www.fangraphs.com/teams/royals" xr:uid="{B95CFDC5-C112-F649-B836-2E8885F7DCC2}"/>
    <hyperlink ref="B211" r:id="rId419" display="https://www.fangraphs.com/players/andrew-abbott/29911/stats" xr:uid="{F9A0F5FA-ACFD-9E40-A776-87C8E332156D}"/>
    <hyperlink ref="C211" r:id="rId420" display="https://www.fangraphs.com/teams/reds" xr:uid="{C55515CE-B570-5440-ADA6-C0C10103F864}"/>
    <hyperlink ref="B212" r:id="rId421" display="https://www.fangraphs.com/players/sal-frelick/29622/stats" xr:uid="{8B754AFA-C609-B34A-9F28-F79E7010A14C}"/>
    <hyperlink ref="C212" r:id="rId422" display="https://www.fangraphs.com/teams/brewers" xr:uid="{BE11AFE0-6277-2949-AF96-2A363C188305}"/>
    <hyperlink ref="B213" r:id="rId423" display="https://www.fangraphs.com/players/aaron-nola/16149/stats" xr:uid="{CDFE3F33-2F03-6C46-9A33-7DDEBE833112}"/>
    <hyperlink ref="C213" r:id="rId424" display="https://www.fangraphs.com/teams/phillies" xr:uid="{E3146013-FCC9-9343-BB4C-05CFC1624CC9}"/>
    <hyperlink ref="B214" r:id="rId425" display="https://www.fangraphs.com/players/jt-realmuto/11739/stats" xr:uid="{95FD2EFF-452D-EF4E-B485-7DCD45E03629}"/>
    <hyperlink ref="C214" r:id="rId426" display="https://www.fangraphs.com/teams/phillies" xr:uid="{1D137761-01BE-D646-92C7-2EF3F940180C}"/>
    <hyperlink ref="B215" r:id="rId427" display="https://www.fangraphs.com/players/jorge-polanco/13152/stats" xr:uid="{988F562E-D635-DB4F-88FE-E137FD0539F8}"/>
    <hyperlink ref="C215" r:id="rId428" display="https://www.fangraphs.com/teams/mets" xr:uid="{F027C98D-3186-3949-A129-4C02A5871A49}"/>
    <hyperlink ref="B216" r:id="rId429" display="https://www.fangraphs.com/players/wilyer-abreu/23772/stats" xr:uid="{79CBD627-BD34-8A45-BA7D-62095CBCBAF8}"/>
    <hyperlink ref="C216" r:id="rId430" display="https://www.fangraphs.com/teams/red-sox" xr:uid="{8536775F-5E2A-A64B-BEF1-862C23043518}"/>
    <hyperlink ref="B217" r:id="rId431" display="https://www.fangraphs.com/players/ramon-laureano/17128/stats" xr:uid="{CB11FB19-A842-C446-92C3-C1BC4DCFD1A1}"/>
    <hyperlink ref="C217" r:id="rId432" display="https://www.fangraphs.com/teams/padres" xr:uid="{B6D7D83A-4D0F-9C4E-B313-E6CAAB83FBC1}"/>
    <hyperlink ref="B218" r:id="rId433" display="https://www.fangraphs.com/players/heliot-ramos/22515/stats" xr:uid="{A3340608-B7F0-D847-ABE8-603A6ABE917D}"/>
    <hyperlink ref="C218" r:id="rId434" display="https://www.fangraphs.com/teams/giants" xr:uid="{1E0D86A2-BA21-5442-8EC3-98B91BCDD6B2}"/>
    <hyperlink ref="B219" r:id="rId435" display="https://www.fangraphs.com/players/bryan-abreu/16609/stats" xr:uid="{FBFCE4A0-AD36-D442-9797-DC2C0F9B78B6}"/>
    <hyperlink ref="C219" r:id="rId436" display="https://www.fangraphs.com/teams/astros" xr:uid="{E17A8279-22F7-7044-AF0B-5A94849FF4B8}"/>
    <hyperlink ref="B220" r:id="rId437" display="https://www.fangraphs.com/players/jack-flaherty/17479/stats" xr:uid="{33A3C9DD-7D3E-E245-B627-3AE3685CBF81}"/>
    <hyperlink ref="C220" r:id="rId438" display="https://www.fangraphs.com/teams/tigers" xr:uid="{9E8C10BB-3EEF-B24C-BD31-465B5756972E}"/>
    <hyperlink ref="B221" r:id="rId439" display="https://www.fangraphs.com/players/adolis-garcia/19287/stats" xr:uid="{B57212DF-CC93-CA41-B129-52F53F071755}"/>
    <hyperlink ref="C221" r:id="rId440" display="https://www.fangraphs.com/teams/phillies" xr:uid="{B90F3700-4E6F-1F43-BFC4-9CCDF9ED9658}"/>
    <hyperlink ref="B222" r:id="rId441" display="https://www.fangraphs.com/players/zac-gallen/19291/stats" xr:uid="{2CA0C6FB-F0D5-6748-AD5C-D2950F5D1493}"/>
    <hyperlink ref="C222" r:id="rId442" display="https://www.fangraphs.com/teams/diamondbacks" xr:uid="{74B17BDA-13E8-1145-BF91-84C8A17533A0}"/>
    <hyperlink ref="B223" r:id="rId443" display="https://www.fangraphs.com/players/isaac-paredes/20036/stats" xr:uid="{BE422CDB-45EF-F449-A8F5-4E01091FD7D2}"/>
    <hyperlink ref="C223" r:id="rId444" display="https://www.fangraphs.com/teams/astros" xr:uid="{79878079-397E-C844-8C44-8D4E150B31CF}"/>
    <hyperlink ref="B224" r:id="rId445" display="https://www.fangraphs.com/players/colson-montgomery/29712/stats" xr:uid="{76B06CE6-5A4E-7645-A1CE-41A3C53E9A3D}"/>
    <hyperlink ref="C224" r:id="rId446" display="https://www.fangraphs.com/teams/white-sox" xr:uid="{68D87402-1AE6-AD41-9D69-80D1597D762A}"/>
    <hyperlink ref="B225" r:id="rId447" display="https://www.fangraphs.com/players/otto-lopez/19608/stats" xr:uid="{9739BA2A-610A-E64B-A3E2-C6E1BCD56A8E}"/>
    <hyperlink ref="C225" r:id="rId448" display="https://www.fangraphs.com/teams/marlins" xr:uid="{A0EDB7B3-1D05-F647-9030-4CEA11B93062}"/>
    <hyperlink ref="B226" r:id="rId449" display="https://www.fangraphs.com/players/roki-sasaki/35323/stats" xr:uid="{5767768D-2159-4446-BA5E-C23349F38CF2}"/>
    <hyperlink ref="C226" r:id="rId450" display="https://www.fangraphs.com/teams/dodgers" xr:uid="{698DBFA5-1493-044D-99C2-0172E17A9BB6}"/>
    <hyperlink ref="B227" r:id="rId451" display="https://www.fangraphs.com/players/matthew-boyd/15440/stats" xr:uid="{D803C711-B622-4240-AC35-1502CCACE1D9}"/>
    <hyperlink ref="C227" r:id="rId452" display="https://www.fangraphs.com/teams/cubs" xr:uid="{D312FF35-0B7E-2248-A7F0-0AD22928D2E4}"/>
    <hyperlink ref="B228" r:id="rId453" display="https://www.fangraphs.com/players/bryce-miller/29837/stats" xr:uid="{1A4B5596-042B-4B4D-B1AB-AF2D2BF9437B}"/>
    <hyperlink ref="C228" r:id="rId454" display="https://www.fangraphs.com/teams/mariners" xr:uid="{EDD67AF5-04CD-E94F-A457-F0CAAE9DBF99}"/>
    <hyperlink ref="B229" r:id="rId455" display="https://www.fangraphs.com/players/kyle-manzardo/29794/stats" xr:uid="{6499BF3C-CF33-F346-88F6-DDE3D050017A}"/>
    <hyperlink ref="C229" r:id="rId456" display="https://www.fangraphs.com/teams/guardians" xr:uid="{0F9A8030-7A73-A94E-9738-3279B4276A88}"/>
    <hyperlink ref="B230" r:id="rId457" display="https://www.fangraphs.com/players/jordan-beck/31431/stats" xr:uid="{EF360F5E-44CC-1B4D-BB0F-3A9170B25DAD}"/>
    <hyperlink ref="C230" r:id="rId458" display="https://www.fangraphs.com/teams/rockies" xr:uid="{7475AEF3-155D-144D-9709-2A2E68DFEA82}"/>
    <hyperlink ref="B231" r:id="rId459" display="https://www.fangraphs.com/players/caleb-durbin/29646/stats" xr:uid="{6A5B7FE8-84AA-9E47-B4EF-C413E500AB41}"/>
    <hyperlink ref="C231" r:id="rId460" display="https://www.fangraphs.com/teams/red-sox" xr:uid="{B465F612-2658-3846-9261-97BD03FED88C}"/>
    <hyperlink ref="B232" r:id="rId461" display="https://www.fangraphs.com/players/jack-leiter/30146/stats" xr:uid="{A227A42B-98C3-4B4A-BA1C-5B3C7134E341}"/>
    <hyperlink ref="C232" r:id="rId462" display="https://www.fangraphs.com/teams/rangers" xr:uid="{4D96C85D-3362-454F-81C1-C4527A257E44}"/>
    <hyperlink ref="B233" r:id="rId463" display="https://www.fangraphs.com/players/kerry-carpenter/25961/stats" xr:uid="{5ED6A544-DFD8-1647-9F85-941580992752}"/>
    <hyperlink ref="C233" r:id="rId464" display="https://www.fangraphs.com/teams/tigers" xr:uid="{3127F065-B0CF-204B-B3F0-661F6C06CCB6}"/>
    <hyperlink ref="B234" r:id="rId465" display="https://www.fangraphs.com/players/luis-garcia-jr/20391/stats" xr:uid="{DE520922-B052-794F-BE39-DE184E7A49EA}"/>
    <hyperlink ref="C234" r:id="rId466" display="https://www.fangraphs.com/teams/nationals" xr:uid="{4A5A9360-67E4-6B42-B1F6-7FD7823DFB2D}"/>
    <hyperlink ref="B235" r:id="rId467" display="https://www.fangraphs.com/players/merrill-kelly/11156/stats" xr:uid="{9DFADE5C-F9F8-534F-90CB-A99AD05C6F2E}"/>
    <hyperlink ref="C235" r:id="rId468" display="https://www.fangraphs.com/teams/diamondbacks" xr:uid="{782ED4ED-F4D8-AE4A-BCA0-B422E7B84FBE}"/>
    <hyperlink ref="B236" r:id="rId469" display="https://www.fangraphs.com/players/xander-bogaerts/12161/stats" xr:uid="{353CD0A0-6425-7D4F-ACF9-175F684922FE}"/>
    <hyperlink ref="C236" r:id="rId470" display="https://www.fangraphs.com/teams/padres" xr:uid="{E85326A8-8232-E347-AFA9-EB18D8348CA6}"/>
    <hyperlink ref="B237" r:id="rId471" display="https://www.fangraphs.com/players/austin-wells/27562/stats" xr:uid="{0FE83D57-E39E-C14F-B1D1-5B14AEEC3B2D}"/>
    <hyperlink ref="C237" r:id="rId472" display="https://www.fangraphs.com/teams/yankees" xr:uid="{B3485250-63BA-4B4A-9102-C5E6FCC1313D}"/>
    <hyperlink ref="B238" r:id="rId473" display="https://www.fangraphs.com/players/ryan-weathers/23796/stats" xr:uid="{3CF09175-8B75-7042-96D3-8CE99EBBA97B}"/>
    <hyperlink ref="C238" r:id="rId474" display="https://www.fangraphs.com/teams/yankees" xr:uid="{211C4173-C684-4D41-BC48-FB02184AE5D1}"/>
    <hyperlink ref="B239" r:id="rId475" display="https://www.fangraphs.com/players/shane-bieber/19427/stats" xr:uid="{2AA3BAA9-BAD0-C34D-8E24-7F3DEEE43103}"/>
    <hyperlink ref="C239" r:id="rId476" display="https://www.fangraphs.com/teams/blue-jays" xr:uid="{F4A64804-9BFC-324F-915E-F1086E14B2F3}"/>
    <hyperlink ref="B240" r:id="rId477" display="https://www.fangraphs.com/players/riley-obrien/20348/stats" xr:uid="{7EEADC2B-3DEF-444B-A443-30A437B3D0B4}"/>
    <hyperlink ref="C240" r:id="rId478" display="https://www.fangraphs.com/teams/cardinals" xr:uid="{30555F19-0596-474F-A398-6BA1ED6AD491}"/>
    <hyperlink ref="B241" r:id="rId479" display="https://www.fangraphs.com/players/gleyber-torres/16997/stats" xr:uid="{EC17FCBD-56AE-C249-A675-4F2FA9AAE692}"/>
    <hyperlink ref="C241" r:id="rId480" display="https://www.fangraphs.com/teams/tigers" xr:uid="{97B3B3A4-C763-284A-8FA9-90F983011CBB}"/>
    <hyperlink ref="B242" r:id="rId481" display="https://www.fangraphs.com/players/marcus-semien/12533/stats" xr:uid="{AF97CE22-1F89-4C41-AAFA-43CB4FA8DEA3}"/>
    <hyperlink ref="C242" r:id="rId482" display="https://www.fangraphs.com/teams/mets" xr:uid="{506376C9-A13F-E249-98FD-7D9876686E00}"/>
    <hyperlink ref="B243" r:id="rId483" display="https://www.fangraphs.com/players/giancarlo-stanton/4949/stats" xr:uid="{85FFDFD4-5B68-0946-A728-068140006075}"/>
    <hyperlink ref="C243" r:id="rId484" display="https://www.fangraphs.com/teams/yankees" xr:uid="{0FF9E6B2-8942-034E-B4BB-1509D080A213}"/>
    <hyperlink ref="B244" r:id="rId485" display="https://www.fangraphs.com/players/mickey-moniak/19956/stats" xr:uid="{5FC8F9F3-6FF2-D34C-96CF-5E0836AAB294}"/>
    <hyperlink ref="C244" r:id="rId486" display="https://www.fangraphs.com/teams/rockies" xr:uid="{F94CB27C-2373-9F4A-9DAB-75FD5CBFC5D2}"/>
    <hyperlink ref="B245" r:id="rId487" display="https://www.fangraphs.com/players/max-muncy/13301/stats" xr:uid="{55AB8B4D-E9F4-1047-9F2D-C9E5D47CE884}"/>
    <hyperlink ref="C245" r:id="rId488" display="https://www.fangraphs.com/teams/dodgers" xr:uid="{9D3D2D74-B17D-E64A-9A81-47B843100260}"/>
    <hyperlink ref="B246" r:id="rId489" display="https://www.fangraphs.com/players/shane-smith/31687/stats" xr:uid="{84675708-BC57-E44A-BF4B-002840FAEE9F}"/>
    <hyperlink ref="C246" r:id="rId490" display="https://www.fangraphs.com/teams/white-sox" xr:uid="{BB7E01DD-0445-FD41-BCCB-957D2B426B7F}"/>
    <hyperlink ref="B247" r:id="rId491" display="https://www.fangraphs.com/players/robert-garcia/23363/stats" xr:uid="{9D7082D9-10A9-134F-A6EC-7D5C71C9BE2D}"/>
    <hyperlink ref="C247" r:id="rId492" display="https://www.fangraphs.com/teams/rangers" xr:uid="{F1D9FCD6-CE73-5741-92C0-5C01140FD430}"/>
    <hyperlink ref="B248" r:id="rId493" display="https://www.fangraphs.com/players/jake-burger/22275/stats" xr:uid="{3047FA3D-705C-0B42-8E3F-F907A6D071F8}"/>
    <hyperlink ref="C248" r:id="rId494" display="https://www.fangraphs.com/teams/rangers" xr:uid="{15E57A20-0655-BC46-A359-703273DEA208}"/>
    <hyperlink ref="B249" r:id="rId495" display="https://www.fangraphs.com/players/kodai-senga/31838/stats" xr:uid="{F1905F9A-912A-A847-86C7-9E3B491046D7}"/>
    <hyperlink ref="C249" r:id="rId496" display="https://www.fangraphs.com/teams/mets" xr:uid="{A3CF6CED-C108-0646-A708-3055C91C9CC6}"/>
    <hyperlink ref="B250" r:id="rId497" display="https://www.fangraphs.com/players/dillon-dingler/27464/stats" xr:uid="{D7BC00F7-AF43-AE43-A5EC-91D15CE2260F}"/>
    <hyperlink ref="C250" r:id="rId498" display="https://www.fangraphs.com/teams/tigers" xr:uid="{05D0C88E-8254-AA47-B18A-3ADDD11F3D6E}"/>
    <hyperlink ref="B251" r:id="rId499" display="https://www.fangraphs.com/players/logan-henderson/31475/stats" xr:uid="{832F0EF0-F7B8-CA4D-9ED1-211D82BF86B7}"/>
    <hyperlink ref="C251" r:id="rId500" display="https://www.fangraphs.com/teams/brewers" xr:uid="{8A70C4F4-4B50-1347-8011-2AA612CB9FE6}"/>
    <hyperlink ref="B252" r:id="rId501" display="https://www.fangraphs.com/players/logan-ohoppe/24729/stats" xr:uid="{B1FE4C59-3836-E44B-8696-D8622A54D701}"/>
    <hyperlink ref="C252" r:id="rId502" display="https://www.fangraphs.com/teams/angels" xr:uid="{E7E684BD-509F-6A4C-9EDC-EDEA85AF29C1}"/>
    <hyperlink ref="B253" r:id="rId503" display="https://www.fangraphs.com/players/connelly-early/33666/stats" xr:uid="{9293AEEE-A77E-8941-9A26-D77AC63C56E2}"/>
    <hyperlink ref="C253" r:id="rId504" display="https://www.fangraphs.com/teams/red-sox" xr:uid="{9192686E-66E9-6244-BD83-C958011D6751}"/>
    <hyperlink ref="B254" r:id="rId505" display="https://www.fangraphs.com/players/trent-grisham/18564/stats" xr:uid="{9D9CB1A3-549B-3A45-B86E-27FD8FEC27A1}"/>
    <hyperlink ref="C254" r:id="rId506" display="https://www.fangraphs.com/teams/yankees" xr:uid="{D80FB99F-CE39-094B-AF4A-A9B8EE392238}"/>
    <hyperlink ref="B255" r:id="rId507" display="https://www.fangraphs.com/players/tj-friedl/19522/stats" xr:uid="{68699713-2C7E-114B-A0BF-3AEE2EB2A58E}"/>
    <hyperlink ref="C255" r:id="rId508" display="https://www.fangraphs.com/teams/reds" xr:uid="{138509C7-53AD-8241-A913-B135DDF62C68}"/>
    <hyperlink ref="B256" r:id="rId509" display="https://www.fangraphs.com/players/josh-lowe/19953/stats" xr:uid="{035FC525-9461-AE4B-B8A6-8E772875F5A4}"/>
    <hyperlink ref="C256" r:id="rId510" display="https://www.fangraphs.com/teams/angels" xr:uid="{8B11A05A-8B13-224C-A7B3-E79E6D6BB2A8}"/>
    <hyperlink ref="B257" r:id="rId511" display="https://www.fangraphs.com/players/colton-cowser/29591/stats" xr:uid="{530CADD6-21EF-0045-9250-9667B7974655}"/>
    <hyperlink ref="C257" r:id="rId512" display="https://www.fangraphs.com/teams/orioles" xr:uid="{BFBFB4A4-7D0A-8642-AC8F-6E7DF0126412}"/>
    <hyperlink ref="B258" r:id="rId513" display="https://www.fangraphs.com/players/ryne-nelson/26253/stats" xr:uid="{B9B3A71F-24FD-BB4C-818B-70C97DE2BE5B}"/>
    <hyperlink ref="C258" r:id="rId514" display="https://www.fangraphs.com/teams/diamondbacks" xr:uid="{C47D3EE2-FA95-4C42-9C0D-5CEEEEB927B8}"/>
    <hyperlink ref="B259" r:id="rId515" display="https://www.fangraphs.com/players/braxton-ashcraft/23793/stats" xr:uid="{8D0E6BE2-A1D2-854D-B513-34E8B53C6896}"/>
    <hyperlink ref="C259" r:id="rId516" display="https://www.fangraphs.com/teams/pirates" xr:uid="{0388E849-776B-EF43-9670-3DEB0AA57910}"/>
    <hyperlink ref="B260" r:id="rId517" display="https://www.fangraphs.com/players/noah-cameron/30184/stats" xr:uid="{62546245-A822-504B-8F47-0983DB417B13}"/>
    <hyperlink ref="C260" r:id="rId518" display="https://www.fangraphs.com/teams/royals" xr:uid="{DBCC8154-641E-5A44-8F55-82E293C1ACC8}"/>
    <hyperlink ref="B261" r:id="rId519" display="https://www.fangraphs.com/players/tyler-stephenson/17988/stats" xr:uid="{D377479B-C3AB-D843-9E12-FF7071FD5CB2}"/>
    <hyperlink ref="C261" r:id="rId520" display="https://www.fangraphs.com/teams/reds" xr:uid="{32527F5E-2533-6C43-A7D7-4808CB28AC5E}"/>
    <hyperlink ref="B262" r:id="rId521" display="https://www.fangraphs.com/players/joey-cantillo/23335/stats" xr:uid="{D2BD247E-F3C2-454C-902F-5F9A221A395D}"/>
    <hyperlink ref="C262" r:id="rId522" display="https://www.fangraphs.com/teams/guardians" xr:uid="{99A3DE92-0DCC-CC41-B1C8-157B77D6D2EA}"/>
    <hyperlink ref="B263" r:id="rId523" display="https://www.fangraphs.com/players/quinn-priester/25977/stats" xr:uid="{1105E009-1501-3249-9356-B23B66C8F403}"/>
    <hyperlink ref="C263" r:id="rId524" display="https://www.fangraphs.com/teams/brewers" xr:uid="{D639DE07-2224-FA4B-91D0-13D2D03777C2}"/>
    <hyperlink ref="B264" r:id="rId525" display="https://www.fangraphs.com/players/alec-bohm/21618/stats" xr:uid="{59C3CB46-ED2D-0342-AC5A-A1E4710B19EC}"/>
    <hyperlink ref="C264" r:id="rId526" display="https://www.fangraphs.com/teams/phillies" xr:uid="{B0806532-8635-0641-B3B5-DEF269D0DED3}"/>
    <hyperlink ref="B265" r:id="rId527" display="https://www.fangraphs.com/players/mike-burrows/24728/stats" xr:uid="{2D3DA11A-7AA8-E54B-9E9F-0E880665331E}"/>
    <hyperlink ref="C265" r:id="rId528" display="https://www.fangraphs.com/teams/astros" xr:uid="{8C1AF8CA-DC68-E14A-8C76-465222E101C0}"/>
    <hyperlink ref="B266" r:id="rId529" display="https://www.fangraphs.com/players/carlos-correa/14162/stats" xr:uid="{219509CA-15D5-224E-81EB-C5197615224D}"/>
    <hyperlink ref="C266" r:id="rId530" display="https://www.fangraphs.com/teams/astros" xr:uid="{75717631-61D3-3143-9B6E-10CAD1A71D8A}"/>
    <hyperlink ref="B267" r:id="rId531" display="https://www.fangraphs.com/players/masyn-winn/27479/stats" xr:uid="{8B38AAD2-E83B-6346-B08B-5AAB99702966}"/>
    <hyperlink ref="C267" r:id="rId532" display="https://www.fangraphs.com/teams/cardinals" xr:uid="{CA4BD68E-F7E2-8142-8DB9-8590686774AA}"/>
    <hyperlink ref="B268" r:id="rId533" display="https://www.fangraphs.com/players/sean-manaea/15873/stats" xr:uid="{D8956A94-6979-0644-ADF0-2734D7C6C390}"/>
    <hyperlink ref="C268" r:id="rId534" display="https://www.fangraphs.com/teams/mets" xr:uid="{34FCCF2A-5F52-C046-93E7-36131A783C87}"/>
    <hyperlink ref="B269" r:id="rId535" display="https://www.fangraphs.com/players/casey-mize/20492/stats" xr:uid="{9C9FB88B-D906-CF40-9005-C1A7AE33D33F}"/>
    <hyperlink ref="C269" r:id="rId536" display="https://www.fangraphs.com/teams/tigers" xr:uid="{93A3838C-6F48-324B-B142-48B91A9BDD9D}"/>
    <hyperlink ref="B270" r:id="rId537" display="https://www.fangraphs.com/players/brendan-donovan/24679/stats" xr:uid="{FE91CD94-A8F3-0748-9F0A-9CEF019792D0}"/>
    <hyperlink ref="C270" r:id="rId538" display="https://www.fangraphs.com/teams/mariners" xr:uid="{FCD6FF42-6223-3946-9329-9D07E8232784}"/>
    <hyperlink ref="B271" r:id="rId539" display="https://www.fangraphs.com/players/willi-castro/17338/stats" xr:uid="{F27DBBF2-8D18-7C44-83B8-8A3554703829}"/>
    <hyperlink ref="C271" r:id="rId540" display="https://www.fangraphs.com/teams/rockies" xr:uid="{FAC7319A-D434-D64A-AD15-9301E4C35590}"/>
    <hyperlink ref="B272" r:id="rId541" display="https://www.fangraphs.com/players/willi-castro/17338/stats" xr:uid="{606E09F6-7461-EB4C-BF73-378694B3DCA6}"/>
    <hyperlink ref="C272" r:id="rId542" display="https://www.fangraphs.com/teams/rockies" xr:uid="{9FA420AE-8CA0-AF42-A687-B8750A9E1241}"/>
    <hyperlink ref="B273" r:id="rId543" display="https://www.fangraphs.com/players/luis-arraez/18568/stats" xr:uid="{2F4A861B-6B39-5646-B2EE-E7679214F785}"/>
    <hyperlink ref="C273" r:id="rId544" display="https://www.fangraphs.com/teams/giants" xr:uid="{0F440FAD-4F25-394D-96D6-3A40DF2559D5}"/>
    <hyperlink ref="B274" r:id="rId545" display="https://www.fangraphs.com/players/evan-carter/27790/stats" xr:uid="{478654FD-E330-D041-ABDB-BDC5D448AD5C}"/>
    <hyperlink ref="C274" r:id="rId546" display="https://www.fangraphs.com/teams/rangers" xr:uid="{3C31B17C-71EF-7947-BF69-7ECA5ED0B224}"/>
    <hyperlink ref="B275" r:id="rId547" display="https://www.fangraphs.com/players/brett-baty/26123/stats" xr:uid="{67D8D474-D9EA-E944-B232-5EF82D82C3E7}"/>
    <hyperlink ref="C275" r:id="rId548" display="https://www.fangraphs.com/teams/mets" xr:uid="{64BD9800-4ECB-7242-9D96-5D13647EB005}"/>
    <hyperlink ref="B276" r:id="rId549" display="https://www.fangraphs.com/players/matt-shaw/33322/stats" xr:uid="{55B0B188-5797-8548-A6D9-5287495AE24B}"/>
    <hyperlink ref="C276" r:id="rId550" display="https://www.fangraphs.com/teams/cubs" xr:uid="{B255A1E8-5C4F-0649-B11A-CCBFC05E3221}"/>
    <hyperlink ref="B277" r:id="rId551" display="https://www.fangraphs.com/players/ryan-ohearn/16442/stats" xr:uid="{603D2B13-B4A9-B04D-9E80-856287A1F774}"/>
    <hyperlink ref="C277" r:id="rId552" display="https://www.fangraphs.com/teams/pirates" xr:uid="{2C66439C-233F-1749-9FA6-3B718C9C1FA3}"/>
    <hyperlink ref="B278" r:id="rId553" display="https://www.fangraphs.com/players/parker-messick/31986/stats" xr:uid="{B0906722-B4E9-5242-8FA8-62F412011A14}"/>
    <hyperlink ref="C278" r:id="rId554" display="https://www.fangraphs.com/teams/guardians" xr:uid="{B7DAB3D7-DBA9-6D4B-9B50-0004741036C4}"/>
    <hyperlink ref="B279" r:id="rId555" display="https://www.fangraphs.com/players/kirby-yates/9073/stats" xr:uid="{DB768E1A-E193-7E40-9AC3-00BB1F484A96}"/>
    <hyperlink ref="C279" r:id="rId556" display="https://www.fangraphs.com/teams/angels" xr:uid="{BF5F456D-9FD6-7F43-A90D-24DFCD93D966}"/>
    <hyperlink ref="B280" r:id="rId557" display="https://www.fangraphs.com/players/zebby-matthews/31827/stats" xr:uid="{FA673D30-C9F1-EA4C-BEA5-DEA7792436C4}"/>
    <hyperlink ref="C280" r:id="rId558" display="https://www.fangraphs.com/teams/twins" xr:uid="{8E692FD7-AB56-8141-9AA9-E86A4E6678DA}"/>
    <hyperlink ref="B281" r:id="rId559" display="https://www.fangraphs.com/players/bailey-ober/21224/stats" xr:uid="{BE80F151-E04B-EC4C-B6EE-CA982559A2A7}"/>
    <hyperlink ref="C281" r:id="rId560" display="https://www.fangraphs.com/teams/twins" xr:uid="{9EB1A326-EBBA-6745-B7A4-AA47C4B140C5}"/>
    <hyperlink ref="B282" r:id="rId561" display="https://www.fangraphs.com/players/ryan-jeffers/24618/stats" xr:uid="{507AB04E-6C59-FC45-AE53-5181D200F0C9}"/>
    <hyperlink ref="C282" r:id="rId562" display="https://www.fangraphs.com/teams/twins" xr:uid="{36A1B771-9CB8-8047-A687-B5FCD10BC757}"/>
    <hyperlink ref="B283" r:id="rId563" display="https://www.fangraphs.com/players/cedric-mullins/17929/stats" xr:uid="{48975B39-627C-6D4B-9594-B3E3A849F787}"/>
    <hyperlink ref="C283" r:id="rId564" display="https://www.fangraphs.com/teams/rays" xr:uid="{2EFE89C8-FB5E-3149-8332-8DE36F9F1239}"/>
    <hyperlink ref="B284" r:id="rId565" display="https://www.fangraphs.com/players/clayton-beeter/27494/stats" xr:uid="{E4FC9DC0-EE09-2B47-8D4C-62DCC39E8F1A}"/>
    <hyperlink ref="C284" r:id="rId566" display="https://www.fangraphs.com/teams/nationals" xr:uid="{044F2E37-6757-D544-9BBD-A3E9221A9634}"/>
    <hyperlink ref="B285" r:id="rId567" display="https://www.fangraphs.com/players/miguel-vargas/20178/stats" xr:uid="{9F1B788D-301E-0748-AAD7-7F2486E35DB5}"/>
    <hyperlink ref="C285" r:id="rId568" display="https://www.fangraphs.com/teams/white-sox" xr:uid="{BE3BA6F8-D1D1-154E-8F2E-8FFA9EB1EB1A}"/>
    <hyperlink ref="B286" r:id="rId569" display="https://www.fangraphs.com/players/reid-detmers/27468/stats" xr:uid="{E2FB325F-DCA1-B24B-B7B5-A04AEE84FB70}"/>
    <hyperlink ref="C286" r:id="rId570" display="https://www.fangraphs.com/teams/angels" xr:uid="{B0D9A8CF-FE4E-4740-9335-B9B4871F9C4C}"/>
    <hyperlink ref="B287" r:id="rId571" display="https://www.fangraphs.com/players/jasson-dominguez/28080/stats" xr:uid="{087A50EA-5481-8947-8CFF-3BFCC527B108}"/>
    <hyperlink ref="C287" r:id="rId572" display="https://www.fangraphs.com/teams/yankees" xr:uid="{5F079337-2D84-F74A-BA2E-A314F40B4911}"/>
    <hyperlink ref="B288" r:id="rId573" display="https://www.fangraphs.com/players/spencer-steer/26323/stats" xr:uid="{89EE5BF0-45F2-EB46-90C5-19FAE7590286}"/>
    <hyperlink ref="C288" r:id="rId574" display="https://www.fangraphs.com/teams/reds" xr:uid="{76100647-3EE4-214A-BC63-D750D7EEDE31}"/>
    <hyperlink ref="B289" r:id="rId575" display="https://www.fangraphs.com/players/reynaldo-lopez/16400/stats" xr:uid="{02343D1F-6F87-114A-B17B-64F12C12894F}"/>
    <hyperlink ref="C289" r:id="rId576" display="https://www.fangraphs.com/teams/braves" xr:uid="{05D5DAE3-99DD-D141-9416-79D8671D7281}"/>
    <hyperlink ref="B290" r:id="rId577" display="https://www.fangraphs.com/players/ian-seymour/27932/stats" xr:uid="{FD2CADCA-FBF5-BD4F-9F72-1BD0D65EAA83}"/>
    <hyperlink ref="C290" r:id="rId578" display="https://www.fangraphs.com/teams/rays" xr:uid="{D9E0B759-55DB-E648-928D-847CAE86389B}"/>
    <hyperlink ref="B291" r:id="rId579" display="https://www.fangraphs.com/players/edwin-uceta/20539/stats" xr:uid="{23B223FD-A47B-DC44-B57B-C342569D5681}"/>
    <hyperlink ref="C291" r:id="rId580" display="https://www.fangraphs.com/teams/rays" xr:uid="{C409540C-4FB0-294D-BDD1-706BD8FBC614}"/>
    <hyperlink ref="B292" r:id="rId581" display="https://www.fangraphs.com/players/brady-singer/25377/stats" xr:uid="{B30F7662-860D-C648-BB10-37E9357BF8CF}"/>
    <hyperlink ref="C292" r:id="rId582" display="https://www.fangraphs.com/teams/reds" xr:uid="{FD9ED22E-3AAB-EB4A-9C26-439EFF4C9762}"/>
    <hyperlink ref="B293" r:id="rId583" display="https://www.fangraphs.com/players/chad-patrick/30113/stats" xr:uid="{6DD36925-CDFC-1742-ABDF-4BFF91B9FB36}"/>
    <hyperlink ref="C293" r:id="rId584" display="https://www.fangraphs.com/teams/brewers" xr:uid="{DA2A4CDC-786E-904A-821D-4E5417D6B440}"/>
    <hyperlink ref="B294" r:id="rId585" display="https://www.fangraphs.com/players/ernie-clement/20352/stats" xr:uid="{71E56CF8-FDE6-B344-A547-275AE51C4A92}"/>
    <hyperlink ref="C294" r:id="rId586" display="https://www.fangraphs.com/teams/blue-jays" xr:uid="{A903BEB2-3321-6E41-BE10-A51F845C27F8}"/>
    <hyperlink ref="B295" r:id="rId587" display="https://www.fangraphs.com/players/jung-hoo-lee/33824/stats" xr:uid="{FA979D2F-57FF-8847-96A2-E2E4FE39F9C2}"/>
    <hyperlink ref="C295" r:id="rId588" display="https://www.fangraphs.com/teams/giants" xr:uid="{CEEA39F3-E7A7-0B4A-B0AD-EC552D01F186}"/>
    <hyperlink ref="B296" r:id="rId589" display="https://www.fangraphs.com/players/andrew-vaughn/26197/stats" xr:uid="{582EBF98-9574-CB43-916F-431870F51A11}"/>
    <hyperlink ref="C296" r:id="rId590" display="https://www.fangraphs.com/teams/brewers" xr:uid="{30E108D3-220F-184F-B612-0BBADF9E7C0D}"/>
    <hyperlink ref="B297" r:id="rId591" display="https://www.fangraphs.com/players/tyler-mahle/16358/stats" xr:uid="{371614C6-57F0-DE4E-B71E-23E6E0574B95}"/>
    <hyperlink ref="C297" r:id="rId592" display="https://www.fangraphs.com/teams/giants" xr:uid="{F7E61C8F-B959-874D-AFB3-7B4F0A81DE5E}"/>
    <hyperlink ref="B298" r:id="rId593" display="https://www.fangraphs.com/players/pablo-lopez/17085/stats" xr:uid="{6986AF80-A5D6-CD41-B8AE-CF52C9542900}"/>
    <hyperlink ref="C298" r:id="rId594" display="https://www.fangraphs.com/teams/twins" xr:uid="{2FDDF5D0-4A32-974E-937E-46A506EA9754}"/>
    <hyperlink ref="B299" r:id="rId595" display="https://www.fangraphs.com/players/victor-scott-ii/31349/stats" xr:uid="{91BE942F-9E70-0C40-B244-E6F90F274549}"/>
    <hyperlink ref="C299" r:id="rId596" display="https://www.fangraphs.com/teams/cardinals" xr:uid="{40BBD456-7ED0-D246-BBEF-FCE51E0D38A7}"/>
    <hyperlink ref="B300" r:id="rId597" display="https://www.fangraphs.com/players/jordan-walker/27475/stats" xr:uid="{534B49A3-4367-8C44-B7D1-1FB071941A86}"/>
    <hyperlink ref="C300" r:id="rId598" display="https://www.fangraphs.com/teams/cardinals" xr:uid="{91F5C9B8-BDA8-9F43-AD09-32C9B78B9E41}"/>
    <hyperlink ref="B301" r:id="rId599" display="https://www.fangraphs.com/players/jose-soriano/22100/stats" xr:uid="{AD793124-A956-B747-BD07-7ECA1D012884}"/>
    <hyperlink ref="C301" r:id="rId600" display="https://www.fangraphs.com/teams/angels" xr:uid="{E5F67F25-777F-754E-882E-57C56DE786BB}"/>
    <hyperlink ref="B302" r:id="rId601" display="https://www.fangraphs.com/players/matt-wallner/26466/stats" xr:uid="{5553F61D-CF2C-5445-A262-D2D891FB76FE}"/>
    <hyperlink ref="C302" r:id="rId602" display="https://www.fangraphs.com/teams/twins" xr:uid="{1D39154B-8FD1-454A-B864-61788D601BD8}"/>
    <hyperlink ref="B303" r:id="rId603" display="https://www.fangraphs.com/players/harrison-bader/18030/stats" xr:uid="{FE7F5702-669D-8846-8ED6-C6A4CB589A7E}"/>
    <hyperlink ref="C303" r:id="rId604" display="https://www.fangraphs.com/teams/giants" xr:uid="{2F8AA7B1-C164-974C-B150-CC2DEBB8C246}"/>
    <hyperlink ref="B304" r:id="rId605" display="https://www.fangraphs.com/players/cade-cavalli/27473/stats" xr:uid="{46E1416E-3A15-E74A-9B08-56CC83DFA00E}"/>
    <hyperlink ref="C304" r:id="rId606" display="https://www.fangraphs.com/teams/nationals" xr:uid="{E36F54FC-BF7B-4C4F-8453-A7021832FEEC}"/>
    <hyperlink ref="B305" r:id="rId607" display="https://www.fangraphs.com/players/jameson-taillon/11674/stats" xr:uid="{D02469BB-D61C-6F48-A289-C5E22975D252}"/>
    <hyperlink ref="C305" r:id="rId608" display="https://www.fangraphs.com/teams/cubs" xr:uid="{5FBA3A1A-B049-E34C-A0D7-25BD987C3D23}"/>
    <hyperlink ref="B306" r:id="rId609" display="https://www.fangraphs.com/players/marcell-ozuna/10324/stats" xr:uid="{45078776-D988-F74D-B286-74A8B8D210E3}"/>
    <hyperlink ref="C306" r:id="rId610" display="https://www.fangraphs.com/teams/pirates" xr:uid="{24A815C5-B344-7F47-BB2B-1CBABE91F49C}"/>
    <hyperlink ref="B307" r:id="rId611" display="https://www.fangraphs.com/players/clay-holmes/13649/stats" xr:uid="{290EA9BD-56E3-514F-AD58-1A65A7AABB6A}"/>
    <hyperlink ref="C307" r:id="rId612" display="https://www.fangraphs.com/teams/mets" xr:uid="{27551C29-0302-DF40-B7B4-B3631F31A85C}"/>
    <hyperlink ref="B308" r:id="rId613" display="https://www.fangraphs.com/players/cam-smith/35108/stats" xr:uid="{2D36E64C-4215-1548-98CE-55DB50D0731C}"/>
    <hyperlink ref="C308" r:id="rId614" display="https://www.fangraphs.com/teams/astros" xr:uid="{DF4FE72F-CFE1-5F47-BA79-1280F8979897}"/>
    <hyperlink ref="B309" r:id="rId615" display="https://www.fangraphs.com/players/robert-stephenson/13594/stats" xr:uid="{0E4D4FF0-38B1-7545-8D2D-06A89DF70CD7}"/>
    <hyperlink ref="C309" r:id="rId616" display="https://www.fangraphs.com/teams/angels" xr:uid="{B3804816-984F-824C-8FFF-F6DDCDFF3800}"/>
    <hyperlink ref="B310" r:id="rId617" display="https://www.fangraphs.com/players/jordan-lawlar/29976/stats" xr:uid="{DE6C9CF8-038A-A545-9441-82E3F7D9B643}"/>
    <hyperlink ref="C310" r:id="rId618" display="https://www.fangraphs.com/teams/diamondbacks" xr:uid="{A7590790-7896-2748-90F6-51078E3AE11E}"/>
    <hyperlink ref="B311" r:id="rId619" display="https://www.fangraphs.com/players/troy-melton/31807/stats" xr:uid="{89709944-1D43-D646-A064-4FBC2332D528}"/>
    <hyperlink ref="C311" r:id="rId620" display="https://www.fangraphs.com/teams/tigers" xr:uid="{72C1F09A-A790-B04B-B8BA-B71311A75019}"/>
    <hyperlink ref="B312" r:id="rId621" display="https://www.fangraphs.com/players/mark-vientos/22184/stats" xr:uid="{F3EF4599-EB76-864D-A5C6-DABFB5AE6DE4}"/>
    <hyperlink ref="C312" r:id="rId622" display="https://www.fangraphs.com/teams/mets" xr:uid="{810C8BAE-AA80-8347-B20C-2B3385FABD3F}"/>
    <hyperlink ref="B313" r:id="rId623" display="https://www.fangraphs.com/players/taylor-rogers/13449/stats" xr:uid="{1A06D121-1D89-B94F-8C23-E038A8600EF8}"/>
    <hyperlink ref="C313" r:id="rId624" display="https://www.fangraphs.com/teams/twins" xr:uid="{DFD313F1-7A78-2147-8509-4B920035625B}"/>
    <hyperlink ref="B314" r:id="rId625" display="https://www.fangraphs.com/players/brayan-bello/23920/stats" xr:uid="{DCDE0622-4E91-CB40-97E6-008984940559}"/>
    <hyperlink ref="C314" r:id="rId626" display="https://www.fangraphs.com/teams/red-sox" xr:uid="{6B301D15-FA95-C74A-8484-6302F242431D}"/>
    <hyperlink ref="B315" r:id="rId627" display="https://www.fangraphs.com/players/will-warren/30182/stats" xr:uid="{22D94990-E959-A64A-8FB7-9375D0E2CA38}"/>
    <hyperlink ref="C315" r:id="rId628" display="https://www.fangraphs.com/teams/yankees" xr:uid="{7D54E49F-1CD8-814B-AA51-9CF6ADAA6F7C}"/>
    <hyperlink ref="B316" r:id="rId629" display="https://www.fangraphs.com/players/spencer-schwellenbach/31846/stats" xr:uid="{4CFC6941-3A2D-D84C-B770-2844AA8AB309}"/>
    <hyperlink ref="C316" r:id="rId630" display="https://www.fangraphs.com/teams/braves" xr:uid="{888F79F5-D7A1-AE44-9D5F-7091DBFF2ED2}"/>
    <hyperlink ref="B317" r:id="rId631" display="https://www.fangraphs.com/players/hurston-waldrep/33527/stats" xr:uid="{8058AC75-B6AD-6B41-9058-4760119B23BE}"/>
    <hyperlink ref="C317" r:id="rId632" display="https://www.fangraphs.com/teams/braves" xr:uid="{051497EA-4E59-C049-9568-D3D468942796}"/>
    <hyperlink ref="B318" r:id="rId633" display="https://www.fangraphs.com/players/andres-gimenez/19950/stats" xr:uid="{AAD05708-99D1-274B-9A10-9DB1FA3F6146}"/>
    <hyperlink ref="C318" r:id="rId634" display="https://www.fangraphs.com/teams/blue-jays" xr:uid="{1D286479-84A1-D54D-8C75-A4C042035E8F}"/>
    <hyperlink ref="B319" r:id="rId635" display="https://www.fangraphs.com/players/dylan-beavers/31695/stats" xr:uid="{A34EA2C2-15EF-D140-9363-47B4A7C28232}"/>
    <hyperlink ref="C319" r:id="rId636" display="https://www.fangraphs.com/teams/orioles" xr:uid="{778DA9DE-877C-B440-8715-BB3971861082}"/>
    <hyperlink ref="B320" r:id="rId637" display="https://www.fangraphs.com/players/justin-steele/17312/stats" xr:uid="{65D16951-9423-8A46-8844-331E9D429387}"/>
    <hyperlink ref="C320" r:id="rId638" display="https://www.fangraphs.com/teams/cubs" xr:uid="{E23608D9-E776-A444-A450-52F96B933F7B}"/>
    <hyperlink ref="B321" r:id="rId639" display="https://www.fangraphs.com/players/justin-sterner/27694/stats" xr:uid="{58FADC29-FF7C-BB47-9FE2-506D7ADF9C4F}"/>
    <hyperlink ref="C321" r:id="rId640" display="https://www.fangraphs.com/teams/athletics" xr:uid="{BBF5158F-43BC-F147-9B7A-B2DBAC9F59D9}"/>
    <hyperlink ref="B322" r:id="rId641" display="https://www.fangraphs.com/players/luis-gil/21052/stats" xr:uid="{CF03994E-BB96-344F-98BB-6CD4F91760C4}"/>
    <hyperlink ref="C322" r:id="rId642" display="https://www.fangraphs.com/teams/yankees" xr:uid="{4B78B03F-46E7-404E-88E1-5E9C275FF1D1}"/>
    <hyperlink ref="B323" r:id="rId643" display="https://www.fangraphs.com/players/victor-vodnik/24614/stats" xr:uid="{8E1D6FD4-BAF8-D642-B2D2-7A3190CC8087}"/>
    <hyperlink ref="C323" r:id="rId644" display="https://www.fangraphs.com/teams/rockies" xr:uid="{30BC7B25-4165-7D48-AD6C-A3B4A128E549}"/>
    <hyperlink ref="B324" r:id="rId645" display="https://www.fangraphs.com/players/jacob-lopez/25098/stats" xr:uid="{C13B371A-694D-4645-9899-6A254CE164E6}"/>
    <hyperlink ref="C324" r:id="rId646" display="https://www.fangraphs.com/teams/athletics" xr:uid="{3161CF0B-09C2-3244-B702-5EB241E5F519}"/>
    <hyperlink ref="B325" r:id="rId647" display="https://www.fangraphs.com/players/josh-jung/26299/stats" xr:uid="{D4D2AB4C-FCCF-F746-B564-D964780B45BD}"/>
    <hyperlink ref="C325" r:id="rId648" display="https://www.fangraphs.com/teams/rangers" xr:uid="{DD36E62B-7433-FE4C-9A30-D7C9A885A985}"/>
    <hyperlink ref="B326" r:id="rId649" display="https://www.fangraphs.com/players/colt-keith/27899/stats" xr:uid="{A59FC502-A213-9D48-AF7E-0DF927ADC4A2}"/>
    <hyperlink ref="C326" r:id="rId650" display="https://www.fangraphs.com/teams/tigers" xr:uid="{73E42D0A-484D-744B-949B-6C09966F25AB}"/>
    <hyperlink ref="B327" r:id="rId651" display="https://www.fangraphs.com/players/chris-bassitt/12304/stats" xr:uid="{61145850-14D1-A240-9649-B5DC7EBF17A7}"/>
    <hyperlink ref="C327" r:id="rId652" display="https://www.fangraphs.com/teams/orioles" xr:uid="{2EC95676-0E19-EC4C-94D2-B55B83637B26}"/>
    <hyperlink ref="B328" r:id="rId653" display="https://www.fangraphs.com/players/lenyn-sosa/22896/stats" xr:uid="{D588F5BB-80FA-F446-9D73-C57CB3019940}"/>
    <hyperlink ref="C328" r:id="rId654" display="https://www.fangraphs.com/teams/white-sox" xr:uid="{42381D67-6495-D449-8196-3B5BC01AD71F}"/>
    <hyperlink ref="B329" r:id="rId655" display="https://www.fangraphs.com/players/seth-lugo/12447/stats" xr:uid="{EB0D7E6E-B78D-524A-8B4D-02A2A86DA9E6}"/>
    <hyperlink ref="C329" r:id="rId656" display="https://www.fangraphs.com/teams/royals" xr:uid="{F0C9C9EE-7E2E-E446-87BA-F778725F1515}"/>
    <hyperlink ref="B330" r:id="rId657" display="https://www.fangraphs.com/players/david-peterson/20302/stats" xr:uid="{84A87DED-DDF6-A543-A5E1-902BEDF62CAF}"/>
    <hyperlink ref="C330" r:id="rId658" display="https://www.fangraphs.com/teams/mets" xr:uid="{5F066AB1-1AC4-D449-99EE-F6AE75D022B3}"/>
    <hyperlink ref="B331" r:id="rId659" display="https://www.fangraphs.com/players/will-vest/19769/stats" xr:uid="{BF3B017C-1AB2-0340-A855-7578D5565E90}"/>
    <hyperlink ref="C331" r:id="rId660" display="https://www.fangraphs.com/teams/tigers" xr:uid="{3149FE75-FE28-1346-BDB6-EB248DC3DFA4}"/>
    <hyperlink ref="B332" r:id="rId661" display="https://www.fangraphs.com/players/grant-taylor/33927/stats" xr:uid="{5B9EECE7-2BF2-A142-ABAD-72795D2BDA12}"/>
    <hyperlink ref="C332" r:id="rId662" display="https://www.fangraphs.com/teams/white-sox" xr:uid="{249BCDDE-B5A4-0C4F-A13D-86F3493DA9EB}"/>
    <hyperlink ref="B333" r:id="rId663" display="https://www.fangraphs.com/players/cristian-javier/17606/stats" xr:uid="{7B8C7F12-92D0-5948-8865-5C2A8B6AE6F6}"/>
    <hyperlink ref="C333" r:id="rId664" display="https://www.fangraphs.com/teams/astros" xr:uid="{404B24F2-9D96-A64C-A5D2-E1A0FEBA0944}"/>
    <hyperlink ref="B334" r:id="rId665" display="https://www.fangraphs.com/players/yusei-kikuchi/20633/stats" xr:uid="{98C094F4-8BB8-1D42-8A60-738EBEB69233}"/>
    <hyperlink ref="C334" r:id="rId666" display="https://www.fangraphs.com/teams/angels" xr:uid="{5CBE1383-9923-F74C-A127-BF7C7A6E854D}"/>
    <hyperlink ref="B335" r:id="rId667" display="https://www.fangraphs.com/players/luisangel-acuna/26548/stats" xr:uid="{67B99A02-DD2E-0E4A-9507-CB46FC74A6B6}"/>
    <hyperlink ref="C335" r:id="rId668" display="https://www.fangraphs.com/teams/white-sox" xr:uid="{0C7258CF-D289-6347-8FA7-B0DF1B4079E1}"/>
    <hyperlink ref="B336" r:id="rId669" display="https://www.fangraphs.com/players/simeon-woods-richardson/24494/stats" xr:uid="{89801460-8337-444E-B25B-50A503C8CFF3}"/>
    <hyperlink ref="C336" r:id="rId670" display="https://www.fangraphs.com/teams/twins" xr:uid="{D1D9F7FB-E7A0-2849-8217-4BDE6D01428D}"/>
    <hyperlink ref="B337" r:id="rId671" display="https://www.fangraphs.com/players/jojo-romero/19574/stats" xr:uid="{34099FE1-E93C-D249-80AC-AB87509A0D69}"/>
    <hyperlink ref="C337" r:id="rId672" display="https://www.fangraphs.com/teams/cardinals" xr:uid="{D0F2F987-25EC-C549-B21C-6AB19B2A32B0}"/>
    <hyperlink ref="B338" r:id="rId673" display="https://www.fangraphs.com/players/zach-mckinstry/19392/stats" xr:uid="{4EECA884-79D6-7E45-924A-E61873969F42}"/>
    <hyperlink ref="C338" r:id="rId674" display="https://www.fangraphs.com/teams/tigers" xr:uid="{FA7EE07F-071B-2C44-B996-73BB6D926F78}"/>
    <hyperlink ref="B339" r:id="rId675" display="https://www.fangraphs.com/players/zach-mckinstry/19392/stats" xr:uid="{68FA1559-7E80-4F44-92B5-78FDA332A611}"/>
    <hyperlink ref="C339" r:id="rId676" display="https://www.fangraphs.com/teams/tigers" xr:uid="{6BEEFEA7-862C-E142-B021-AA11F4F1229F}"/>
    <hyperlink ref="B340" r:id="rId677" display="https://www.fangraphs.com/players/anthony-santander/14551/stats" xr:uid="{6437D417-145E-FF42-9E5D-F9CC07C82E70}"/>
    <hyperlink ref="C340" r:id="rId678" display="https://www.fangraphs.com/teams/blue-jays" xr:uid="{C5ED19C1-7CD4-774E-B362-9D959D8D80EC}"/>
    <hyperlink ref="B341" r:id="rId679" display="https://www.fangraphs.com/players/isaac-collins/25477/stats" xr:uid="{CA969636-AB48-FD4C-9ED8-4DD5DA31A1AE}"/>
    <hyperlink ref="C341" r:id="rId680" display="https://www.fangraphs.com/teams/royals" xr:uid="{24E93E89-2FA0-0146-A675-942A01BED147}"/>
    <hyperlink ref="B342" r:id="rId681" display="https://www.fangraphs.com/players/max-meyer/27474/stats" xr:uid="{19E13FD6-FABC-A041-8E43-AC2B9774DB71}"/>
    <hyperlink ref="C342" r:id="rId682" display="https://www.fangraphs.com/teams/marlins" xr:uid="{5CDA158D-A22A-FC4C-BC5C-637E14F9703A}"/>
    <hyperlink ref="B343" r:id="rId683" display="https://www.fangraphs.com/players/jonah-tong/32157/stats" xr:uid="{B4ABCEB2-2AF2-6748-9B36-9054ACC20F7F}"/>
    <hyperlink ref="C343" r:id="rId684" display="https://www.fangraphs.com/teams/mets" xr:uid="{CAE0DE71-2406-294A-98DE-D8D3C50C9277}"/>
    <hyperlink ref="B344" r:id="rId685" display="https://www.fangraphs.com/players/kyle-finnegan/15009/stats" xr:uid="{9EA1BED7-E619-EB47-8A9C-B00A2862F22E}"/>
    <hyperlink ref="C344" r:id="rId686" display="https://www.fangraphs.com/teams/tigers" xr:uid="{EB171D99-1A2D-4E4C-9CFB-415FF12122E7}"/>
    <hyperlink ref="B345" r:id="rId687" display="https://www.fangraphs.com/players/nolan-schanuel/33189/stats" xr:uid="{2FAF5CE0-49C8-F246-B53F-7A8B142874B9}"/>
    <hyperlink ref="C345" r:id="rId688" display="https://www.fangraphs.com/teams/angels" xr:uid="{F7AACDF5-4748-D244-8360-E984290FB70A}"/>
    <hyperlink ref="B346" r:id="rId689" display="https://www.fangraphs.com/players/jordan-leasure/29950/stats" xr:uid="{50E5EC6A-7A7A-B442-BBD2-62CA7FE115AF}"/>
    <hyperlink ref="C346" r:id="rId690" display="https://www.fangraphs.com/teams/white-sox" xr:uid="{45681E5D-92A6-0745-AF6B-31DEEA0AEC49}"/>
    <hyperlink ref="B347" r:id="rId691" display="https://www.fangraphs.com/players/carlos-narvaez/19722/stats" xr:uid="{80917E21-9C81-A145-A517-0B817D13D4F6}"/>
    <hyperlink ref="C347" r:id="rId692" display="https://www.fangraphs.com/teams/red-sox" xr:uid="{0093F1D5-AC08-C146-B76C-4F9739E2187B}"/>
    <hyperlink ref="B348" r:id="rId693" display="https://www.fangraphs.com/players/dominic-canzone/26438/stats" xr:uid="{B5785FCD-21E0-6748-839C-27674248AC36}"/>
    <hyperlink ref="C348" r:id="rId694" display="https://www.fangraphs.com/teams/mariners" xr:uid="{7A42943B-38E8-034D-BEC0-A2391125D69B}"/>
    <hyperlink ref="B349" r:id="rId695" display="https://www.fangraphs.com/players/grant-holmes/16944/stats" xr:uid="{FC921BE6-8D66-7C47-B706-BEB9132F7773}"/>
    <hyperlink ref="C349" r:id="rId696" display="https://www.fangraphs.com/teams/braves" xr:uid="{6E7448A4-9ABC-6545-8625-14290C2E61A9}"/>
    <hyperlink ref="B350" r:id="rId697" display="https://www.fangraphs.com/players/tommy-edman/19470/stats" xr:uid="{36D36985-8B4C-F648-9702-BADA2D999DF6}"/>
    <hyperlink ref="C350" r:id="rId698" display="https://www.fangraphs.com/teams/dodgers" xr:uid="{0715E6A9-EE6B-654E-934F-7EFC44827236}"/>
    <hyperlink ref="B351" r:id="rId699" display="https://www.fangraphs.com/players/jesus-sanchez/19913/stats" xr:uid="{88C06943-A453-2048-9501-BADA2A52E5B6}"/>
    <hyperlink ref="C351" r:id="rId700" display="https://www.fangraphs.com/teams/blue-jays" xr:uid="{0B873023-9DDB-1A4E-8C81-EB4A8CFAB517}"/>
    <hyperlink ref="B352" r:id="rId701" display="https://www.fangraphs.com/players/chase-meidroth/31580/stats" xr:uid="{1578D92C-3BD2-A243-8C51-DA20324F72B1}"/>
    <hyperlink ref="C352" r:id="rId702" display="https://www.fangraphs.com/teams/white-sox" xr:uid="{94B42CB3-1336-6F4A-B8C8-FE09800396F8}"/>
    <hyperlink ref="B353" r:id="rId703" display="https://www.fangraphs.com/players/edgar-quero/28022/stats" xr:uid="{AB591258-830B-CD48-9553-16B319F1F35E}"/>
    <hyperlink ref="C353" r:id="rId704" display="https://www.fangraphs.com/teams/white-sox" xr:uid="{53881FD9-2BAC-8B48-BAB0-CEDF2B7DDF29}"/>
    <hyperlink ref="B354" r:id="rId705" display="https://www.fangraphs.com/players/brooks-lee/31595/stats" xr:uid="{09233BB2-DA0B-AA4F-B941-A30155D17A40}"/>
    <hyperlink ref="C354" r:id="rId706" display="https://www.fangraphs.com/teams/twins" xr:uid="{DF324013-D155-9D41-81F9-73AFA1B47977}"/>
    <hyperlink ref="B355" r:id="rId707" display="https://www.fangraphs.com/players/josh-smith/26396/stats" xr:uid="{2E30BFED-81D3-134B-991D-7589F2C57B8D}"/>
    <hyperlink ref="C355" r:id="rId708" display="https://www.fangraphs.com/teams/rangers" xr:uid="{37F69C4F-D599-0E48-B75F-EEEF37C455F3}"/>
    <hyperlink ref="B356" r:id="rId709" display="https://www.fangraphs.com/players/lucas-giolito/15474/stats" xr:uid="{DC4FD390-6F85-D44A-9AD8-443BA5AFB0BD}"/>
    <hyperlink ref="B357" r:id="rId710" display="https://www.fangraphs.com/players/mitch-keller/17594/stats" xr:uid="{65315286-F8D3-6E48-B886-7B0A583D1F2C}"/>
    <hyperlink ref="C357" r:id="rId711" display="https://www.fangraphs.com/teams/pirates" xr:uid="{BD2E48ED-62B5-8947-8D3B-462AE6CB18E1}"/>
    <hyperlink ref="B358" r:id="rId712" display="https://www.fangraphs.com/players/johan-oviedo/22487/stats" xr:uid="{1F8A5BBF-2EAA-2E47-B3B4-13F152C2E8BB}"/>
    <hyperlink ref="C358" r:id="rId713" display="https://www.fangraphs.com/teams/red-sox" xr:uid="{6363024F-2543-FF49-8662-6ADF9028F205}"/>
    <hyperlink ref="B359" r:id="rId714" display="https://www.fangraphs.com/players/jeff-mcneil/15362/stats" xr:uid="{E8EB570F-A286-D346-9525-32DFC6ED3EE3}"/>
    <hyperlink ref="C359" r:id="rId715" display="https://www.fangraphs.com/teams/athletics" xr:uid="{F70DEB4E-1598-8649-A330-D734CD4F7F14}"/>
    <hyperlink ref="B360" r:id="rId716" display="https://www.fangraphs.com/players/reese-olson/24968/stats" xr:uid="{A1217EE2-76D0-7946-95D3-812A3DF84925}"/>
    <hyperlink ref="C360" r:id="rId717" display="https://www.fangraphs.com/teams/tigers" xr:uid="{D11C38B4-23EB-1644-9FA6-664A374EB2EF}"/>
    <hyperlink ref="B361" r:id="rId718" display="https://www.fangraphs.com/players/carson-kelly/13620/stats" xr:uid="{20F90849-9FFA-8C46-B9A6-05232E39144F}"/>
    <hyperlink ref="C361" r:id="rId719" display="https://www.fangraphs.com/teams/cubs" xr:uid="{20DEDFD4-0E82-134E-938A-FB4FBD0567AF}"/>
    <hyperlink ref="B362" r:id="rId720" display="https://www.fangraphs.com/players/jonathan-india/21523/stats" xr:uid="{5392E779-A72B-3E42-9FF7-F23AFAFD0F54}"/>
    <hyperlink ref="C362" r:id="rId721" display="https://www.fangraphs.com/teams/royals" xr:uid="{DDAA00DE-11F7-9347-9DCD-BAE13E5A03AE}"/>
    <hyperlink ref="B363" r:id="rId722" display="https://www.fangraphs.com/players/tony-santillan/19926/stats" xr:uid="{2ADE6B19-2C0F-A547-B3A0-27F802B8D3B2}"/>
    <hyperlink ref="C363" r:id="rId723" display="https://www.fangraphs.com/teams/reds" xr:uid="{42E01629-822C-0044-8776-FC6557ADAE39}"/>
    <hyperlink ref="B364" r:id="rId724" display="https://www.fangraphs.com/players/payton-tolle/35466/stats" xr:uid="{703977C3-CF86-CC49-95EA-510EAAE3906F}"/>
    <hyperlink ref="C364" r:id="rId725" display="https://www.fangraphs.com/teams/red-sox" xr:uid="{9419223A-DA39-1B42-BD83-755CC8755BAE}"/>
    <hyperlink ref="B365" r:id="rId726" display="https://www.fangraphs.com/players/jeremiah-estrada/22210/stats" xr:uid="{856286CD-2CF2-1242-8986-31BE624F1939}"/>
    <hyperlink ref="C365" r:id="rId727" display="https://www.fangraphs.com/teams/padres" xr:uid="{96EF79B6-8D71-E042-BCD2-B1913BB7BED9}"/>
    <hyperlink ref="B366" r:id="rId728" display="https://www.fangraphs.com/players/garrett-cleavinger/17897/stats" xr:uid="{09F4C337-8395-8446-80B2-C932A58BB416}"/>
    <hyperlink ref="C366" r:id="rId729" display="https://www.fangraphs.com/teams/rays" xr:uid="{DCB7715C-E988-9B42-85D8-9726C423F2AF}"/>
    <hyperlink ref="B367" r:id="rId730" display="https://www.fangraphs.com/players/victor-robles/18363/stats" xr:uid="{C4A5F7DA-3448-5D47-B68D-145A2C38A18E}"/>
    <hyperlink ref="C367" r:id="rId731" display="https://www.fangraphs.com/teams/mariners" xr:uid="{83B30C8A-992E-6A42-9CBB-99E92DD403DE}"/>
    <hyperlink ref="B368" r:id="rId732" display="https://www.fangraphs.com/players/austin-hays/19363/stats" xr:uid="{DFD6D858-3A89-4245-A598-3489A2400E06}"/>
    <hyperlink ref="C368" r:id="rId733" display="https://www.fangraphs.com/teams/white-sox" xr:uid="{8BFEF3A4-8CD6-264F-B886-D7AE6BA2389E}"/>
    <hyperlink ref="B369" r:id="rId734" display="https://www.fangraphs.com/players/taj-bradley/22543/stats" xr:uid="{2530112B-771A-CA48-B8EB-4ACC34FCF171}"/>
    <hyperlink ref="C369" r:id="rId735" display="https://www.fangraphs.com/teams/twins" xr:uid="{578B47C5-799A-864B-8F05-8B7F99EFE1DB}"/>
    <hyperlink ref="B370" r:id="rId736" display="https://www.fangraphs.com/players/paul-sewald/13892/stats" xr:uid="{87800ECA-B9F9-C149-9080-CCB58F13246B}"/>
    <hyperlink ref="C370" r:id="rId737" display="https://www.fangraphs.com/teams/diamondbacks" xr:uid="{A4FB0052-73BC-9445-A6AF-BFCF54FF05E0}"/>
    <hyperlink ref="B371" r:id="rId738" display="https://www.fangraphs.com/players/spencer-arrighetti/29921/stats" xr:uid="{6A61596C-EECA-0D49-A9E5-C06AD496ABBA}"/>
    <hyperlink ref="C371" r:id="rId739" display="https://www.fangraphs.com/teams/astros" xr:uid="{143B4CC0-8A0F-784A-8CF9-616F7CBE269E}"/>
    <hyperlink ref="B372" r:id="rId740" display="https://www.fangraphs.com/players/nick-castellanos/11737/stats" xr:uid="{323F093D-A3F0-2E46-81B5-A82D3DAD3347}"/>
    <hyperlink ref="C372" r:id="rId741" display="https://www.fangraphs.com/teams/padres" xr:uid="{CA0F1786-F658-1C49-AAA2-AC047428C065}"/>
    <hyperlink ref="B373" r:id="rId742" display="https://www.fangraphs.com/players/bo-naylor/21865/stats" xr:uid="{585D0633-E797-B04A-89EC-ABFCB7F61C68}"/>
    <hyperlink ref="C373" r:id="rId743" display="https://www.fangraphs.com/teams/guardians" xr:uid="{D7F15E34-1788-4844-BA94-97A6BF002CDE}"/>
    <hyperlink ref="B374" r:id="rId744" display="https://www.fangraphs.com/players/moises-ballesteros/28820/stats" xr:uid="{61E8594B-9A25-A244-8128-CA55FDA9CD0D}"/>
    <hyperlink ref="C374" r:id="rId745" display="https://www.fangraphs.com/teams/cubs" xr:uid="{80940842-A107-5240-86DF-75879FCE95A4}"/>
    <hyperlink ref="B375" r:id="rId746" display="https://www.fangraphs.com/players/owen-caissie/27496/stats" xr:uid="{45CF0341-2E06-5549-92A5-E3B8751AD73A}"/>
    <hyperlink ref="C375" r:id="rId747" display="https://www.fangraphs.com/teams/marlins" xr:uid="{55496287-E4B7-3146-AE91-A31E9FA4F2A5}"/>
    <hyperlink ref="B376" r:id="rId748" display="https://www.fangraphs.com/players/marcelo-mayer/29668/stats" xr:uid="{830A35BA-8C79-B54E-BF9F-EC5EFE879DD2}"/>
    <hyperlink ref="C376" r:id="rId749" display="https://www.fangraphs.com/teams/red-sox" xr:uid="{EF718814-32FE-5B48-B63A-847633C3D105}"/>
    <hyperlink ref="B377" r:id="rId750" display="https://www.fangraphs.com/players/nolan-gorman/22263/stats" xr:uid="{A14815EC-39EB-DD4B-9BE1-864704C7E412}"/>
    <hyperlink ref="C377" r:id="rId751" display="https://www.fangraphs.com/teams/cardinals" xr:uid="{7F06AD15-437B-8942-833C-038DACF3EB81}"/>
    <hyperlink ref="B378" r:id="rId752" display="https://www.fangraphs.com/players/jake-mangum/26202/stats" xr:uid="{7FBF7983-5E91-7C4D-A924-2EF67C1E0E47}"/>
    <hyperlink ref="C378" r:id="rId753" display="https://www.fangraphs.com/teams/pirates" xr:uid="{57622B50-4D01-CB43-8659-9F67A0E37BBB}"/>
    <hyperlink ref="B379" r:id="rId754" display="https://www.fangraphs.com/players/kevin-ginkel/19876/stats" xr:uid="{15862620-50F2-F849-B5AB-A8958C6587CC}"/>
    <hyperlink ref="C379" r:id="rId755" display="https://www.fangraphs.com/teams/diamondbacks" xr:uid="{CA551980-D03E-7A45-AC3B-A58DDE5072BC}"/>
    <hyperlink ref="B380" r:id="rId756" display="https://www.fangraphs.com/players/luis-morales/32227/stats" xr:uid="{DE3246C8-927C-244F-A532-BCBEB9065C32}"/>
    <hyperlink ref="C380" r:id="rId757" display="https://www.fangraphs.com/teams/athletics" xr:uid="{CB3F5056-BDAD-774C-AEC1-77E666A65DD9}"/>
    <hyperlink ref="B381" r:id="rId758" display="https://www.fangraphs.com/players/anthony-volpe/27647/stats" xr:uid="{611F2479-F2F0-9C4C-955B-2F60F90322D3}"/>
    <hyperlink ref="C381" r:id="rId759" display="https://www.fangraphs.com/teams/yankees" xr:uid="{7A43EB4E-D704-C644-810C-D1A539C96A86}"/>
    <hyperlink ref="B382" r:id="rId760" display="https://www.fangraphs.com/players/jake-mccarthy/21622/stats" xr:uid="{9B1BC448-8AB8-724C-890F-27198AB7D73F}"/>
    <hyperlink ref="C382" r:id="rId761" display="https://www.fangraphs.com/teams/rockies" xr:uid="{2BC171D4-32E9-7144-9900-0A34C2BA03B4}"/>
    <hyperlink ref="B383" r:id="rId762" display="https://www.fangraphs.com/players/michael-wacha/14078/stats" xr:uid="{A9EE8D8A-13BD-0B44-95AF-1C1842A77B41}"/>
    <hyperlink ref="C383" r:id="rId763" display="https://www.fangraphs.com/teams/royals" xr:uid="{A2C48BF4-A6AD-EA4B-B09B-7527CF36FA8B}"/>
    <hyperlink ref="B384" r:id="rId764" display="https://www.fangraphs.com/players/dustin-may/19716/stats" xr:uid="{53010FD2-C847-2541-9C3E-75991FD93869}"/>
    <hyperlink ref="C384" r:id="rId765" display="https://www.fangraphs.com/teams/cardinals" xr:uid="{ECDFE79F-D66F-594E-8DFF-6BB7120061C1}"/>
    <hyperlink ref="B385" r:id="rId766" display="https://www.fangraphs.com/players/luis-rengifo/19858/stats" xr:uid="{BADFDB75-7E8C-F249-A049-45D28F7B5E82}"/>
    <hyperlink ref="C385" r:id="rId767" display="https://www.fangraphs.com/teams/brewers" xr:uid="{08176D9D-310D-D44E-8572-FA49A24AB8B3}"/>
    <hyperlink ref="B386" r:id="rId768" display="https://www.fangraphs.com/players/harry-ford/29958/stats" xr:uid="{74748CA5-46A6-4F47-AB2B-4B1FFA81FFE6}"/>
    <hyperlink ref="C386" r:id="rId769" display="https://www.fangraphs.com/teams/nationals" xr:uid="{1D1B277B-663D-D446-A8B9-6FC28DB8D3B5}"/>
    <hyperlink ref="B387" r:id="rId770" display="https://www.fangraphs.com/players/josh-bell/13145/stats" xr:uid="{6F7CC42E-3157-1646-9E6D-3B09B6C29D95}"/>
    <hyperlink ref="C387" r:id="rId771" display="https://www.fangraphs.com/teams/twins" xr:uid="{0FB09610-A1FD-744A-A761-F26F1305FD03}"/>
    <hyperlink ref="B388" r:id="rId772" display="https://www.fangraphs.com/players/gavin-sheets/19901/stats" xr:uid="{59C0ED77-D98C-994C-9BDB-38C4F1D7BFDD}"/>
    <hyperlink ref="C388" r:id="rId773" display="https://www.fangraphs.com/teams/padres" xr:uid="{5F8838A5-4ABC-A145-A5CF-BE95BF1C7618}"/>
    <hyperlink ref="B389" r:id="rId774" display="https://www.fangraphs.com/players/garrett-whitlock/20191/stats" xr:uid="{017A58B1-124D-D24B-A34A-40B5BFF02B53}"/>
    <hyperlink ref="C389" r:id="rId775" display="https://www.fangraphs.com/teams/red-sox" xr:uid="{CF5DED69-DD7B-284A-A8F6-1E40F8A8BD1B}"/>
    <hyperlink ref="B390" r:id="rId776" display="https://www.fangraphs.com/players/chris-martin/11847/stats" xr:uid="{BEB26F91-8F6D-2E4F-9887-2322162730AF}"/>
    <hyperlink ref="C390" r:id="rId777" display="https://www.fangraphs.com/teams/rangers" xr:uid="{ABB0E94F-C987-F44E-88CA-CB291D382C94}"/>
    <hyperlink ref="B391" r:id="rId778" display="https://www.fangraphs.com/players/michael-soroka/18383/stats" xr:uid="{B58D3D0B-652F-7A4D-B9DB-41B196C2350C}"/>
    <hyperlink ref="C391" r:id="rId779" display="https://www.fangraphs.com/teams/diamondbacks" xr:uid="{690BA351-3EC0-5441-A4F0-433D4F636F56}"/>
    <hyperlink ref="B392" r:id="rId780" display="https://www.fangraphs.com/players/sean-murphy/19352/stats" xr:uid="{E449712D-E6C7-8F4D-BAE9-CCFEF3097B31}"/>
    <hyperlink ref="C392" r:id="rId781" display="https://www.fangraphs.com/teams/braves" xr:uid="{AAC09B2E-5FFE-7946-9727-A37E2B156440}"/>
    <hyperlink ref="B393" r:id="rId782" display="https://www.fangraphs.com/players/connor-norby/29592/stats" xr:uid="{5747F214-CFA9-1241-94EB-9E98A25FF593}"/>
    <hyperlink ref="C393" r:id="rId783" display="https://www.fangraphs.com/teams/marlins" xr:uid="{EDFC565E-C083-5141-95AA-5015FC29BD00}"/>
    <hyperlink ref="B394" r:id="rId784" display="https://www.fangraphs.com/players/nick-martinez/12730/stats" xr:uid="{C97B3BD4-8991-C047-9BA2-007157A63221}"/>
    <hyperlink ref="C394" r:id="rId785" display="https://www.fangraphs.com/teams/rays" xr:uid="{ADE7DA15-F1E0-BB4F-B3CE-A0B13D04D432}"/>
    <hyperlink ref="B395" r:id="rId786" display="https://www.fangraphs.com/players/coby-mayo/28312/stats" xr:uid="{4F45C75D-9556-E241-BB9A-EBBB7FB1DF2C}"/>
    <hyperlink ref="C395" r:id="rId787" display="https://www.fangraphs.com/teams/orioles" xr:uid="{6927CB88-698F-174B-9A51-A69FAEE54A92}"/>
    <hyperlink ref="B396" r:id="rId788" display="https://www.fangraphs.com/players/zach-eflin/13774/stats" xr:uid="{880469E6-086D-B943-9471-2E6A3F408EE6}"/>
    <hyperlink ref="C396" r:id="rId789" display="https://www.fangraphs.com/teams/orioles" xr:uid="{2ECCE343-3E49-794D-B83B-5968F812EFF2}"/>
    <hyperlink ref="B397" r:id="rId790" display="https://www.fangraphs.com/players/triston-casas/22514/stats" xr:uid="{83F19475-CC9A-334D-ABA0-D1E70D9FFD12}"/>
    <hyperlink ref="C397" r:id="rId791" display="https://www.fangraphs.com/teams/red-sox" xr:uid="{F98CEDB6-1138-4242-91F7-1B71397049A9}"/>
    <hyperlink ref="B398" r:id="rId792" display="https://www.fangraphs.com/players/brandon-marsh/20202/stats" xr:uid="{7431DAF8-A095-FE4D-9F9A-55448277A90A}"/>
    <hyperlink ref="C398" r:id="rId793" display="https://www.fangraphs.com/teams/phillies" xr:uid="{88C84DAF-4E55-F04D-9BC7-430EFB0069C0}"/>
    <hyperlink ref="B399" r:id="rId794" display="https://www.fangraphs.com/players/brandon-pfaadt/27782/stats" xr:uid="{79D4F3D0-31FA-0243-87EE-EF5273F97185}"/>
    <hyperlink ref="C399" r:id="rId795" display="https://www.fangraphs.com/teams/diamondbacks" xr:uid="{BF35215A-D97A-034B-9755-F6BC8A2BBE29}"/>
    <hyperlink ref="B400" r:id="rId796" display="https://www.fangraphs.com/players/lane-thomas/16939/stats" xr:uid="{AD7660C0-9D09-934D-8B37-799ACB8169EE}"/>
    <hyperlink ref="C400" r:id="rId797" display="https://www.fangraphs.com/teams/royals" xr:uid="{7DCE320A-A5E0-C84C-85A3-8928A0C66627}"/>
    <hyperlink ref="B401" r:id="rId798" display="https://www.fangraphs.com/players/landen-roupp/30076/stats" xr:uid="{575E55A8-32B4-5945-9630-5010AF597C15}"/>
    <hyperlink ref="C401" r:id="rId799" display="https://www.fangraphs.com/teams/giants" xr:uid="{61E78015-B77A-DB4F-9526-49F70BB500D5}"/>
    <hyperlink ref="B402" r:id="rId800" display="https://www.fangraphs.com/players/lourdes-gurriel-jr/19238/stats" xr:uid="{523562D2-6991-6D4A-86B8-1A07B19B1CB6}"/>
    <hyperlink ref="C402" r:id="rId801" display="https://www.fangraphs.com/teams/diamondbacks" xr:uid="{DAEC02B4-FD90-7B43-9630-A2FE466DB6F3}"/>
    <hyperlink ref="B403" r:id="rId802" display="https://www.fangraphs.com/players/matt-svanson/29629/stats" xr:uid="{34BBA626-0F57-CC46-A6D8-B696DDDCA9FC}"/>
    <hyperlink ref="C403" r:id="rId803" display="https://www.fangraphs.com/teams/cardinals" xr:uid="{4553EE22-8818-7540-AEF1-5542B27494AF}"/>
    <hyperlink ref="B404" r:id="rId804" display="https://www.fangraphs.com/players/alexis-diaz/21132/stats" xr:uid="{D10CD44A-4104-1F48-A53E-DCAC8400FA8E}"/>
    <hyperlink ref="C404" r:id="rId805" display="https://www.fangraphs.com/teams/rangers" xr:uid="{90B3CCCF-8023-C847-97E2-91985C2012D9}"/>
    <hyperlink ref="B405" r:id="rId806" display="https://www.fangraphs.com/players/jacob-melton/31661/stats" xr:uid="{44C07283-E0BB-9443-B5DE-D94A2645099C}"/>
    <hyperlink ref="C405" r:id="rId807" display="https://www.fangraphs.com/teams/rays" xr:uid="{D7A075A0-6DA1-9944-9483-58891823272B}"/>
    <hyperlink ref="B406" r:id="rId808" display="https://www.fangraphs.com/players/joe-boyle/29608/stats" xr:uid="{EC73A0E8-D1F0-BC40-913A-A17DA18AED23}"/>
    <hyperlink ref="C406" r:id="rId809" display="https://www.fangraphs.com/teams/rays" xr:uid="{3DD8C7DA-1B4A-DD4C-8AD1-E12D9AEE5ECA}"/>
    <hyperlink ref="B407" r:id="rId810" display="https://www.fangraphs.com/players/tanner-scott/17586/stats" xr:uid="{960E55BE-3C69-5C4D-82E2-777C38330AE4}"/>
    <hyperlink ref="C407" r:id="rId811" display="https://www.fangraphs.com/teams/dodgers" xr:uid="{E75A9C50-58DB-694B-B985-BE990E465516}"/>
    <hyperlink ref="B408" r:id="rId812" display="https://www.fangraphs.com/players/nolan-arenado/9777/stats" xr:uid="{BCB4AA0D-3060-8C49-9414-F252BE958A33}"/>
    <hyperlink ref="C408" r:id="rId813" display="https://www.fangraphs.com/teams/diamondbacks" xr:uid="{B1A81C66-C8BE-494F-84F5-849756BC23C0}"/>
    <hyperlink ref="B409" r:id="rId814" display="https://www.fangraphs.com/players/kody-clemens/20572/stats" xr:uid="{E34B84B4-AAAC-A04D-8DDE-4192CF5E3B2D}"/>
    <hyperlink ref="C409" r:id="rId815" display="https://www.fangraphs.com/teams/twins" xr:uid="{68261C3F-34FC-5A49-8520-C2DDE3410DE8}"/>
    <hyperlink ref="B410" r:id="rId816" display="https://www.fangraphs.com/players/kody-clemens/20572/stats" xr:uid="{287D795C-CD19-F540-8A2F-5D9B2CD283D8}"/>
    <hyperlink ref="C410" r:id="rId817" display="https://www.fangraphs.com/teams/twins" xr:uid="{A2982A9C-9DF4-EC4C-857D-A21CD61CCFBC}"/>
    <hyperlink ref="B411" r:id="rId818" display="https://www.fangraphs.com/players/justin-verlander/8700/stats" xr:uid="{784217A8-08BE-FF49-B737-AFCA6F7DB429}"/>
    <hyperlink ref="C411" r:id="rId819" display="https://www.fangraphs.com/teams/tigers" xr:uid="{ED566583-8725-9F44-BB32-3E7E2295DD8F}"/>
    <hyperlink ref="B412" r:id="rId820" display="https://www.fangraphs.com/players/spencer-horwitz/26477/stats" xr:uid="{C059B538-452D-1B45-8676-9F1D529F5681}"/>
    <hyperlink ref="C412" r:id="rId821" display="https://www.fangraphs.com/teams/pirates" xr:uid="{8B0B56E1-A5FA-114B-BA72-4472C6AC313E}"/>
    <hyperlink ref="B413" r:id="rId822" display="https://www.fangraphs.com/players/ryan-mcmahon/15112/stats" xr:uid="{69143E2A-CDCE-8F41-A6DF-EE00C7B37259}"/>
    <hyperlink ref="C413" r:id="rId823" display="https://www.fangraphs.com/teams/yankees" xr:uid="{5FC88DB0-3489-1F47-BC5A-D24FA7FE4C7C}"/>
    <hyperlink ref="B414" r:id="rId824" display="https://www.fangraphs.com/players/freddy-fermin/21840/stats" xr:uid="{5190B8EA-BDCD-334C-9F54-07BA1B548A49}"/>
    <hyperlink ref="C414" r:id="rId825" display="https://www.fangraphs.com/teams/padres" xr:uid="{BDD4FFC1-CF8B-CA49-838E-7ACAECF2A613}"/>
    <hyperlink ref="B415" r:id="rId826" display="https://www.fangraphs.com/players/ben-joyce/31461/stats" xr:uid="{042F29D6-CA43-E74A-A675-16E5B3F4DCE3}"/>
    <hyperlink ref="C415" r:id="rId827" display="https://www.fangraphs.com/teams/angels" xr:uid="{9DFB0810-42D8-1845-80F3-59352E736AD8}"/>
    <hyperlink ref="B416" r:id="rId828" display="https://www.fangraphs.com/players/victor-caratini/14968/stats" xr:uid="{C0F7869B-D9C4-114D-98EF-02230B8807E0}"/>
    <hyperlink ref="C416" r:id="rId829" display="https://www.fangraphs.com/teams/twins" xr:uid="{69C225F6-444F-7748-9C19-7312CFC6BF56}"/>
    <hyperlink ref="B417" r:id="rId830" display="https://www.fangraphs.com/players/lars-nootbaar/21454/stats" xr:uid="{0E301B41-1FA1-1842-805F-D0E809E2CFAC}"/>
    <hyperlink ref="C417" r:id="rId831" display="https://www.fangraphs.com/teams/cardinals" xr:uid="{420720DB-0116-4440-A30E-AB332B224BA9}"/>
    <hyperlink ref="B418" r:id="rId832" display="https://www.fangraphs.com/players/zack-littell/15823/stats" xr:uid="{B78125B3-1C23-8543-83AE-D31B41239EFF}"/>
    <hyperlink ref="B419" r:id="rId833" display="https://www.fangraphs.com/players/corbin-burnes/19361/stats" xr:uid="{01720675-CA3D-434E-9868-C0B32A17D643}"/>
    <hyperlink ref="C419" r:id="rId834" display="https://www.fangraphs.com/teams/diamondbacks" xr:uid="{432E645C-4AEE-864D-BEBD-FA14AD4D9B2A}"/>
    <hyperlink ref="B420" r:id="rId835" display="https://www.fangraphs.com/players/jorge-soler/14221/stats" xr:uid="{0556F3D1-A875-C04E-AC9D-CA6F83E011A1}"/>
    <hyperlink ref="C420" r:id="rId836" display="https://www.fangraphs.com/teams/angels" xr:uid="{17587DA2-C70B-5C49-8512-DB7037063B41}"/>
    <hyperlink ref="B421" r:id="rId837" display="https://www.fangraphs.com/players/seth-halvorsen/33294/stats" xr:uid="{01BB3B57-855D-BD4B-B439-188ACCD1ABC9}"/>
    <hyperlink ref="C421" r:id="rId838" display="https://www.fangraphs.com/teams/rockies" xr:uid="{DBE5BA9D-8726-6943-BCB8-7A8263298AE5}"/>
    <hyperlink ref="B422" r:id="rId839" display="https://www.fangraphs.com/players/romy-gonzalez/21562/stats" xr:uid="{C9E18E45-BFCF-4548-AC9C-2C61A69E8DCE}"/>
    <hyperlink ref="C422" r:id="rId840" display="https://www.fangraphs.com/teams/red-sox" xr:uid="{FDAAEB84-314D-D742-AF79-D6678F37ECB3}"/>
    <hyperlink ref="B423" r:id="rId841" display="https://www.fangraphs.com/players/luis-severino/15890/stats" xr:uid="{E0821495-CFAE-514B-9506-1C8413E780A4}"/>
    <hyperlink ref="C423" r:id="rId842" display="https://www.fangraphs.com/teams/athletics" xr:uid="{AF912FBE-69F8-6540-916B-DC82CCE9E4E6}"/>
    <hyperlink ref="B424" r:id="rId843" display="https://www.fangraphs.com/players/adrian-morejon/20039/stats" xr:uid="{6A6B2450-5661-AF46-AAFE-3918F7B5EA6A}"/>
    <hyperlink ref="C424" r:id="rId844" display="https://www.fangraphs.com/teams/padres" xr:uid="{3D845351-6514-F24C-9D0F-151B2F7BE5CD}"/>
    <hyperlink ref="B425" r:id="rId845" display="https://www.fangraphs.com/players/jacob-latz/21306/stats" xr:uid="{5159ED6F-38A1-4844-9570-A72282A77A84}"/>
    <hyperlink ref="C425" r:id="rId846" display="https://www.fangraphs.com/teams/rangers" xr:uid="{26EA071B-8124-D94D-AFD0-B0572ADB3C2A}"/>
    <hyperlink ref="B426" r:id="rId847" display="https://www.fangraphs.com/players/mark-leiter-jr/15551/stats" xr:uid="{6D1982A9-992B-944D-AB3C-63007346F32B}"/>
    <hyperlink ref="C426" r:id="rId848" display="https://www.fangraphs.com/teams/athletics" xr:uid="{32B59701-573C-3348-A535-C285AFA62ECD}"/>
    <hyperlink ref="B427" r:id="rId849" display="https://www.fangraphs.com/players/luke-weaver/16918/stats" xr:uid="{95653D8B-7E60-0946-AD12-B245796A2714}"/>
    <hyperlink ref="C427" r:id="rId850" display="https://www.fangraphs.com/teams/mets" xr:uid="{4424FB73-B8E5-B846-B3F0-161BA1691742}"/>
    <hyperlink ref="B428" r:id="rId851" display="https://www.fangraphs.com/players/andrew-saalfrank/26203/stats" xr:uid="{1D397CC1-7725-224E-ADAE-A5B53EAD758B}"/>
    <hyperlink ref="C428" r:id="rId852" display="https://www.fangraphs.com/teams/diamondbacks" xr:uid="{4C497FF7-6C99-194A-95D3-64506BA8AFBD}"/>
    <hyperlink ref="B429" r:id="rId853" display="https://www.fangraphs.com/players/louis-varland/27691/stats" xr:uid="{6E271D5B-AA84-E74D-ACB7-5A5ED31A245D}"/>
    <hyperlink ref="C429" r:id="rId854" display="https://www.fangraphs.com/teams/blue-jays" xr:uid="{127EAAA1-B9B5-AD40-B81A-8BB06B93D4BA}"/>
    <hyperlink ref="B430" r:id="rId855" display="https://www.fangraphs.com/players/cole-sands/21461/stats" xr:uid="{B4809454-C234-3F4E-A396-5C16C726711D}"/>
    <hyperlink ref="C430" r:id="rId856" display="https://www.fangraphs.com/teams/twins" xr:uid="{D2D38FC8-2554-6C4E-BA1D-00A0B303C1DD}"/>
    <hyperlink ref="B431" r:id="rId857" display="https://www.fangraphs.com/players/tyler-oneill/15711/stats" xr:uid="{AFFAB861-A67A-2343-994B-727C61A108D3}"/>
    <hyperlink ref="C431" r:id="rId858" display="https://www.fangraphs.com/teams/orioles" xr:uid="{7A3044B0-3C74-E648-9BC0-2A5B47165C95}"/>
    <hyperlink ref="B432" r:id="rId859" display="https://www.fangraphs.com/players/slade-cecconi/27500/stats" xr:uid="{C32EC751-F7BD-9942-A554-BF220F4C0EE2}"/>
    <hyperlink ref="C432" r:id="rId860" display="https://www.fangraphs.com/teams/guardians" xr:uid="{E31FD3FF-F9B3-204B-985D-2280143097B3}"/>
    <hyperlink ref="B433" r:id="rId861" display="https://www.fangraphs.com/players/steven-matz/13361/stats" xr:uid="{481D9700-874A-6D4C-B6C6-ADCC7704E062}"/>
    <hyperlink ref="C433" r:id="rId862" display="https://www.fangraphs.com/teams/rays" xr:uid="{F0832CED-9A4F-2C46-845B-F88D6DF0A739}"/>
    <hyperlink ref="B434" r:id="rId863" display="https://www.fangraphs.com/players/tyler-rogers/15541/stats" xr:uid="{63EBB063-39DA-EF4A-B4EC-92F45AE6591D}"/>
    <hyperlink ref="C434" r:id="rId864" display="https://www.fangraphs.com/teams/blue-jays" xr:uid="{4B6A4140-5829-2848-BB11-E1AA180407B9}"/>
    <hyperlink ref="B435" r:id="rId865" display="https://www.fangraphs.com/players/brady-house/29993/stats" xr:uid="{08644B06-46EC-3D43-A98A-5F27B0FE0005}"/>
    <hyperlink ref="C435" r:id="rId866" display="https://www.fangraphs.com/teams/nationals" xr:uid="{D09A8F55-A452-C642-B4E5-E629126DC0FB}"/>
    <hyperlink ref="B436" r:id="rId867" display="https://www.fangraphs.com/players/nasim-nunez/25979/stats" xr:uid="{784D6BB7-35C6-8849-9BB6-2C7E4487EB68}"/>
    <hyperlink ref="C436" r:id="rId868" display="https://www.fangraphs.com/teams/nationals" xr:uid="{7644CED9-DD86-324E-AEB9-52AB196A5050}"/>
    <hyperlink ref="B437" r:id="rId869" display="https://www.fangraphs.com/players/mick-abel/27756/stats" xr:uid="{57104B23-FCEA-9C4A-B298-A14F4DBE2F04}"/>
    <hyperlink ref="C437" r:id="rId870" display="https://www.fangraphs.com/teams/twins" xr:uid="{2B67B529-A62C-0C40-8918-CEE5692D7278}"/>
    <hyperlink ref="B438" r:id="rId871" display="https://www.fangraphs.com/players/hogan-harris/21520/stats" xr:uid="{0D1814D4-DD6F-364C-B6BD-8915A71A02A0}"/>
    <hyperlink ref="C438" r:id="rId872" display="https://www.fangraphs.com/teams/athletics" xr:uid="{081D4C0B-2811-674F-AA1E-4D37357D0108}"/>
    <hyperlink ref="B439" r:id="rId873" display="https://www.fangraphs.com/players/ha-seong-kim/27506/stats" xr:uid="{86FA290D-80B1-344E-9145-52B04AB710D0}"/>
    <hyperlink ref="C439" r:id="rId874" display="https://www.fangraphs.com/teams/braves" xr:uid="{93AEDBE7-9CED-7440-BAF9-44F0F5F70E77}"/>
    <hyperlink ref="B440" r:id="rId875" display="https://www.fangraphs.com/players/kumar-rocker/31843/stats" xr:uid="{3CFCD169-C7E8-304C-9907-571363DACD66}"/>
    <hyperlink ref="C440" r:id="rId876" display="https://www.fangraphs.com/teams/rangers" xr:uid="{E123F9E0-7885-3E42-ABC8-6677CC7BAA9A}"/>
    <hyperlink ref="B441" r:id="rId877" display="https://www.fangraphs.com/players/hyeseong-kim/35322/stats" xr:uid="{2848564A-E5E9-3343-A409-DD91F36186BD}"/>
    <hyperlink ref="C441" r:id="rId878" display="https://www.fangraphs.com/teams/dodgers" xr:uid="{89BF3952-164A-9B49-9C74-BC9B4B24DFA3}"/>
    <hyperlink ref="B442" r:id="rId879" display="https://www.fangraphs.com/players/rece-hinds/27493/stats" xr:uid="{78D21D00-B38A-764F-98A4-C127C10FB359}"/>
    <hyperlink ref="C442" r:id="rId880" display="https://www.fangraphs.com/teams/reds" xr:uid="{8A5E8506-1095-CC44-A898-6CCE0A2DD26D}"/>
    <hyperlink ref="B443" r:id="rId881" display="https://www.fangraphs.com/players/david-hamilton/27531/stats" xr:uid="{1003AF57-4BC8-104D-99F6-8968B9A7861A}"/>
    <hyperlink ref="C443" r:id="rId882" display="https://www.fangraphs.com/teams/brewers" xr:uid="{151A3DD2-8F10-4340-91D4-9774276DCB4A}"/>
    <hyperlink ref="B444" r:id="rId883" display="https://www.fangraphs.com/players/yoan-moncada/17232/stats" xr:uid="{A2B8A426-0C31-7A47-B3E8-39D248E536E9}"/>
    <hyperlink ref="C444" r:id="rId884" display="https://www.fangraphs.com/teams/angels" xr:uid="{91AA62D6-EA26-DA45-A944-CEB1B613B5DE}"/>
    <hyperlink ref="B445" r:id="rId885" display="https://www.fangraphs.com/players/jake-cronenworth/18036/stats" xr:uid="{CFDE9BAF-02B7-7049-A0EC-579C7606F9D0}"/>
    <hyperlink ref="C445" r:id="rId886" display="https://www.fangraphs.com/teams/padres" xr:uid="{CC846A92-3B8C-5245-952B-60983093B88C}"/>
    <hyperlink ref="B446" r:id="rId887" display="https://www.fangraphs.com/players/andrew-kittredge/12828/stats" xr:uid="{6344E65C-6A5A-CB40-A4ED-C242555C8264}"/>
    <hyperlink ref="C446" r:id="rId888" display="https://www.fangraphs.com/teams/orioles" xr:uid="{44CC0B7E-8426-134F-91B1-8596082384E3}"/>
    <hyperlink ref="B447" r:id="rId889" display="https://www.fangraphs.com/players/jeffrey-springs/17677/stats" xr:uid="{9C747B25-DFB5-E642-8EA2-D43FC8E1A4EA}"/>
    <hyperlink ref="C447" r:id="rId890" display="https://www.fangraphs.com/teams/athletics" xr:uid="{3F8430D4-3E3C-6346-8F41-D6C30FD69ACC}"/>
    <hyperlink ref="B448" r:id="rId891" display="https://www.fangraphs.com/players/henry-davis/29617/stats" xr:uid="{8DDF4B6C-88C0-7646-87B1-8B85196DF4BD}"/>
    <hyperlink ref="C448" r:id="rId892" display="https://www.fangraphs.com/teams/pirates" xr:uid="{FD1EEA10-1053-AC4D-9222-8B30258BB77C}"/>
    <hyperlink ref="B449" r:id="rId893" display="https://www.fangraphs.com/players/jerar-encarnacion/21871/stats" xr:uid="{4BD22F08-C406-794A-8CFB-8924F76B9A99}"/>
    <hyperlink ref="C449" r:id="rId894" display="https://www.fangraphs.com/teams/giants" xr:uid="{5E33DC6C-FAA7-5E4A-8B71-4E25349C3292}"/>
    <hyperlink ref="B450" r:id="rId895" display="https://www.fangraphs.com/players/denzel-clarke/29858/stats" xr:uid="{68110A0E-681C-224F-9DFE-D208AFFC87DD}"/>
    <hyperlink ref="C450" r:id="rId896" display="https://www.fangraphs.com/teams/athletics" xr:uid="{931EA165-816A-0E46-8849-3F63D89FB8D9}"/>
    <hyperlink ref="B451" r:id="rId897" display="https://www.fangraphs.com/players/jared-triolo/25807/stats" xr:uid="{BF743C48-7C1D-2144-88B4-21DCA3326480}"/>
    <hyperlink ref="C451" r:id="rId898" display="https://www.fangraphs.com/teams/pirates" xr:uid="{E6F144D5-4D13-2F4C-BE38-5AC1B26F89B9}"/>
    <hyperlink ref="B452" r:id="rId899" display="https://www.fangraphs.com/players/jared-triolo/25807/stats" xr:uid="{C2D62EA3-1873-6B41-8B4E-10F5EC83E7A1}"/>
    <hyperlink ref="C452" r:id="rId900" display="https://www.fangraphs.com/teams/pirates" xr:uid="{0C257AA4-4498-9A4D-85D1-C84C0564CAC6}"/>
    <hyperlink ref="B453" r:id="rId901" display="https://www.fangraphs.com/players/garrett-mitchell/27555/stats" xr:uid="{15AF1282-7EF3-E641-BCFE-DA23A0EBFF82}"/>
    <hyperlink ref="C453" r:id="rId902" display="https://www.fangraphs.com/teams/brewers" xr:uid="{874D88DA-D20A-9143-9B2E-FE12E0DCCC67}"/>
    <hyperlink ref="B454" r:id="rId903" display="https://www.fangraphs.com/players/phil-maton/18064/stats" xr:uid="{01C972F2-657C-4249-B639-B4A4DEFA31C6}"/>
    <hyperlink ref="C454" r:id="rId904" display="https://www.fangraphs.com/teams/cubs" xr:uid="{3EFE633B-20D1-E644-8EA1-46A5C1F775F4}"/>
    <hyperlink ref="B455" r:id="rId905" display="https://www.fangraphs.com/players/paul-goldschmidt/9218/stats" xr:uid="{3852D111-1F93-474B-B3C3-891E8BB4D74A}"/>
    <hyperlink ref="C455" r:id="rId906" display="https://www.fangraphs.com/teams/yankees" xr:uid="{77E3E5F1-445E-194F-8839-EEB9EEBBA4FB}"/>
    <hyperlink ref="B456" r:id="rId907" display="https://www.fangraphs.com/players/yimi-garcia/12095/stats" xr:uid="{0DFAAD00-3DEB-2843-AD40-3D6F3B944104}"/>
    <hyperlink ref="C456" r:id="rId908" display="https://www.fangraphs.com/teams/blue-jays" xr:uid="{DACCB0AB-15E3-444B-8ED1-9809146F0CE4}"/>
    <hyperlink ref="B457" r:id="rId909" display="https://www.fangraphs.com/players/tyler-freeman/22532/stats" xr:uid="{22F22492-D762-EB4D-84EE-CAE7D16EEC4F}"/>
    <hyperlink ref="C457" r:id="rId910" display="https://www.fangraphs.com/teams/rockies" xr:uid="{549D087D-FCCD-014E-9955-1E2501453B70}"/>
    <hyperlink ref="B458" r:id="rId911" display="https://www.fangraphs.com/players/jacob-young/29931/stats" xr:uid="{3D2D0F91-D07F-2D45-8997-9FD3E1B6477A}"/>
    <hyperlink ref="C458" r:id="rId912" display="https://www.fangraphs.com/teams/nationals" xr:uid="{2AD867CF-D880-EE4A-91E1-DACE8A91A2EC}"/>
    <hyperlink ref="B459" r:id="rId913" display="https://www.fangraphs.com/players/patrick-bailey/27478/stats" xr:uid="{77AC090B-B01E-8F43-B4A3-AD5285C21517}"/>
    <hyperlink ref="C459" r:id="rId914" display="https://www.fangraphs.com/teams/giants" xr:uid="{B068D91B-D6E7-F446-9A0B-A64B90E5DEEC}"/>
    <hyperlink ref="B460" r:id="rId915" display="https://www.fangraphs.com/players/joey-ortiz/25493/stats" xr:uid="{1254C45C-A510-1145-8695-D079E4B065D8}"/>
    <hyperlink ref="C460" r:id="rId916" display="https://www.fangraphs.com/teams/brewers" xr:uid="{D473C102-771E-EC4D-87A0-2896ACD9ED13}"/>
    <hyperlink ref="B461" r:id="rId917" display="https://www.fangraphs.com/players/adrian-houser/12718/stats" xr:uid="{D4221BBC-8D2B-F54B-99DA-F82F27BA46EF}"/>
    <hyperlink ref="C461" r:id="rId918" display="https://www.fangraphs.com/teams/giants" xr:uid="{BC407103-F23C-6E4D-8847-47C018C44413}"/>
    <hyperlink ref="B462" r:id="rId919" display="https://www.fangraphs.com/players/miguel-amaya/21693/stats" xr:uid="{04286851-622E-3540-8EA6-CA6709DAB04E}"/>
    <hyperlink ref="C462" r:id="rId920" display="https://www.fangraphs.com/teams/cubs" xr:uid="{B519EF6B-2B96-ED48-AC37-73CA3A8DEC41}"/>
    <hyperlink ref="B463" r:id="rId921" display="https://www.fangraphs.com/players/kyle-leahy/24763/stats" xr:uid="{C920A2B8-74F3-374E-A1DC-9A3BE139C818}"/>
    <hyperlink ref="C463" r:id="rId922" display="https://www.fangraphs.com/teams/cardinals" xr:uid="{9A27FF91-7B81-3245-BC20-012364787919}"/>
    <hyperlink ref="B464" r:id="rId923" display="https://www.fangraphs.com/players/chase-dollander/33482/stats" xr:uid="{045B16BF-C9F8-D446-86EC-7FBE1054013B}"/>
    <hyperlink ref="C464" r:id="rId924" display="https://www.fangraphs.com/teams/rockies" xr:uid="{41FC038E-6167-774B-9C8E-484F4A950C15}"/>
    <hyperlink ref="B465" r:id="rId925" display="https://www.fangraphs.com/players/jp-crawford/15491/stats" xr:uid="{1AC1BFC6-70B5-A44A-AD5E-844A7CD64337}"/>
    <hyperlink ref="C465" r:id="rId926" display="https://www.fangraphs.com/teams/mariners" xr:uid="{581D83A5-A896-A84C-B6B4-A0B0D1F43BBF}"/>
    <hyperlink ref="B466" r:id="rId927" display="https://www.fangraphs.com/players/ronny-henriquez/24094/stats" xr:uid="{631EDEC7-CC38-F743-966C-6EA293CEFCF4}"/>
    <hyperlink ref="C466" r:id="rId928" display="https://www.fangraphs.com/teams/marlins" xr:uid="{06EF7781-E8A0-6C41-A8BF-1226E268D130}"/>
    <hyperlink ref="B467" r:id="rId929" display="https://www.fangraphs.com/players/jose-a-ferrer/24017/stats" xr:uid="{3113D38F-3331-054B-AF64-0F5634795F56}"/>
    <hyperlink ref="C467" r:id="rId930" display="https://www.fangraphs.com/teams/mariners" xr:uid="{CFE2689D-2E4C-A74C-9815-1B74AF790A80}"/>
    <hyperlink ref="B468" r:id="rId931" display="https://www.fangraphs.com/players/drey-jameson/26260/stats" xr:uid="{66F7B57C-94DA-8C40-BF40-9263A2D15BBE}"/>
    <hyperlink ref="C468" r:id="rId932" display="https://www.fangraphs.com/teams/diamondbacks" xr:uid="{7D96FA99-FEBC-C741-B0FA-44496D9FCB96}"/>
    <hyperlink ref="B469" r:id="rId933" display="https://www.fangraphs.com/players/tyler-wells/20000/stats" xr:uid="{46A1E527-3D78-4A48-94D5-6BAFC92A952B}"/>
    <hyperlink ref="C469" r:id="rId934" display="https://www.fangraphs.com/teams/orioles" xr:uid="{376565AB-DD82-EC4C-BDCB-DC9D458995D2}"/>
    <hyperlink ref="B470" r:id="rId935" display="https://www.fangraphs.com/players/jose-berrios/14168/stats" xr:uid="{A2A3DCA9-E19C-8148-BA50-6C8F936226B0}"/>
    <hyperlink ref="C470" r:id="rId936" display="https://www.fangraphs.com/teams/blue-jays" xr:uid="{DBC2AFB9-ACFB-7B4C-8CD8-7F249507A285}"/>
    <hyperlink ref="B471" r:id="rId937" display="https://www.fangraphs.com/players/hunter-harvey/15507/stats" xr:uid="{4BEBDA4F-1FE6-CB4D-97E8-D8D73A2162DF}"/>
    <hyperlink ref="C471" r:id="rId938" display="https://www.fangraphs.com/teams/cubs" xr:uid="{761B4949-7228-E34B-9E68-B93956148100}"/>
    <hyperlink ref="B472" r:id="rId939" display="https://www.fangraphs.com/players/austin-martin/27462/stats" xr:uid="{56CF8DA9-B607-F042-8FE6-FBEA3579E27C}"/>
    <hyperlink ref="C472" r:id="rId940" display="https://www.fangraphs.com/teams/twins" xr:uid="{D91BA645-31A7-4049-A547-CC2AB8F3B35C}"/>
    <hyperlink ref="B473" r:id="rId941" display="https://www.fangraphs.com/players/matt-strahm/13799/stats" xr:uid="{A24C58EE-1814-7948-948E-5E4ED141E611}"/>
    <hyperlink ref="C473" r:id="rId942" display="https://www.fangraphs.com/teams/royals" xr:uid="{94510C6E-DC0A-634F-97C4-0B6249BD4106}"/>
    <hyperlink ref="B474" r:id="rId943" display="https://www.fangraphs.com/players/lucas-erceg/19360/stats" xr:uid="{EC41F8C0-2A7A-3A44-B3D9-C49FEF8D22D2}"/>
    <hyperlink ref="C474" r:id="rId944" display="https://www.fangraphs.com/teams/royals" xr:uid="{63C51800-2109-FD4C-A3DE-DD92C9258FBC}"/>
    <hyperlink ref="B475" r:id="rId945" display="https://www.fangraphs.com/players/matt-brash/25756/stats" xr:uid="{64E57A41-7F7F-1F4B-B6EC-1ADD7074FB36}"/>
    <hyperlink ref="C475" r:id="rId946" display="https://www.fangraphs.com/teams/mariners" xr:uid="{58E9B0C3-162F-6845-B1EB-118CDDD8BF0B}"/>
    <hyperlink ref="B476" r:id="rId947" display="https://www.fangraphs.com/players/eric-lauer/19316/stats" xr:uid="{528CC53F-ED3D-6745-88D3-F071B971365D}"/>
    <hyperlink ref="C476" r:id="rId948" display="https://www.fangraphs.com/teams/blue-jays" xr:uid="{3D83840F-7878-2E41-B6F6-157A038F8086}"/>
    <hyperlink ref="B477" r:id="rId949" display="https://www.fangraphs.com/players/clayton-kershaw/2036/stats" xr:uid="{7F1CFA8B-C7C7-D848-AE19-12D90CE2E444}"/>
    <hyperlink ref="B478" r:id="rId950" display="https://www.fangraphs.com/players/jack-dreyer/30249/stats" xr:uid="{354CB30D-5EB8-9840-8EDD-EE644B256478}"/>
    <hyperlink ref="C478" r:id="rId951" display="https://www.fangraphs.com/teams/dodgers" xr:uid="{C85304A3-A28B-EF44-90AF-9B7A3E09DC80}"/>
    <hyperlink ref="B479" r:id="rId952" display="https://www.fangraphs.com/players/shawn-armstrong/12857/stats" xr:uid="{91F67CD8-77BA-BA46-86EA-B9750F322306}"/>
    <hyperlink ref="C479" r:id="rId953" display="https://www.fangraphs.com/teams/guardians" xr:uid="{59B4A048-C134-884F-A9E1-C6430D46122A}"/>
    <hyperlink ref="B480" r:id="rId954" display="https://www.fangraphs.com/players/tyler-holton/26231/stats" xr:uid="{1A984CE4-2627-E249-B4FF-B18F34CCE3A2}"/>
    <hyperlink ref="C480" r:id="rId955" display="https://www.fangraphs.com/teams/tigers" xr:uid="{28B427F1-300A-A948-82E0-72D585A34335}"/>
    <hyperlink ref="B481" r:id="rId956" display="https://www.fangraphs.com/players/colin-rea/12317/stats" xr:uid="{C4C3E13A-2165-774D-B099-DC6D93C14845}"/>
    <hyperlink ref="C481" r:id="rId957" display="https://www.fangraphs.com/teams/cubs" xr:uid="{6CBB362D-4249-4046-9706-51A8286A906F}"/>
    <hyperlink ref="B482" r:id="rId958" display="https://www.fangraphs.com/players/clarke-schmidt/19899/stats" xr:uid="{F79A024D-22AA-284D-9643-D560BAE2B009}"/>
    <hyperlink ref="C482" r:id="rId959" display="https://www.fangraphs.com/teams/yankees" xr:uid="{5FB33BD7-1832-6642-A0D5-DCDC9D54CD0C}"/>
    <hyperlink ref="B483" r:id="rId960" display="https://www.fangraphs.com/players/dean-kremer/19350/stats" xr:uid="{3BE2A58B-9996-CA48-8C09-33A1F2866F5F}"/>
    <hyperlink ref="C483" r:id="rId961" display="https://www.fangraphs.com/teams/orioles" xr:uid="{7AE84AC2-815E-4245-BA63-2D25B7FDCFE5}"/>
    <hyperlink ref="B484" r:id="rId962" display="https://www.fangraphs.com/players/kyle-higashioka/5517/stats" xr:uid="{382E0207-54B8-FC40-898F-308DFF346C2D}"/>
    <hyperlink ref="C484" r:id="rId963" display="https://www.fangraphs.com/teams/rangers" xr:uid="{F98D46F8-4F27-9B45-8A59-C54B66917318}"/>
    <hyperlink ref="B485" r:id="rId964" display="https://www.fangraphs.com/players/trevor-larnach/21501/stats" xr:uid="{A96D580B-0B33-EB46-86E8-92C3DC5C7F9A}"/>
    <hyperlink ref="C485" r:id="rId965" display="https://www.fangraphs.com/teams/twins" xr:uid="{E34EB073-5660-784B-B10B-6624E76FFB42}"/>
    <hyperlink ref="B486" r:id="rId966" display="https://www.fangraphs.com/players/stephen-kolek/21487/stats" xr:uid="{04E75E2F-2B5F-3442-AF48-D1472BF40A3B}"/>
    <hyperlink ref="C486" r:id="rId967" display="https://www.fangraphs.com/teams/royals" xr:uid="{B145FBF1-0881-9B4D-826C-E61AFD81DB19}"/>
    <hyperlink ref="B487" r:id="rId968" display="https://www.fangraphs.com/players/nathaniel-lowe/19566/stats" xr:uid="{B68CC642-A7A3-FE40-A995-00A6EF481BB3}"/>
    <hyperlink ref="C487" r:id="rId969" display="https://www.fangraphs.com/teams/reds" xr:uid="{5C2172FD-A6B6-4242-9CDB-A4EFF6E1FF28}"/>
    <hyperlink ref="B488" r:id="rId970" display="https://www.fangraphs.com/players/liam-hicks/29844/stats" xr:uid="{436FDD02-5B66-8C40-B4DC-8898F2382ACF}"/>
    <hyperlink ref="C488" r:id="rId971" display="https://www.fangraphs.com/teams/marlins" xr:uid="{30E2CAA4-FAC0-9840-91B6-EB6829BCBB27}"/>
    <hyperlink ref="B489" r:id="rId972" display="https://www.fangraphs.com/players/brad-keller/15734/stats" xr:uid="{67B03487-E26B-B84C-BF8C-FD93BEA0520F}"/>
    <hyperlink ref="C489" r:id="rId973" display="https://www.fangraphs.com/teams/phillies" xr:uid="{661B192F-A0A7-4841-99BC-CFDED7383E8F}"/>
    <hyperlink ref="B490" r:id="rId974" display="https://www.fangraphs.com/players/jason-adam/11861/stats" xr:uid="{0F2FC141-6F2C-C241-89A6-4DCBF559E2CD}"/>
    <hyperlink ref="C490" r:id="rId975" display="https://www.fangraphs.com/teams/padres" xr:uid="{0EA52A36-E363-244C-A59B-DEF04A7BB355}"/>
    <hyperlink ref="B491" r:id="rId976" display="https://www.fangraphs.com/players/andrew-benintendi/17901/stats" xr:uid="{631AEE77-7C0F-3646-ACFE-8CC6A02CCDE6}"/>
    <hyperlink ref="C491" r:id="rId977" display="https://www.fangraphs.com/teams/white-sox" xr:uid="{4BEF3781-3ECE-0F41-91DC-CF517731B4E1}"/>
    <hyperlink ref="B492" r:id="rId978" display="https://www.fangraphs.com/players/jose-quintana/11423/stats" xr:uid="{786555AA-230E-544F-814F-562CF13DB7C4}"/>
    <hyperlink ref="C492" r:id="rId979" display="https://www.fangraphs.com/teams/rockies" xr:uid="{59681A89-391D-A341-82E4-C9D9F6C6917E}"/>
    <hyperlink ref="B493" r:id="rId980" display="https://www.fangraphs.com/players/brandon-walter/26056/stats" xr:uid="{F210A47D-236A-DB47-BF3A-F5DB63628C9F}"/>
    <hyperlink ref="C493" r:id="rId981" display="https://www.fangraphs.com/teams/astros" xr:uid="{FA81F277-2E8C-CD46-828D-B576C871659B}"/>
    <hyperlink ref="B494" r:id="rId982" display="https://www.fangraphs.com/players/pedro-pages/25782/stats" xr:uid="{507F0B63-FE77-CE48-A2AF-7625407DC4D8}"/>
    <hyperlink ref="C494" r:id="rId983" display="https://www.fangraphs.com/teams/cardinals" xr:uid="{1A480ED5-299E-D642-806C-673FA5724ADC}"/>
    <hyperlink ref="B495" r:id="rId984" display="https://www.fangraphs.com/players/janson-junk/23301/stats" xr:uid="{1B9E65AD-3560-3749-8BDC-1C02A2AD3150}"/>
    <hyperlink ref="C495" r:id="rId985" display="https://www.fangraphs.com/teams/marlins" xr:uid="{F1CB6132-CC4C-5148-958F-39B7F32A6158}"/>
    <hyperlink ref="B496" r:id="rId986" display="https://www.fangraphs.com/players/nathan-lukes/18123/stats" xr:uid="{ED86F3F0-E87F-274F-B3B1-E1874F810290}"/>
    <hyperlink ref="C496" r:id="rId987" display="https://www.fangraphs.com/teams/blue-jays" xr:uid="{2DBD6CA8-ADEF-E347-A04F-7F9C0F39BAB9}"/>
    <hyperlink ref="B497" r:id="rId988" display="https://www.fangraphs.com/players/sean-newcomb/16943/stats" xr:uid="{E33C41F2-CFAE-CF4D-8451-02B25EE03047}"/>
    <hyperlink ref="C497" r:id="rId989" display="https://www.fangraphs.com/teams/white-sox" xr:uid="{F368B05C-892E-254B-A029-1119C3303578}"/>
    <hyperlink ref="B498" r:id="rId990" display="https://www.fangraphs.com/players/gabe-speier/17170/stats" xr:uid="{8D21EBE7-BB8E-FF42-B791-5D2DB91FB57B}"/>
    <hyperlink ref="C498" r:id="rId991" display="https://www.fangraphs.com/teams/mariners" xr:uid="{374A3A23-EAE6-AA42-9D4A-A2C7EEAF7DBC}"/>
    <hyperlink ref="B499" r:id="rId992" display="https://www.fangraphs.com/players/emmanuel-clase/21032/stats" xr:uid="{A97D2DFF-0169-2246-A428-37512957EE44}"/>
    <hyperlink ref="C499" r:id="rId993" display="https://www.fangraphs.com/teams/guardians" xr:uid="{0FFA44CD-109D-D84E-B809-0D512FF53B9C}"/>
    <hyperlink ref="B500" r:id="rId994" display="https://www.fangraphs.com/players/randy-rodriguez/23974/stats" xr:uid="{C9330831-A8A7-DF40-914F-ABF23850F0DF}"/>
    <hyperlink ref="C500" r:id="rId995" display="https://www.fangraphs.com/teams/giants" xr:uid="{97D61E59-213E-8940-B1D7-6931EF348F31}"/>
    <hyperlink ref="B501" r:id="rId996" display="https://www.fangraphs.com/players/eduard-bazardo/20997/stats" xr:uid="{2E275A4C-E51F-E342-B52F-D2E1DCC2811D}"/>
    <hyperlink ref="C501" r:id="rId997" display="https://www.fangraphs.com/teams/mariners" xr:uid="{13BA2DE5-93F1-DE41-9C53-99EA4B061A08}"/>
    <hyperlink ref="B502" r:id="rId998" display="https://www.fangraphs.com/players/javier-baez/12979/stats" xr:uid="{7AED519F-D293-344F-B09E-A81C05DFBB61}"/>
    <hyperlink ref="C502" r:id="rId999" display="https://www.fangraphs.com/teams/tigers" xr:uid="{CE1C33C8-6371-144C-90F9-20EC374747C0}"/>
    <hyperlink ref="B503" r:id="rId1000" display="https://www.fangraphs.com/players/carmen-mlodzinski/27572/stats" xr:uid="{F8DCB07A-3DF1-164E-B93C-87AB094AC454}"/>
    <hyperlink ref="C503" r:id="rId1001" display="https://www.fangraphs.com/teams/pirates" xr:uid="{9A670FC7-50F1-1A49-9C99-B90D59D72049}"/>
    <hyperlink ref="B504" r:id="rId1002" display="https://www.fangraphs.com/players/danny-jansen/16535/stats" xr:uid="{5A9F4CC3-E2F0-A84D-AA0F-5174E6515301}"/>
    <hyperlink ref="C504" r:id="rId1003" display="https://www.fangraphs.com/teams/rangers" xr:uid="{B7023355-3E25-ED47-8C7A-731CD3D6F1F7}"/>
    <hyperlink ref="B505" r:id="rId1004" display="https://www.fangraphs.com/players/griffin-canning/19867/stats" xr:uid="{039274DE-68E3-CB42-9BED-8F8C14012E00}"/>
    <hyperlink ref="C505" r:id="rId1005" display="https://www.fangraphs.com/teams/padres" xr:uid="{5E4FB8D9-4AE2-C947-8330-27D79BE76EDB}"/>
    <hyperlink ref="B506" r:id="rId1006" display="https://www.fangraphs.com/players/tylor-megill/21318/stats" xr:uid="{BA92C046-F6DB-A74E-AECE-8A5F5B2833EB}"/>
    <hyperlink ref="C506" r:id="rId1007" display="https://www.fangraphs.com/teams/mets" xr:uid="{DB8A6AEA-0DA7-6947-86DA-2CC36BD702D9}"/>
    <hyperlink ref="B507" r:id="rId1008" display="https://www.fangraphs.com/players/mike-yastrzemski/14854/stats" xr:uid="{427BD001-D1AA-9544-B2DF-439B70F9AB1A}"/>
    <hyperlink ref="C507" r:id="rId1009" display="https://www.fangraphs.com/teams/braves" xr:uid="{F009DAC0-41C3-3B4A-8BF9-E64BA6778144}"/>
    <hyperlink ref="B508" r:id="rId1010" display="https://www.fangraphs.com/players/tyler-gilbert/17964/stats" xr:uid="{3225FF4D-E055-364A-9FAF-3A921F8B6E0D}"/>
    <hyperlink ref="C508" r:id="rId1011" display="https://www.fangraphs.com/teams/white-sox" xr:uid="{2F947E7B-E8AB-D043-8542-E2465B8F2DA0}"/>
    <hyperlink ref="B509" r:id="rId1012" display="https://www.fangraphs.com/players/jonah-heim/16930/stats" xr:uid="{C263E36F-AE80-A24E-BADE-0EFA1E0E1979}"/>
    <hyperlink ref="C509" r:id="rId1013" display="https://www.fangraphs.com/teams/braves" xr:uid="{E3EF7739-4977-E848-8699-B5D12473107D}"/>
    <hyperlink ref="B510" r:id="rId1014" display="https://www.fangraphs.com/players/braydon-fisher/24609/stats" xr:uid="{D0FE59CB-23AD-E84D-B1ED-26556CA98EA8}"/>
    <hyperlink ref="C510" r:id="rId1015" display="https://www.fangraphs.com/teams/blue-jays" xr:uid="{F5862FB0-2120-5B4A-B944-59626BC3AAD0}"/>
    <hyperlink ref="B511" r:id="rId1016" display="https://www.fangraphs.com/players/steven-okert/13580/stats" xr:uid="{597CD24F-6520-A944-BD1A-0E538C9C030A}"/>
    <hyperlink ref="C511" r:id="rId1017" display="https://www.fangraphs.com/teams/astros" xr:uid="{758580A7-6D68-724F-A152-DADEACA447F3}"/>
    <hyperlink ref="B512" r:id="rId1018" display="https://www.fangraphs.com/players/alex-vesia/25007/stats" xr:uid="{F389877D-8D5D-0F42-8D5D-F25801277D9A}"/>
    <hyperlink ref="C512" r:id="rId1019" display="https://www.fangraphs.com/teams/dodgers" xr:uid="{18E88ACA-6C65-E74F-A467-D5DE6725E13D}"/>
    <hyperlink ref="B513" r:id="rId1020" display="https://www.fangraphs.com/players/aaron-ashby/23550/stats" xr:uid="{AF73C3DC-031C-4C41-B5B8-D3913986442A}"/>
    <hyperlink ref="C513" r:id="rId1021" display="https://www.fangraphs.com/teams/brewers" xr:uid="{D0368C82-8EF4-214A-96B7-85B839B81398}"/>
    <hyperlink ref="B514" r:id="rId1022" display="https://www.fangraphs.com/players/javier-assad/21741/stats" xr:uid="{2780A374-845C-8943-937D-EB98F41202F8}"/>
    <hyperlink ref="C514" r:id="rId1023" display="https://www.fangraphs.com/teams/cubs" xr:uid="{2375B43B-094F-B44C-8558-CB8C6D93CDB3}"/>
    <hyperlink ref="B515" r:id="rId1024" display="https://www.fangraphs.com/players/shelby-miller/10197/stats" xr:uid="{21AB1615-90AA-0343-B69E-38D2D0F5D265}"/>
    <hyperlink ref="C515" r:id="rId1025" display="https://www.fangraphs.com/teams/cubs" xr:uid="{7AB432DE-8388-B84D-820F-AE9D3D0BA5C2}"/>
    <hyperlink ref="B516" r:id="rId1026" display="https://www.fangraphs.com/players/bryan-king/25890/stats" xr:uid="{00090671-12F3-EB47-8819-F2881C51532F}"/>
    <hyperlink ref="C516" r:id="rId1027" display="https://www.fangraphs.com/teams/astros" xr:uid="{83C9AEBD-E0B6-7045-A722-1CF796EC2496}"/>
    <hyperlink ref="B517" r:id="rId1028" display="https://www.fangraphs.com/players/miguel-andujar/15878/stats" xr:uid="{E882CB64-06B2-8C43-B8CC-0B40C1A71905}"/>
    <hyperlink ref="C517" r:id="rId1029" display="https://www.fangraphs.com/teams/padres" xr:uid="{BE06E808-622A-AD47-9D60-737C94435D3E}"/>
    <hyperlink ref="B518" r:id="rId1030" display="https://www.fangraphs.com/players/wilmer-flores/5827/stats" xr:uid="{7B111254-4BA3-2F4B-A816-03F8CB5C96D0}"/>
    <hyperlink ref="B519" r:id="rId1031" display="https://www.fangraphs.com/players/ronel-blanco/19407/stats" xr:uid="{F2F77903-649A-FC48-92BD-B89AB86F33FD}"/>
    <hyperlink ref="C519" r:id="rId1032" display="https://www.fangraphs.com/teams/astros" xr:uid="{3B004E16-E019-CB4C-90EF-892D65B11DA8}"/>
    <hyperlink ref="B520" r:id="rId1033" display="https://www.fangraphs.com/players/martin-perez/6902/stats" xr:uid="{EB47A30B-D043-BE49-8F66-4E99A3AF30FF}"/>
    <hyperlink ref="C520" r:id="rId1034" display="https://www.fangraphs.com/teams/braves" xr:uid="{8BF4CDE8-CC53-C64A-80FA-CF3CDAEF8DE2}"/>
    <hyperlink ref="B521" r:id="rId1035" display="https://www.fangraphs.com/players/trevor-mcdonald/26448/stats" xr:uid="{3AD884A3-EE1B-334E-A653-0A4F389005E0}"/>
    <hyperlink ref="C521" r:id="rId1036" display="https://www.fangraphs.com/teams/giants" xr:uid="{9D964562-60D5-0B4C-989E-34DBA7BBE682}"/>
    <hyperlink ref="B522" r:id="rId1037" display="https://www.fangraphs.com/players/jake-meyers/20308/stats" xr:uid="{AA85DB10-216B-1C44-8FDA-D9F69A9C6285}"/>
    <hyperlink ref="C522" r:id="rId1038" display="https://www.fangraphs.com/teams/astros" xr:uid="{316C5AE7-FA64-8F44-8FA4-45F01034CA92}"/>
    <hyperlink ref="B523" r:id="rId1039" display="https://www.fangraphs.com/players/andrew-alvarez/29914/stats" xr:uid="{520E1A99-26F0-904F-8C6D-58CED3BCB03C}"/>
    <hyperlink ref="C523" r:id="rId1040" display="https://www.fangraphs.com/teams/nationals" xr:uid="{AD7A6E83-21EA-7745-ADE3-30A70DEE7617}"/>
    <hyperlink ref="B524" r:id="rId1041" display="https://www.fangraphs.com/players/tanner-banks/16990/stats" xr:uid="{504927B9-722D-7F4D-8FC8-2027EFE952C6}"/>
    <hyperlink ref="C524" r:id="rId1042" display="https://www.fangraphs.com/teams/phillies" xr:uid="{0A28011E-927C-AB4F-A307-6908F795588C}"/>
    <hyperlink ref="B525" r:id="rId1043" display="https://www.fangraphs.com/players/michael-mcgreevy/29869/stats" xr:uid="{D8F5ADB2-E615-5847-8959-0BFC7B21D0A2}"/>
    <hyperlink ref="C525" r:id="rId1044" display="https://www.fangraphs.com/teams/cardinals" xr:uid="{059911EF-AB01-884A-998F-898B923BA35A}"/>
    <hyperlink ref="B526" r:id="rId1045" display="https://www.fangraphs.com/players/ben-lively/14932/stats" xr:uid="{C327F169-3007-1946-A0C2-A47295D8F498}"/>
    <hyperlink ref="C526" r:id="rId1046" display="https://www.fangraphs.com/teams/guardians" xr:uid="{7D469A84-96F3-9E45-83E7-EF4A5B61D5B0}"/>
    <hyperlink ref="B527" r:id="rId1047" display="https://www.fangraphs.com/players/ryan-bergert/29863/stats" xr:uid="{B9BAE52C-7BA0-644E-9276-05CD7BA24644}"/>
    <hyperlink ref="C527" r:id="rId1048" display="https://www.fangraphs.com/teams/royals" xr:uid="{19BDA121-15AD-2B4D-B809-AA41BD0BE2BA}"/>
    <hyperlink ref="B528" r:id="rId1049" display="https://www.fangraphs.com/players/bennett-sousa/21345/stats" xr:uid="{F0F2652C-F29A-964E-9B00-0E6F707D524D}"/>
    <hyperlink ref="C528" r:id="rId1050" display="https://www.fangraphs.com/teams/astros" xr:uid="{235FDB00-9C61-A14D-B6CB-91E9C3826B8C}"/>
    <hyperlink ref="B529" r:id="rId1051" display="https://www.fangraphs.com/players/mike-vasil/30105/stats" xr:uid="{176126F4-F903-E44A-BF46-B3076A6C783B}"/>
    <hyperlink ref="C529" r:id="rId1052" display="https://www.fangraphs.com/teams/white-sox" xr:uid="{20122EEA-243E-4848-A1D1-4BFC749CCFB6}"/>
    <hyperlink ref="B530" r:id="rId1053" display="https://www.fangraphs.com/players/caleb-thielbar/10078/stats" xr:uid="{01F0639C-AB46-5841-9316-51F734DCB8C7}"/>
    <hyperlink ref="C530" r:id="rId1054" display="https://www.fangraphs.com/teams/cubs" xr:uid="{9F0DF0F6-701D-C747-83D6-F90EF1067BBC}"/>
    <hyperlink ref="B531" r:id="rId1055" display="https://www.fangraphs.com/players/felix-bautista/20666/stats" xr:uid="{0848B4B9-2A74-3048-9991-EB249262A410}"/>
    <hyperlink ref="C531" r:id="rId1056" display="https://www.fangraphs.com/teams/orioles" xr:uid="{89AA01A7-9366-B749-BC40-50FF4608DB9C}"/>
    <hyperlink ref="B532" r:id="rId1057" display="https://www.fangraphs.com/players/eric-wagaman/23395/stats" xr:uid="{3B77067F-9057-D842-A433-42731BE2D2C2}"/>
    <hyperlink ref="C532" r:id="rId1058" display="https://www.fangraphs.com/teams/twins" xr:uid="{D03D031F-CF67-7343-BB51-4F369F107358}"/>
    <hyperlink ref="B533" r:id="rId1059" display="https://www.fangraphs.com/players/ryan-yarbrough/16502/stats" xr:uid="{CBE2885F-C0AC-3042-8E1A-7695F5C367ED}"/>
    <hyperlink ref="C533" r:id="rId1060" display="https://www.fangraphs.com/teams/yankees" xr:uid="{720E8E81-5E26-A041-982F-E062BFD24910}"/>
    <hyperlink ref="B534" r:id="rId1061" display="https://www.fangraphs.com/players/matthew-liberatore/22294/stats" xr:uid="{CED24F51-6E5E-2447-8A79-49AF9E4585E6}"/>
    <hyperlink ref="C534" r:id="rId1062" display="https://www.fangraphs.com/teams/cardinals" xr:uid="{DACB9507-878E-4B4B-9BE6-48A1A310E8D9}"/>
    <hyperlink ref="B535" r:id="rId1063" display="https://www.fangraphs.com/players/greg-weissert/20375/stats" xr:uid="{C0825A36-14A5-F34E-85C4-2E1C49573F8B}"/>
    <hyperlink ref="C535" r:id="rId1064" display="https://www.fangraphs.com/teams/red-sox" xr:uid="{2A7CBCC1-9A86-3544-A7F3-316ED6F60142}"/>
    <hyperlink ref="B536" r:id="rId1065" display="https://www.fangraphs.com/players/jared-koenig/27517/stats" xr:uid="{7C3A511B-3C26-5A40-94D2-78B8DB61C963}"/>
    <hyperlink ref="C536" r:id="rId1066" display="https://www.fangraphs.com/teams/brewers" xr:uid="{F82958CD-6A2B-BC42-A7B8-59A41D219990}"/>
    <hyperlink ref="B537" r:id="rId1067" display="https://www.fangraphs.com/players/luis-garcia/23735/stats" xr:uid="{49AF6524-D62A-6549-B0D5-BEF67F94A2FD}"/>
    <hyperlink ref="C537" r:id="rId1068" display="https://www.fangraphs.com/teams/astros" xr:uid="{0FB6FA01-E8FF-954F-A3A1-1A748E4380CC}"/>
    <hyperlink ref="B538" r:id="rId1069" display="https://www.fangraphs.com/players/davis-martin/21448/stats" xr:uid="{EF92C2A2-EEDF-B148-BCDF-90D6441131C9}"/>
    <hyperlink ref="C538" r:id="rId1070" display="https://www.fangraphs.com/teams/white-sox" xr:uid="{6A43BF5B-0F91-A449-BCA9-F1A518D80A96}"/>
    <hyperlink ref="B539" r:id="rId1071" display="https://www.fangraphs.com/players/hunter-dobbins/30240/stats" xr:uid="{B2BE9E7C-CB62-FA43-BB2B-7AF0A913E6A7}"/>
    <hyperlink ref="C539" r:id="rId1072" display="https://www.fangraphs.com/teams/cardinals" xr:uid="{0F8F995D-77A2-B94A-B95F-83D78E85D83C}"/>
    <hyperlink ref="B540" r:id="rId1073" display="https://www.fangraphs.com/players/jacob-webb/19274/stats" xr:uid="{3CD0C543-AA88-B145-A14D-9B55A4A60ADC}"/>
    <hyperlink ref="C540" r:id="rId1074" display="https://www.fangraphs.com/teams/cubs" xr:uid="{AFEE875C-2DA2-5145-A921-4507B3C79AA3}"/>
    <hyperlink ref="B541" r:id="rId1075" display="https://www.fangraphs.com/players/tyler-heineman/13897/stats" xr:uid="{71BEA17B-9B62-2545-B97B-35E57AECFA36}"/>
    <hyperlink ref="C541" r:id="rId1076" display="https://www.fangraphs.com/teams/blue-jays" xr:uid="{BB86B71C-8B6C-AA46-A4EA-0ED08639CB5F}"/>
    <hyperlink ref="B542" r:id="rId1077" display="https://www.fangraphs.com/players/gavin-lux/19955/stats" xr:uid="{61BE3AB4-67BE-0B4E-927E-A5A8324B76A5}"/>
    <hyperlink ref="C542" r:id="rId1078" display="https://www.fangraphs.com/teams/rays" xr:uid="{B9A01E52-1B09-0744-BA27-6FE4686375E7}"/>
    <hyperlink ref="B543" r:id="rId1079" display="https://www.fangraphs.com/players/yu-darvish/13074/stats" xr:uid="{96CCCA85-625D-4844-A033-E10ADF0F94AD}"/>
    <hyperlink ref="C543" r:id="rId1080" display="https://www.fangraphs.com/teams/padres" xr:uid="{6BFFEB86-B448-6E42-BA90-FC028189ABD2}"/>
    <hyperlink ref="B544" r:id="rId1081" display="https://www.fangraphs.com/players/adam-frazier/15223/stats" xr:uid="{592CDA2B-AC2F-8346-B4A1-16047155CC2B}"/>
    <hyperlink ref="C544" r:id="rId1082" display="https://www.fangraphs.com/teams/angels" xr:uid="{0FFF31E4-830E-5E42-8B5B-570C2E78A93E}"/>
    <hyperlink ref="B545" r:id="rId1083" display="https://www.fangraphs.com/players/wenceel-perez/22857/stats" xr:uid="{E3704B44-D4A3-5A40-88B2-831B5C682528}"/>
    <hyperlink ref="C545" r:id="rId1084" display="https://www.fangraphs.com/teams/tigers" xr:uid="{FD903A23-CC19-474D-93F1-8F8C7E00D9D2}"/>
    <hyperlink ref="B546" r:id="rId1085" display="https://www.fangraphs.com/players/calvin-faucher/20116/stats" xr:uid="{BF9D2E5B-2D52-C644-B7E4-3504617CEE95}"/>
    <hyperlink ref="C546" r:id="rId1086" display="https://www.fangraphs.com/teams/marlins" xr:uid="{985FC1F7-28C7-3E40-BCE0-E3140ED5CB8B}"/>
    <hyperlink ref="B547" r:id="rId1087" display="https://www.fangraphs.com/players/hayden-wesneski/27581/stats" xr:uid="{4A96DB9B-FAC0-3C4E-8C13-9A5EE4F240F6}"/>
    <hyperlink ref="C547" r:id="rId1088" display="https://www.fangraphs.com/teams/astros" xr:uid="{402377A7-5299-A34B-A201-6AD7E4324FA6}"/>
    <hyperlink ref="B548" r:id="rId1089" display="https://www.fangraphs.com/players/aj-smith-shawver/29960/stats" xr:uid="{657BF3DD-A38D-2643-859E-F686E74430B8}"/>
    <hyperlink ref="C548" r:id="rId1090" display="https://www.fangraphs.com/teams/braves" xr:uid="{59792CB0-C2AE-F747-AE1E-F36196675A66}"/>
    <hyperlink ref="B549" r:id="rId1091" display="https://www.fangraphs.com/players/nabil-crismatt/17732/stats" xr:uid="{3AF37049-2A04-5A4C-8FB3-DAC7F73C8A00}"/>
    <hyperlink ref="C549" r:id="rId1092" display="https://www.fangraphs.com/teams/rangers" xr:uid="{1F901A7F-5239-C041-AA30-F026424E7EFF}"/>
    <hyperlink ref="B550" r:id="rId1093" display="https://www.fangraphs.com/players/mitch-garver/15161/stats" xr:uid="{4FCFA767-E41B-AE49-BF49-225D762343B9}"/>
    <hyperlink ref="C550" r:id="rId1094" display="https://www.fangraphs.com/teams/mariners" xr:uid="{6F72393C-013D-EE4B-A061-82F2296C0469}"/>
    <hyperlink ref="B551" r:id="rId1095" display="https://www.fangraphs.com/players/max-kepler/12144/stats" xr:uid="{1013A8AC-3548-4444-8B50-E7242BAC78A4}"/>
    <hyperlink ref="B552" r:id="rId1096" display="https://www.fangraphs.com/players/lake-bachar/19222/stats" xr:uid="{7EE6D827-1760-664C-AC95-B72B4B7EF545}"/>
    <hyperlink ref="C552" r:id="rId1097" display="https://www.fangraphs.com/teams/marlins" xr:uid="{A80D869A-3088-7E44-960C-1352D0873D79}"/>
    <hyperlink ref="B553" r:id="rId1098" display="https://www.fangraphs.com/players/anthony-bender/19742/stats" xr:uid="{13BF450B-3220-2A41-B20F-5510B197C29E}"/>
    <hyperlink ref="C553" r:id="rId1099" display="https://www.fangraphs.com/teams/marlins" xr:uid="{11731D24-47B2-A142-A8BF-514881BA9F60}"/>
    <hyperlink ref="B554" r:id="rId1100" display="https://www.fangraphs.com/players/camilo-doval/21992/stats" xr:uid="{C6EA76CB-AA26-C04A-AA43-E52F144D0D6B}"/>
    <hyperlink ref="C554" r:id="rId1101" display="https://www.fangraphs.com/teams/yankees" xr:uid="{CED2CB75-0C33-2847-81B8-4679EE3689AF}"/>
    <hyperlink ref="B555" r:id="rId1102" display="https://www.fangraphs.com/players/orion-kerkering/31776/stats" xr:uid="{BA8FDC6F-0109-8947-8823-0770B1DE834D}"/>
    <hyperlink ref="C555" r:id="rId1103" display="https://www.fangraphs.com/teams/phillies" xr:uid="{59A16900-FCAC-894F-9564-E07CD95B8475}"/>
    <hyperlink ref="B556" r:id="rId1104" display="https://www.fangraphs.com/players/dylan-lee/19996/stats" xr:uid="{A8A5A6B7-9970-1D47-80A0-D4A94956A765}"/>
    <hyperlink ref="C556" r:id="rId1105" display="https://www.fangraphs.com/teams/braves" xr:uid="{BBF0F34A-3C80-8544-A413-AC72BEE0F157}"/>
    <hyperlink ref="B557" r:id="rId1106" display="https://www.fangraphs.com/players/elias-diaz/11680/stats" xr:uid="{3F5F29FB-B121-C347-BF83-11F2E19C641E}"/>
    <hyperlink ref="C557" r:id="rId1107" display="https://www.fangraphs.com/teams/royals" xr:uid="{2C6403B4-BF86-954A-8B87-98047E718F07}"/>
    <hyperlink ref="B558" r:id="rId1108" display="https://www.fangraphs.com/players/randy-vasquez/24719/stats" xr:uid="{A0CA9762-3532-6D48-B9E7-8334D73F480F}"/>
    <hyperlink ref="C558" r:id="rId1109" display="https://www.fangraphs.com/teams/padres" xr:uid="{E3B59E77-A4A4-5640-868F-5F1342E5D4F6}"/>
    <hyperlink ref="B559" r:id="rId1110" display="https://www.fangraphs.com/players/isiah-kiner-falefa/16512/stats" xr:uid="{A2819786-C335-A542-BB27-490268056459}"/>
    <hyperlink ref="C559" r:id="rId1111" display="https://www.fangraphs.com/teams/red-sox" xr:uid="{FDBCD86F-1273-3E41-91C3-2391E3CC2528}"/>
    <hyperlink ref="B560" r:id="rId1112" display="https://www.fangraphs.com/players/logan-evans/33699/stats" xr:uid="{60422288-1CF0-3548-B026-2101F2BDFC86}"/>
    <hyperlink ref="C560" r:id="rId1113" display="https://www.fangraphs.com/teams/mariners" xr:uid="{95AF6C17-9DAB-1145-8B10-915A31D878F4}"/>
    <hyperlink ref="B561" r:id="rId1114" display="https://www.fangraphs.com/players/luis-ortiz/27646/stats" xr:uid="{95EFD0BF-698A-5746-A729-CA800D98D1DD}"/>
    <hyperlink ref="C561" r:id="rId1115" display="https://www.fangraphs.com/teams/guardians" xr:uid="{7C8EC80C-422B-3C4D-A08A-C386F0A9C7B0}"/>
    <hyperlink ref="B562" r:id="rId1116" display="https://www.fangraphs.com/players/joey-bart/21524/stats" xr:uid="{A600D3EE-3235-9D41-8D0D-6BEB3773833F}"/>
    <hyperlink ref="C562" r:id="rId1117" display="https://www.fangraphs.com/teams/pirates" xr:uid="{A286DC97-6FC6-C44D-A003-FF3803170E51}"/>
    <hyperlink ref="B563" r:id="rId1118" display="https://www.fangraphs.com/players/andrew-mccutchen/9847/stats" xr:uid="{0385D2DE-1C7E-9941-B005-7D8C667CED19}"/>
    <hyperlink ref="B564" r:id="rId1119" display="https://www.fangraphs.com/players/tommy-pham/2967/stats" xr:uid="{B1C30316-0C61-6848-AA83-22DF847C3A19}"/>
    <hyperlink ref="B565" r:id="rId1120" display="https://www.fangraphs.com/players/jose-de-leon/15463/stats" xr:uid="{3739BA64-6699-E847-89D3-54B90722BA0E}"/>
    <hyperlink ref="B566" r:id="rId1121" display="https://www.fangraphs.com/players/aj-blubaugh/31764/stats" xr:uid="{267E3433-6502-F545-89EF-EF1EDB38EBEF}"/>
    <hyperlink ref="C566" r:id="rId1122" display="https://www.fangraphs.com/teams/astros" xr:uid="{9FF9E906-13F4-9144-87B9-FB5BD75174B0}"/>
    <hyperlink ref="B567" r:id="rId1123" display="https://www.fangraphs.com/players/nick-mears/25376/stats" xr:uid="{C29EA58C-4EE2-1C4F-A1A6-CEC4B29E786F}"/>
    <hyperlink ref="C567" r:id="rId1124" display="https://www.fangraphs.com/teams/royals" xr:uid="{2BB73DAE-71E5-C648-AAC8-B2BC5D1D1285}"/>
    <hyperlink ref="B568" r:id="rId1125" display="https://www.fangraphs.com/players/bailey-falter/20070/stats" xr:uid="{3C8CA90F-C190-0C46-BE3D-8A2FF27D2455}"/>
    <hyperlink ref="C568" r:id="rId1126" display="https://www.fangraphs.com/teams/royals" xr:uid="{17F4586E-C08D-C241-A744-2F1969DF6444}"/>
    <hyperlink ref="B569" r:id="rId1127" display="https://www.fangraphs.com/players/tony-gonsolin/19388/stats" xr:uid="{2A25BE04-1F61-5D40-B07A-0A8AB0F97956}"/>
    <hyperlink ref="B570" r:id="rId1128" display="https://www.fangraphs.com/players/landon-knack/27487/stats" xr:uid="{24392F8F-1C47-064F-AED9-FF64546E4A3A}"/>
    <hyperlink ref="C570" r:id="rId1129" display="https://www.fangraphs.com/teams/dodgers" xr:uid="{F12A3789-F492-BE42-B8A0-B5C70BB6CA7A}"/>
    <hyperlink ref="B571" r:id="rId1130" display="https://www.fangraphs.com/players/myles-straw/17620/stats" xr:uid="{4BE96E15-2687-FE42-B490-36C7E21EDACB}"/>
    <hyperlink ref="C571" r:id="rId1131" display="https://www.fangraphs.com/teams/blue-jays" xr:uid="{0AAA608C-A7AF-9348-AF08-E020966AA1AE}"/>
    <hyperlink ref="B572" r:id="rId1132" display="https://www.fangraphs.com/players/brad-lord/31972/stats" xr:uid="{5506A16C-3223-AD4A-94D8-E50627F23F86}"/>
    <hyperlink ref="C572" r:id="rId1133" display="https://www.fangraphs.com/teams/nationals" xr:uid="{ED32F553-51AD-3A42-AE8F-241906BA58DC}"/>
    <hyperlink ref="B573" r:id="rId1134" display="https://www.fangraphs.com/players/jackson-jobe/30203/stats" xr:uid="{F90A63C9-1A58-314B-AA3D-31271033B3D8}"/>
    <hyperlink ref="C573" r:id="rId1135" display="https://www.fangraphs.com/teams/tigers" xr:uid="{872A1490-9D3E-8249-8971-A0C589CB3A7F}"/>
    <hyperlink ref="B574" r:id="rId1136" display="https://www.fangraphs.com/players/kyle-harrison/27758/stats" xr:uid="{E78052EA-1D32-D643-AF7C-5DBE45F01F08}"/>
    <hyperlink ref="C574" r:id="rId1137" display="https://www.fangraphs.com/teams/brewers" xr:uid="{F274CF29-FFDC-364A-84C4-A87E01940241}"/>
    <hyperlink ref="B575" r:id="rId1138" display="https://www.fangraphs.com/players/drew-pomeranz/11426/stats" xr:uid="{1748344A-4482-514A-BB7C-2B8B619FF689}"/>
    <hyperlink ref="C575" r:id="rId1139" display="https://www.fangraphs.com/teams/angels" xr:uid="{A18E4168-5CB9-E945-9762-EF8F2519BF7F}"/>
    <hyperlink ref="B576" r:id="rId1140" display="https://www.fangraphs.com/players/ty-france/17982/stats" xr:uid="{4C576D4E-C3D1-7F43-A8BA-B4DB25A65495}"/>
    <hyperlink ref="C576" r:id="rId1141" display="https://www.fangraphs.com/teams/padres" xr:uid="{2EABABB5-CDE1-8746-8025-BF067ECB1C1A}"/>
    <hyperlink ref="B577" r:id="rId1142" display="https://www.fangraphs.com/players/tobias-myers/22191/stats" xr:uid="{0FEFD2B5-F887-C440-956A-E7BC60A29F32}"/>
    <hyperlink ref="C577" r:id="rId1143" display="https://www.fangraphs.com/teams/mets" xr:uid="{2BCADD30-2C9B-CF40-8306-0254CD4E1CDF}"/>
    <hyperlink ref="B578" r:id="rId1144" display="https://www.fangraphs.com/players/austin-wynns/15271/stats" xr:uid="{A47A429C-F802-734C-9EBF-C812A51D3033}"/>
    <hyperlink ref="C578" r:id="rId1145" display="https://www.fangraphs.com/teams/athletics" xr:uid="{C68BA403-D4B0-FC46-B847-719596023517}"/>
    <hyperlink ref="B579" r:id="rId1146" display="https://www.fangraphs.com/players/alek-thomas/23792/stats" xr:uid="{D99DCD0F-A426-4842-90EF-D51F59E0B68B}"/>
    <hyperlink ref="C579" r:id="rId1147" display="https://www.fangraphs.com/teams/diamondbacks" xr:uid="{49746995-1D68-4346-B452-5521D8286D13}"/>
    <hyperlink ref="B580" r:id="rId1148" display="https://www.fangraphs.com/players/kyle-hart/19646/stats" xr:uid="{3AFAEBE0-FC8C-CD41-8B06-F91FBB35CFF7}"/>
    <hyperlink ref="C580" r:id="rId1149" display="https://www.fangraphs.com/teams/padres" xr:uid="{B10A691A-0740-3244-9B26-B6ACE5F48846}"/>
    <hyperlink ref="B581" r:id="rId1150" display="https://www.fangraphs.com/players/reese-mcguire/15674/stats" xr:uid="{246A2106-AAEB-8646-BE15-9DE6FD5CFBE3}"/>
    <hyperlink ref="C581" r:id="rId1151" display="https://www.fangraphs.com/teams/brewers" xr:uid="{AC36F781-4C04-D64A-8E49-A474C6BCDE8D}"/>
    <hyperlink ref="B582" r:id="rId1152" display="https://www.fangraphs.com/players/robert-gasser/29812/stats" xr:uid="{A310B405-69FE-7D41-8DF6-46CE4A8FDAFC}"/>
    <hyperlink ref="C582" r:id="rId1153" display="https://www.fangraphs.com/teams/brewers" xr:uid="{852048BF-9E99-E344-9DE7-21FF791AEBF5}"/>
    <hyperlink ref="B583" r:id="rId1154" display="https://www.fangraphs.com/players/max-scherzer/3137/stats" xr:uid="{3DD1A1AB-1C01-6645-AE61-ED0C37854DDB}"/>
    <hyperlink ref="B584" r:id="rId1155" display="https://www.fangraphs.com/players/connor-phillips/27649/stats" xr:uid="{E1F278C7-40ED-174E-AA80-1B7DFE4F4F2C}"/>
    <hyperlink ref="C584" r:id="rId1156" display="https://www.fangraphs.com/teams/reds" xr:uid="{56923A85-8907-1C42-9CAF-6741D73F14FB}"/>
    <hyperlink ref="B585" r:id="rId1157" display="https://www.fangraphs.com/players/angel-martinez/26540/stats" xr:uid="{DF4CD2A4-2341-9D42-96FC-DFC85118EC8F}"/>
    <hyperlink ref="C585" r:id="rId1158" display="https://www.fangraphs.com/teams/guardians" xr:uid="{ED9A4B3B-B09D-1D45-9599-649EB76A4ADA}"/>
    <hyperlink ref="B586" r:id="rId1159" display="https://www.fangraphs.com/players/heriberto-hernandez/24878/stats" xr:uid="{EA1314CF-2033-C842-A673-8FAE463A74F4}"/>
    <hyperlink ref="C586" r:id="rId1160" display="https://www.fangraphs.com/teams/marlins" xr:uid="{6FB62C38-FA25-A144-9E0B-5B43B0D16B9B}"/>
    <hyperlink ref="B587" r:id="rId1161" display="https://www.fangraphs.com/players/michael-lorenzen/14843/stats" xr:uid="{4A66AC5F-A8C5-7E4E-85C5-118D54E0325C}"/>
    <hyperlink ref="C587" r:id="rId1162" display="https://www.fangraphs.com/teams/rockies" xr:uid="{E93600E9-FCF7-8242-9900-D58E58F4561F}"/>
    <hyperlink ref="B588" r:id="rId1163" display="https://www.fangraphs.com/players/david-festa/30056/stats" xr:uid="{54D42AC7-406B-AE4B-8C16-9183BCD729B9}"/>
    <hyperlink ref="C588" r:id="rId1164" display="https://www.fangraphs.com/teams/twins" xr:uid="{67D90BB1-1589-9347-971D-739465618C34}"/>
    <hyperlink ref="B589" r:id="rId1165" display="https://www.fangraphs.com/players/aaron-civale/19479/stats" xr:uid="{49FD9D36-CEB6-064A-BB15-E3367407E499}"/>
    <hyperlink ref="C589" r:id="rId1166" display="https://www.fangraphs.com/teams/athletics" xr:uid="{056BAB69-E952-7D46-A98F-D38F631BCD04}"/>
    <hyperlink ref="B590" r:id="rId1167" display="https://www.fangraphs.com/players/jose-trevino/16725/stats" xr:uid="{1A03D071-A4EB-6945-BBE2-29E4A4EEDAFE}"/>
    <hyperlink ref="C590" r:id="rId1168" display="https://www.fangraphs.com/teams/reds" xr:uid="{5CCC1D21-E74C-1F42-849D-80173A28109B}"/>
    <hyperlink ref="B591" r:id="rId1169" display="https://www.fangraphs.com/players/brant-hurter/30133/stats" xr:uid="{9F5A5844-99BB-3A43-96E4-1384260F99BF}"/>
    <hyperlink ref="C591" r:id="rId1170" display="https://www.fangraphs.com/teams/tigers" xr:uid="{D6B79046-ADB9-3F45-9329-2A1D9932291D}"/>
    <hyperlink ref="B592" r:id="rId1171" display="https://www.fangraphs.com/players/carson-whisenhunt/31676/stats" xr:uid="{29C84F5F-7B97-F24B-8709-743D39DDA8B9}"/>
    <hyperlink ref="C592" r:id="rId1172" display="https://www.fangraphs.com/teams/giants" xr:uid="{06B3701B-3241-7F45-ABDC-3A24414D4839}"/>
    <hyperlink ref="B593" r:id="rId1173" display="https://www.fangraphs.com/players/brandon-sproat/33850/stats" xr:uid="{383AD28C-8D56-3547-B3A1-B3D118CB6D47}"/>
    <hyperlink ref="C593" r:id="rId1174" display="https://www.fangraphs.com/teams/brewers" xr:uid="{2ADA6236-13A0-BC4B-B0EC-452519AE2492}"/>
    <hyperlink ref="B594" r:id="rId1175" display="https://www.fangraphs.com/players/keider-montero/22630/stats" xr:uid="{C50C6645-D848-CE41-8C67-B90B2698474D}"/>
    <hyperlink ref="C594" r:id="rId1176" display="https://www.fangraphs.com/teams/tigers" xr:uid="{B6A13EE4-BDD8-E34F-9594-579134FD45C3}"/>
    <hyperlink ref="B595" r:id="rId1177" display="https://www.fangraphs.com/players/richard-fitts/30160/stats" xr:uid="{D2BAA8ED-80E6-8F41-B0F4-4A1C451CB6FB}"/>
    <hyperlink ref="C595" r:id="rId1178" display="https://www.fangraphs.com/teams/cardinals" xr:uid="{6CFA9691-E8FF-7F44-AFE7-8664CFBDADF2}"/>
    <hyperlink ref="B596" r:id="rId1179" display="https://www.fangraphs.com/players/jimmy-herget/17556/stats" xr:uid="{55560F79-E211-BA44-8C20-E839098B6BB9}"/>
    <hyperlink ref="C596" r:id="rId1180" display="https://www.fangraphs.com/teams/rockies" xr:uid="{C62E96A0-5325-8A48-9750-64E74D35F4DB}"/>
    <hyperlink ref="B597" r:id="rId1181" display="https://www.fangraphs.com/players/tyler-kinley/18297/stats" xr:uid="{D919D870-F4CE-F240-8EF2-B4C705F1367D}"/>
    <hyperlink ref="C597" r:id="rId1182" display="https://www.fangraphs.com/teams/braves" xr:uid="{2D83C53A-F9AD-B24C-A338-C7D6BA8D7A99}"/>
    <hyperlink ref="B598" r:id="rId1183" display="https://www.fangraphs.com/players/jp-sears/23429/stats" xr:uid="{4B2F247E-DE05-1547-8A04-984383943241}"/>
    <hyperlink ref="C598" r:id="rId1184" display="https://www.fangraphs.com/teams/padres" xr:uid="{C26A10C6-D094-064D-B948-B0F893CF1B09}"/>
    <hyperlink ref="B599" r:id="rId1185" display="https://www.fangraphs.com/players/bryan-baker/19804/stats" xr:uid="{8735396A-0A27-1A4C-B83F-ED70CDA79DDB}"/>
    <hyperlink ref="C599" r:id="rId1186" display="https://www.fangraphs.com/teams/rays" xr:uid="{7E36D5E0-4B2C-5B4A-9E7A-D9763322AA34}"/>
    <hyperlink ref="B600" r:id="rId1187" display="https://www.fangraphs.com/players/brock-burke/17968/stats" xr:uid="{A71829A7-8399-C240-B336-91052CA9DF6F}"/>
    <hyperlink ref="C600" r:id="rId1188" display="https://www.fangraphs.com/teams/reds" xr:uid="{D8E4DD6C-C24C-0D44-936B-51A76DA75AE4}"/>
    <hyperlink ref="B601" r:id="rId1189" display="https://www.fangraphs.com/players/yariel-rodriguez/33838/stats" xr:uid="{75F09012-A7C9-8944-A206-B69C71EAFE60}"/>
    <hyperlink ref="C601" r:id="rId1190" display="https://www.fangraphs.com/teams/blue-jays" xr:uid="{0562AFA4-C210-F24A-BC1E-BF045F70A9C0}"/>
    <hyperlink ref="B602" r:id="rId1191" display="https://www.fangraphs.com/players/tomoyuki-sugano/35321/stats" xr:uid="{D43D30AD-3038-6549-9D12-5CDFFB785B6D}"/>
    <hyperlink ref="C602" r:id="rId1192" display="https://www.fangraphs.com/teams/rockies" xr:uid="{3EF99C28-F651-1344-B577-EE9EEB6DC0AA}"/>
    <hyperlink ref="B603" r:id="rId1193" display="https://www.fangraphs.com/players/kebryan-hayes/18577/stats" xr:uid="{2EB89033-108B-7E43-BD69-49B27C2C74A3}"/>
    <hyperlink ref="C603" r:id="rId1194" display="https://www.fangraphs.com/teams/reds" xr:uid="{E9E6A399-0EDD-9D4F-9B90-FAC1B541EBA7}"/>
    <hyperlink ref="B604" r:id="rId1195" display="https://www.fangraphs.com/players/jason-alexander/19666/stats" xr:uid="{7D2B6DBC-F8D6-4645-95DF-F9F9DB0DB81A}"/>
    <hyperlink ref="C604" r:id="rId1196" display="https://www.fangraphs.com/teams/astros" xr:uid="{9965EEBE-5ACB-7546-A862-A52FA8805BBC}"/>
    <hyperlink ref="B605" r:id="rId1197" display="https://www.fangraphs.com/players/davis-daniel/27582/stats" xr:uid="{E5CF47BD-F4E6-F142-BD08-BE4028BC7258}"/>
    <hyperlink ref="C605" r:id="rId1198" display="https://www.fangraphs.com/teams/reds" xr:uid="{3C9B90BF-14EF-DA45-B771-7B8F57699090}"/>
    <hyperlink ref="B606" r:id="rId1199" display="https://www.fangraphs.com/players/luis-torrens/15905/stats" xr:uid="{62E4FDCC-E129-6E4B-ACDF-527D971BC2E3}"/>
    <hyperlink ref="C606" r:id="rId1200" display="https://www.fangraphs.com/teams/mets" xr:uid="{39937CD9-233A-6744-B428-DD5DF6E0FF0B}"/>
    <hyperlink ref="B607" r:id="rId1201" display="https://www.fangraphs.com/players/anthony-banda/14706/stats" xr:uid="{565DC7B3-C5C1-6647-8833-FDD2F92E91F9}"/>
    <hyperlink ref="C607" r:id="rId1202" display="https://www.fangraphs.com/teams/twins" xr:uid="{3C6A5DF1-4FD2-2E43-931C-127D1359A147}"/>
    <hyperlink ref="B608" r:id="rId1203" display="https://www.fangraphs.com/players/taylor-clarke/17611/stats" xr:uid="{E1D9D766-065F-EE4D-A1F5-E3929F836E8B}"/>
    <hyperlink ref="C608" r:id="rId1204" display="https://www.fangraphs.com/teams/diamondbacks" xr:uid="{BFD99048-FF06-9F44-BF91-3EB0CEDCF302}"/>
    <hyperlink ref="B609" r:id="rId1205" display="https://www.fangraphs.com/players/tyler-phillips/20629/stats" xr:uid="{3DCB70C1-36A3-6646-88FE-2D6F0BBFC88B}"/>
    <hyperlink ref="C609" r:id="rId1206" display="https://www.fangraphs.com/teams/marlins" xr:uid="{53F7D521-3E2E-EC40-AEE4-F06F135D44C3}"/>
    <hyperlink ref="B610" r:id="rId1207" display="https://www.fangraphs.com/players/james-mccann/12859/stats" xr:uid="{B63EA145-1B30-6A41-9E61-E9514ABADBB6}"/>
    <hyperlink ref="C610" r:id="rId1208" display="https://www.fangraphs.com/teams/diamondbacks" xr:uid="{BBF631A8-6FBC-CF48-9EE4-911F80114AF1}"/>
    <hyperlink ref="B611" r:id="rId1209" display="https://www.fangraphs.com/players/carlos-santana/2396/stats" xr:uid="{E5D413D3-8FDC-D647-A93D-F6B780697A01}"/>
    <hyperlink ref="C611" r:id="rId1210" display="https://www.fangraphs.com/teams/diamondbacks" xr:uid="{CC5850F1-4DAD-B94F-85A7-9A5E4A5AE7BA}"/>
    <hyperlink ref="B612" r:id="rId1211" display="https://www.fangraphs.com/players/eli-white/19346/stats" xr:uid="{117D412E-52BF-4C4C-9C99-82ED4A8C6236}"/>
    <hyperlink ref="C612" r:id="rId1212" display="https://www.fangraphs.com/teams/braves" xr:uid="{16D6050F-4230-1F45-BF3D-210AEAD6D9E5}"/>
    <hyperlink ref="B613" r:id="rId1213" display="https://www.fangraphs.com/players/bruce-zimmermann/20370/stats" xr:uid="{996D0284-973A-DB49-806C-49F5479A083E}"/>
    <hyperlink ref="C613" r:id="rId1214" display="https://www.fangraphs.com/teams/cardinals" xr:uid="{131F824E-6C7A-7D44-A10A-B216D13C410C}"/>
    <hyperlink ref="B614" r:id="rId1215" display="https://www.fangraphs.com/players/patrick-corbin/9323/stats" xr:uid="{B4F37B6C-47C6-8246-A85D-691E0D56D47A}"/>
    <hyperlink ref="B615" r:id="rId1216" display="https://www.fangraphs.com/players/easton-lucas/26058/stats" xr:uid="{B00795F6-643C-3841-A592-D6764839A2AF}"/>
    <hyperlink ref="B616" r:id="rId1217" display="https://www.fangraphs.com/players/logan-allen/27589/stats" xr:uid="{0BB78015-C871-9E41-A597-B2CA729A7039}"/>
    <hyperlink ref="C616" r:id="rId1218" display="https://www.fangraphs.com/teams/guardians" xr:uid="{ED50DD6A-54E8-4049-829C-1A74DA6C8ACB}"/>
    <hyperlink ref="B617" r:id="rId1219" display="https://www.fangraphs.com/players/mike-tauchman/15274/stats" xr:uid="{5D59C5BA-ABBC-1447-92CC-88A85893526E}"/>
    <hyperlink ref="C617" r:id="rId1220" display="https://www.fangraphs.com/teams/mets" xr:uid="{AB743F31-BA87-6641-B46B-D53BC1F31A29}"/>
    <hyperlink ref="B618" r:id="rId1221" display="https://www.fangraphs.com/players/brooks-raley/10061/stats" xr:uid="{D137557E-C5F5-1D4B-BC0C-38AF74C575B4}"/>
    <hyperlink ref="C618" r:id="rId1222" display="https://www.fangraphs.com/teams/mets" xr:uid="{302C90D9-1367-624D-B60F-7E381097BC62}"/>
    <hyperlink ref="B619" r:id="rId1223" display="https://www.fangraphs.com/players/jalen-beeks/17192/stats" xr:uid="{653D20E2-FBC0-A24D-B9DC-DB278CEFDC3C}"/>
    <hyperlink ref="B620" r:id="rId1224" display="https://www.fangraphs.com/players/isaac-mattson/20385/stats" xr:uid="{C9DF93A9-ED8C-0341-8238-86D37EEA6AF1}"/>
    <hyperlink ref="C620" r:id="rId1225" display="https://www.fangraphs.com/teams/pirates" xr:uid="{78D17585-9162-404C-BE4E-9DFD000EED51}"/>
    <hyperlink ref="B621" r:id="rId1226" display="https://www.fangraphs.com/players/brendon-little/21574/stats" xr:uid="{7A786E2A-9B3B-0645-8EBE-887E554FE727}"/>
    <hyperlink ref="C621" r:id="rId1227" display="https://www.fangraphs.com/teams/blue-jays" xr:uid="{4E5813B2-E6B3-2242-A3E1-C7090246B53B}"/>
    <hyperlink ref="B622" r:id="rId1228" display="https://www.fangraphs.com/players/starling-marte/9241/stats" xr:uid="{CC8668E1-31C4-D642-AD54-60120597C8AB}"/>
    <hyperlink ref="B623" r:id="rId1229" display="https://www.fangraphs.com/players/gabriel-arias/22563/stats" xr:uid="{837AA8E0-D590-F247-B18C-6EBF8D4BFE62}"/>
    <hyperlink ref="C623" r:id="rId1230" display="https://www.fangraphs.com/teams/guardians" xr:uid="{F3ED343D-7AFE-4748-9C57-F1DF9B229F42}"/>
    <hyperlink ref="B624" r:id="rId1231" display="https://www.fangraphs.com/players/hunter-gaddis/25636/stats" xr:uid="{6E99A1EC-472A-3043-9426-5AAA8DDE41A3}"/>
    <hyperlink ref="C624" r:id="rId1232" display="https://www.fangraphs.com/teams/guardians" xr:uid="{93C89039-F658-0449-8B05-29BDE681992F}"/>
    <hyperlink ref="B625" r:id="rId1233" display="https://www.fangraphs.com/players/fernando-cruz/7048/stats" xr:uid="{3CE4B440-D6D8-C242-AD83-4D274E41BF5F}"/>
    <hyperlink ref="C625" r:id="rId1234" display="https://www.fangraphs.com/teams/yankees" xr:uid="{ADDEE90E-F025-6843-9480-CC246AC8F10B}"/>
    <hyperlink ref="B626" r:id="rId1235" display="https://www.fangraphs.com/players/keegan-akin/19362/stats" xr:uid="{183ABC7F-DE5C-D844-8CCC-120EEF85B2B7}"/>
    <hyperlink ref="C626" r:id="rId1236" display="https://www.fangraphs.com/teams/orioles" xr:uid="{DC95F504-7750-3949-8A84-CDC7E2CA1A77}"/>
    <hyperlink ref="B627" r:id="rId1237" display="https://www.fangraphs.com/players/hayden-birdsong/31635/stats" xr:uid="{7B0DDAFC-182B-CB4C-9330-8C5FB796D004}"/>
    <hyperlink ref="C627" r:id="rId1238" display="https://www.fangraphs.com/teams/giants" xr:uid="{14BA8836-EAFD-424E-A469-69323727E39F}"/>
    <hyperlink ref="B628" r:id="rId1239" display="https://www.fangraphs.com/players/cade-gibson/31815/stats" xr:uid="{FDFB26DB-1F8A-6F44-8FA0-9D4147A5FB8E}"/>
    <hyperlink ref="C628" r:id="rId1240" display="https://www.fangraphs.com/teams/marlins" xr:uid="{75BE8BDD-91DC-B14B-A777-C926F09EF227}"/>
    <hyperlink ref="B629" r:id="rId1241" display="https://www.fangraphs.com/players/gary-sanchez/11442/stats" xr:uid="{DFED3C30-BA2C-6C4E-B5F9-5FE73851257F}"/>
    <hyperlink ref="C629" r:id="rId1242" display="https://www.fangraphs.com/teams/brewers" xr:uid="{A76A0985-652F-7E43-BB4F-D5B86FCA3047}"/>
    <hyperlink ref="B630" r:id="rId1243" display="https://www.fangraphs.com/players/jt-ginn/27889/stats" xr:uid="{DA134DD1-F947-0745-90C3-4CAA24D90B29}"/>
    <hyperlink ref="C630" r:id="rId1244" display="https://www.fangraphs.com/teams/athletics" xr:uid="{08C37FF1-0343-944E-A981-6F25B61D5C43}"/>
    <hyperlink ref="B631" r:id="rId1245" display="https://www.fangraphs.com/players/rich-hill/4806/stats" xr:uid="{F4013D4D-0B07-2D45-A019-0AD083817662}"/>
    <hyperlink ref="B632" r:id="rId1246" display="https://www.fangraphs.com/players/keibert-ruiz/19610/stats" xr:uid="{2C48E708-E207-154C-8F05-4CAB03C65B4D}"/>
    <hyperlink ref="C632" r:id="rId1247" display="https://www.fangraphs.com/teams/nationals" xr:uid="{15418CB6-08E2-9F4D-B631-BB9A84FA9330}"/>
    <hyperlink ref="B633" r:id="rId1248" display="https://www.fangraphs.com/players/cole-winn/22113/stats" xr:uid="{C4DFA7B4-4403-4548-9FE0-BF481897C684}"/>
    <hyperlink ref="C633" r:id="rId1249" display="https://www.fangraphs.com/teams/rangers" xr:uid="{20623778-A926-D94C-8A4C-C701D328E9E7}"/>
    <hyperlink ref="B634" r:id="rId1250" display="https://www.fangraphs.com/players/danny-coulombe/13293/stats" xr:uid="{033C447C-7FBF-2240-B6CF-F650C9023F15}"/>
    <hyperlink ref="B635" r:id="rId1251" display="https://www.fangraphs.com/players/carson-spiers/27685/stats" xr:uid="{AA49C1FC-3DDA-5A45-A221-AF06E46A6FC3}"/>
    <hyperlink ref="C635" r:id="rId1252" display="https://www.fangraphs.com/teams/reds" xr:uid="{5437152D-962F-7744-B56C-F760F532F08F}"/>
    <hyperlink ref="B636" r:id="rId1253" display="https://www.fangraphs.com/players/wade-miley/8779/stats" xr:uid="{0B6FB9A1-488E-AB43-AE9D-799037A43C04}"/>
    <hyperlink ref="B637" r:id="rId1254" display="https://www.fangraphs.com/players/tim-hill/16814/stats" xr:uid="{F1A42DB6-6B27-2A4E-A8FE-8DA4A9297EF6}"/>
    <hyperlink ref="C637" r:id="rId1255" display="https://www.fangraphs.com/teams/yankees" xr:uid="{F55BA45C-E2DC-8649-BBF6-7A1A5BD011D3}"/>
    <hyperlink ref="B638" r:id="rId1256" display="https://www.fangraphs.com/players/kyle-hendricks/12049/stats" xr:uid="{DC9BACAB-9161-0E4A-BC68-5ECD0F40BA5B}"/>
    <hyperlink ref="B639" r:id="rId1257" display="https://www.fangraphs.com/players/matt-festa/19330/stats" xr:uid="{CA21BC72-FE60-804D-A043-AA792E0A4555}"/>
    <hyperlink ref="C639" r:id="rId1258" display="https://www.fangraphs.com/teams/guardians" xr:uid="{C5ACFA6B-F777-5C47-89BD-27B76181A647}"/>
    <hyperlink ref="B640" r:id="rId1259" display="https://www.fangraphs.com/players/taijuan-walker/11836/stats" xr:uid="{11A151E3-04B4-C341-B16C-94353AE7A0A6}"/>
    <hyperlink ref="C640" r:id="rId1260" display="https://www.fangraphs.com/teams/phillies" xr:uid="{7D512DC6-AD34-894D-BF17-32D3C35928A4}"/>
    <hyperlink ref="B641" r:id="rId1261" display="https://www.fangraphs.com/players/yoendrys-gomez/22872/stats" xr:uid="{6B31B9C5-B9E1-434A-B2D6-470234A7C79A}"/>
    <hyperlink ref="C641" r:id="rId1262" display="https://www.fangraphs.com/teams/rays" xr:uid="{4B3B3FFA-073A-814A-AFF1-574F756100EC}"/>
    <hyperlink ref="B642" r:id="rId1263" display="https://www.fangraphs.com/players/matt-waldron/25550/stats" xr:uid="{3E5C24A3-D14B-B84D-AF39-328922070167}"/>
    <hyperlink ref="C642" r:id="rId1264" display="https://www.fangraphs.com/teams/padres" xr:uid="{D28E4645-70E4-F64B-A599-EBE9AF5DAE94}"/>
    <hyperlink ref="B643" r:id="rId1265" display="https://www.fangraphs.com/players/nick-fortes/21538/stats" xr:uid="{D2418895-F8E1-1345-9A9C-E766B3CD7445}"/>
    <hyperlink ref="C643" r:id="rId1266" display="https://www.fangraphs.com/teams/rays" xr:uid="{9FD1AA05-1321-4945-94A7-B27376131591}"/>
    <hyperlink ref="B644" r:id="rId1267" display="https://www.fangraphs.com/players/huascar-brazoban/6107/stats" xr:uid="{F23969F7-7743-CD48-8A74-2BCB1858B3A2}"/>
    <hyperlink ref="C644" r:id="rId1268" display="https://www.fangraphs.com/teams/mets" xr:uid="{D2D39D60-C65C-054A-BD75-31548B999C65}"/>
    <hyperlink ref="B645" r:id="rId1269" display="https://www.fangraphs.com/players/jose-alvarado/17780/stats" xr:uid="{20182B3D-CE95-3149-A4A5-4AD7700BBFD8}"/>
    <hyperlink ref="C645" r:id="rId1270" display="https://www.fangraphs.com/teams/phillies" xr:uid="{29411AB6-0E1D-1141-A653-ACF2468A3056}"/>
    <hyperlink ref="B646" r:id="rId1271" display="https://www.fangraphs.com/players/edmundo-sosa/17022/stats" xr:uid="{59632B69-E266-264D-92D5-1BFC7796352A}"/>
    <hyperlink ref="C646" r:id="rId1272" display="https://www.fangraphs.com/teams/phillies" xr:uid="{6FB0F16A-4300-8446-8E0D-FDE3886E6776}"/>
    <hyperlink ref="B647" r:id="rId1273" display="https://www.fangraphs.com/players/pierce-johnson/13435/stats" xr:uid="{F02EBAF9-E77E-3441-B53A-EE058D46D2CD}"/>
    <hyperlink ref="C647" r:id="rId1274" display="https://www.fangraphs.com/teams/reds" xr:uid="{C6D6631D-3247-7442-B185-6E7BB2982047}"/>
    <hyperlink ref="B648" r:id="rId1275" display="https://www.fangraphs.com/players/rowdy-tellez/15679/stats" xr:uid="{469F21F7-D2E5-7E42-AE58-825200725089}"/>
    <hyperlink ref="B649" r:id="rId1276" display="https://www.fangraphs.com/players/tommy-nance/19178/stats" xr:uid="{99880DB7-B692-CE47-ADC1-A6A8FD674D2A}"/>
    <hyperlink ref="C649" r:id="rId1277" display="https://www.fangraphs.com/teams/blue-jays" xr:uid="{62F103CC-1024-2042-AAB0-53AEAA9AC77F}"/>
    <hyperlink ref="B650" r:id="rId1278" display="https://www.fangraphs.com/players/wandy-peralta/14295/stats" xr:uid="{4AD4FDB1-7A11-D041-858B-BFAA8D334992}"/>
    <hyperlink ref="C650" r:id="rId1279" display="https://www.fangraphs.com/teams/padres" xr:uid="{F7B24142-05D5-4644-9C98-23E02B33DEAE}"/>
    <hyperlink ref="B651" r:id="rId1280" display="https://www.fangraphs.com/players/kai-wei-teng/24282/stats" xr:uid="{EF02B7A7-0BB8-6B4A-AE35-DFC1FCAC40B3}"/>
    <hyperlink ref="C651" r:id="rId1281" display="https://www.fangraphs.com/teams/astros" xr:uid="{B02C2587-7C46-F74F-87C3-F0CC8960C251}"/>
    <hyperlink ref="B652" r:id="rId1282" display="https://www.fangraphs.com/players/jakob-junis/13619/stats" xr:uid="{89819113-E20B-BA40-92E4-2E1864B360ED}"/>
    <hyperlink ref="C652" r:id="rId1283" display="https://www.fangraphs.com/teams/rangers" xr:uid="{71CF69E1-9FA8-C946-9E1B-C5A9EA4FC79F}"/>
    <hyperlink ref="B653" r:id="rId1284" display="https://www.fangraphs.com/players/caleb-ferguson/19349/stats" xr:uid="{E6BD6674-B354-2845-B254-EAB9BE343A09}"/>
    <hyperlink ref="C653" r:id="rId1285" display="https://www.fangraphs.com/teams/reds" xr:uid="{B9546240-D9B2-DF45-872D-C7248260B7F2}"/>
    <hyperlink ref="B654" r:id="rId1286" display="https://www.fangraphs.com/players/chris-flexen/13896/stats" xr:uid="{F1A1A513-F5CE-1042-B098-A0AAA1E29C5F}"/>
    <hyperlink ref="B655" r:id="rId1287" display="https://www.fangraphs.com/players/doug-nikhazy/30142/stats" xr:uid="{CD84A36F-1894-C940-BA5C-42726712967A}"/>
    <hyperlink ref="C655" r:id="rId1288" display="https://www.fangraphs.com/teams/guardians" xr:uid="{88969A86-AA56-EA45-A7D3-626A93489DAE}"/>
    <hyperlink ref="B656" r:id="rId1289" display="https://www.fangraphs.com/players/ryan-feltner/21446/stats" xr:uid="{199E7646-4DCB-A14E-940A-25CACB3B35F5}"/>
    <hyperlink ref="C656" r:id="rId1290" display="https://www.fangraphs.com/teams/rockies" xr:uid="{08B9668E-2877-5F41-9D13-39AD011BBBE6}"/>
    <hyperlink ref="B657" r:id="rId1291" display="https://www.fangraphs.com/players/mitch-farris/33628/stats" xr:uid="{7B08ECCE-70AB-2B48-806D-C942A74989A0}"/>
    <hyperlink ref="C657" r:id="rId1292" display="https://www.fangraphs.com/teams/angels" xr:uid="{1E3CFE2B-5F34-4C4D-B3B1-C607B4880E7C}"/>
    <hyperlink ref="B658" r:id="rId1293" display="https://www.fangraphs.com/players/riley-adams/19864/stats" xr:uid="{291CA180-C39C-BC45-A5E8-A91FF4D8B30F}"/>
    <hyperlink ref="C658" r:id="rId1294" display="https://www.fangraphs.com/teams/nationals" xr:uid="{EC1A8BC6-42DB-7443-B884-BBBC510991D4}"/>
    <hyperlink ref="B659" r:id="rId1295" display="https://www.fangraphs.com/players/yohel-pozo/18848/stats" xr:uid="{2B71C56F-974F-7647-9103-EB58CE6FA33E}"/>
    <hyperlink ref="C659" r:id="rId1296" display="https://www.fangraphs.com/teams/cardinals" xr:uid="{FCA7F902-AAE2-834F-804F-300AA137E71D}"/>
    <hyperlink ref="B660" r:id="rId1297" display="https://www.fangraphs.com/players/colton-gordon/31312/stats" xr:uid="{54CCF93E-5A51-5546-A54D-26F96B662C62}"/>
    <hyperlink ref="C660" r:id="rId1298" display="https://www.fangraphs.com/teams/astros" xr:uid="{F9270A55-68E2-8349-A73B-9808A6389AED}"/>
    <hyperlink ref="B661" r:id="rId1299" display="https://www.fangraphs.com/players/sean-burke/29878/stats" xr:uid="{EE44E177-67E5-0D49-AF46-04231F9C4D62}"/>
    <hyperlink ref="C661" r:id="rId1300" display="https://www.fangraphs.com/teams/white-sox" xr:uid="{5337120E-DD28-E74E-BFF0-F8BA989BB44F}"/>
    <hyperlink ref="B662" r:id="rId1301" display="https://www.fangraphs.com/players/bobby-miller/27483/stats" xr:uid="{76D88ABA-D39D-4C40-9F2B-561A80D792CC}"/>
    <hyperlink ref="C662" r:id="rId1302" display="https://www.fangraphs.com/teams/dodgers" xr:uid="{399E1D1F-68A7-3249-876F-C97CD7252E7C}"/>
    <hyperlink ref="B663" r:id="rId1303" display="https://www.fangraphs.com/players/carter-jensen/29478/stats" xr:uid="{A6A38B8B-2100-B740-9A4A-7307FDDCD30A}"/>
    <hyperlink ref="C663" r:id="rId1304" display="https://www.fangraphs.com/teams/royals" xr:uid="{3FB4F04A-B5A9-3F45-85C9-86A7FA1D939A}"/>
    <hyperlink ref="B664" r:id="rId1305" display="https://www.fangraphs.com/players/mason-fluharty/31553/stats" xr:uid="{230F8DDE-6514-3E4A-865A-09E3627D3990}"/>
    <hyperlink ref="C664" r:id="rId1306" display="https://www.fangraphs.com/teams/blue-jays" xr:uid="{31DB1E6E-5401-E541-9896-EBE00A355C04}"/>
    <hyperlink ref="B665" r:id="rId1307" display="https://www.fangraphs.com/players/nic-enright/25553/stats" xr:uid="{C60C5091-4C9A-E04D-B198-9F3C2968E1E6}"/>
    <hyperlink ref="C665" r:id="rId1308" display="https://www.fangraphs.com/teams/blue-jays" xr:uid="{6DE6103D-89ED-D546-A686-800EBAC4FDCA}"/>
    <hyperlink ref="B666" r:id="rId1309" display="https://www.fangraphs.com/players/chase-shugart/21544/stats" xr:uid="{D496D1DF-9D11-2B43-8CC7-58F49EB6DC06}"/>
    <hyperlink ref="C666" r:id="rId1310" display="https://www.fangraphs.com/teams/phillies" xr:uid="{DF21B047-C57F-D847-9294-D49CB2B3BF6E}"/>
    <hyperlink ref="B667" r:id="rId1311" display="https://www.fangraphs.com/players/adam-mazur/31900/stats" xr:uid="{1C3557F6-9819-3D43-A059-60F8846BBF7D}"/>
    <hyperlink ref="C667" r:id="rId1312" display="https://www.fangraphs.com/teams/marlins" xr:uid="{056BDF6E-23AC-7141-8055-B8431E8EAFBE}"/>
    <hyperlink ref="B668" r:id="rId1313" display="https://www.fangraphs.com/players/daniel-lynch-iv/21537/stats" xr:uid="{317F3EA7-23A8-3048-B5AB-05471516AF1F}"/>
    <hyperlink ref="C668" r:id="rId1314" display="https://www.fangraphs.com/teams/royals" xr:uid="{09FB4166-57CC-A746-AA19-ECB648547642}"/>
    <hyperlink ref="B669" r:id="rId1315" display="https://www.fangraphs.com/players/justin-wrobleski/31204/stats" xr:uid="{86CBD09A-AF68-2046-BFB0-322F0CE9A502}"/>
    <hyperlink ref="C669" r:id="rId1316" display="https://www.fangraphs.com/teams/dodgers" xr:uid="{3B19B4A2-C204-2047-8D4E-7B96BA6F4E49}"/>
    <hyperlink ref="B670" r:id="rId1317" display="https://www.fangraphs.com/players/tyler-alexander/17735/stats" xr:uid="{1C0258A6-299C-0740-85CD-52C4CF6610AF}"/>
    <hyperlink ref="C670" r:id="rId1318" display="https://www.fangraphs.com/teams/rangers" xr:uid="{4E17F1C7-DD38-E444-9E98-EBB4FB950E0C}"/>
    <hyperlink ref="B671" r:id="rId1319" display="https://www.fangraphs.com/players/daniel-schneemann/25180/stats" xr:uid="{679EA43C-B4D1-374D-BADE-3B56C17E4DE3}"/>
    <hyperlink ref="C671" r:id="rId1320" display="https://www.fangraphs.com/teams/guardians" xr:uid="{E4425249-7AFD-9045-9BE6-9CC30BCFF7B6}"/>
    <hyperlink ref="B672" r:id="rId1321" display="https://www.fangraphs.com/players/luis-f-castillo/20638/stats" xr:uid="{EB4C0AF5-8DA6-4444-9A6C-9D184D9BA9D6}"/>
    <hyperlink ref="B673" r:id="rId1322" display="https://www.fangraphs.com/players/brennan-bernardino/16835/stats" xr:uid="{B1C52182-6836-FC49-9D86-48C11CD7FD5E}"/>
    <hyperlink ref="C673" r:id="rId1323" display="https://www.fangraphs.com/teams/rockies" xr:uid="{EEB8B0D4-EAFC-0D43-8C60-8AC0BA8AC107}"/>
    <hyperlink ref="B674" r:id="rId1324" display="https://www.fangraphs.com/players/ramon-urias/18795/stats" xr:uid="{3995897B-F850-974D-97E9-8C0883FCF3E0}"/>
    <hyperlink ref="C674" r:id="rId1325" display="https://www.fangraphs.com/teams/cardinals" xr:uid="{F1CE06F5-D1E2-EF41-AFB7-E31B4BFA0195}"/>
    <hyperlink ref="B675" r:id="rId1326" display="https://www.fangraphs.com/players/dalton-rushing/31382/stats" xr:uid="{FB73AB69-239E-CA4C-B3BA-1614F372D881}"/>
    <hyperlink ref="C675" r:id="rId1327" display="https://www.fangraphs.com/teams/dodgers" xr:uid="{2C927185-1A0F-754F-81FD-64577BBD3C5C}"/>
    <hyperlink ref="B676" r:id="rId1328" display="https://www.fangraphs.com/players/kolby-allard/18694/stats" xr:uid="{15775546-834F-5443-99F1-597C6A0CA734}"/>
    <hyperlink ref="C676" r:id="rId1329" display="https://www.fangraphs.com/teams/guardians" xr:uid="{5D23E3BC-FDD3-3C43-B0F1-279886ABD55F}"/>
    <hyperlink ref="B677" r:id="rId1330" display="https://www.fangraphs.com/players/joel-peguero/21951/stats" xr:uid="{8322BDAB-BC99-8048-B5D4-3E78C32ADD6A}"/>
    <hyperlink ref="C677" r:id="rId1331" display="https://www.fangraphs.com/teams/giants" xr:uid="{5C6E4D4B-2CCC-984B-A1BD-2945C8F1DD71}"/>
    <hyperlink ref="B678" r:id="rId1332" display="https://www.fangraphs.com/players/justin-lawrence/17639/stats" xr:uid="{810C5FD0-66EC-B242-933C-1983F9453CAD}"/>
    <hyperlink ref="C678" r:id="rId1333" display="https://www.fangraphs.com/teams/pirates" xr:uid="{63EC192F-8DFF-DC49-AACB-A91E8E7D6186}"/>
    <hyperlink ref="B679" r:id="rId1334" display="https://www.fangraphs.com/players/erik-miller/26252/stats" xr:uid="{03527D7E-5F37-2F44-8DDA-3DA0B8924B9A}"/>
    <hyperlink ref="C679" r:id="rId1335" display="https://www.fangraphs.com/teams/giants" xr:uid="{5472B16D-55B5-BC42-8765-DC3A53DFA86E}"/>
    <hyperlink ref="B680" r:id="rId1336" display="https://www.fangraphs.com/players/brock-stewart/16727/stats" xr:uid="{1F85771E-5F5C-7841-B0CE-6CFB6BC152ED}"/>
    <hyperlink ref="C680" r:id="rId1337" display="https://www.fangraphs.com/teams/dodgers" xr:uid="{94AEB757-F228-4D49-99AC-BBB0FE5DE652}"/>
    <hyperlink ref="B681" r:id="rId1338" display="https://www.fangraphs.com/players/javier-sanoja/28253/stats" xr:uid="{490DC0AE-18C2-B341-86D9-F86687DC11C8}"/>
    <hyperlink ref="C681" r:id="rId1339" display="https://www.fangraphs.com/teams/marlins" xr:uid="{F9E38A69-F77F-4B42-A30C-4171148E88CC}"/>
    <hyperlink ref="B682" r:id="rId1340" display="https://www.fangraphs.com/players/john-curtiss/16128/stats" xr:uid="{DE731C2D-442A-A74B-8086-E26E32713139}"/>
    <hyperlink ref="C682" r:id="rId1341" display="https://www.fangraphs.com/teams/diamondbacks" xr:uid="{8A5BF86B-B9E5-5841-8533-063CF63D03C2}"/>
    <hyperlink ref="B683" r:id="rId1342" display="https://www.fangraphs.com/players/graham-ashcraft/27552/stats" xr:uid="{06919D97-F0C4-D340-9488-F4A2C648BB18}"/>
    <hyperlink ref="C683" r:id="rId1343" display="https://www.fangraphs.com/teams/reds" xr:uid="{D1279EFB-0BA3-5E4B-A55A-E87A46DBF0AC}"/>
    <hyperlink ref="B684" r:id="rId1344" display="https://www.fangraphs.com/players/emerson-hancock/27470/stats" xr:uid="{B5E65FB9-E604-CB40-9272-15E46E1847CE}"/>
    <hyperlink ref="C684" r:id="rId1345" display="https://www.fangraphs.com/teams/mariners" xr:uid="{C11024FD-1FFB-844C-8CD7-C082672E2CEF}"/>
    <hyperlink ref="B685" r:id="rId1346" display="https://www.fangraphs.com/players/jj-bleday/26368/stats" xr:uid="{942211F3-3EB3-AB48-A2A1-139D25974D0E}"/>
    <hyperlink ref="C685" r:id="rId1347" display="https://www.fangraphs.com/teams/reds" xr:uid="{4B0465A3-2A94-5145-96D6-3FE42C3C3F3C}"/>
    <hyperlink ref="B686" r:id="rId1348" display="https://www.fangraphs.com/players/alex-call/19296/stats" xr:uid="{B635CA17-D79F-9745-AD6B-75832B4986F0}"/>
    <hyperlink ref="C686" r:id="rId1349" display="https://www.fangraphs.com/teams/dodgers" xr:uid="{1E7CD7AD-FC0E-DC45-8F18-AF31D83DF26F}"/>
    <hyperlink ref="B687" r:id="rId1350" display="https://www.fangraphs.com/players/chase-lee/29574/stats" xr:uid="{9984DD63-0CFB-FB40-95B3-DBA60403805E}"/>
    <hyperlink ref="C687" r:id="rId1351" display="https://www.fangraphs.com/teams/blue-jays" xr:uid="{C70C1365-927F-014D-9094-64D13A899D10}"/>
    <hyperlink ref="B688" r:id="rId1352" display="https://www.fangraphs.com/players/john-schreiber/20020/stats" xr:uid="{60A9EF68-BC9A-544C-8D61-6733A56D5852}"/>
    <hyperlink ref="C688" r:id="rId1353" display="https://www.fangraphs.com/teams/royals" xr:uid="{35CBD23F-857E-1447-A976-1FB2D838F9F4}"/>
    <hyperlink ref="B689" r:id="rId1354" display="https://www.fangraphs.com/players/brooks-baldwin/31394/stats" xr:uid="{009ED5C8-92D1-D449-9F41-825F4D57BC4B}"/>
    <hyperlink ref="C689" r:id="rId1355" display="https://www.fangraphs.com/teams/white-sox" xr:uid="{967E79C0-A6F2-E241-AE22-3E8A46361A45}"/>
    <hyperlink ref="B690" r:id="rId1356" display="https://www.fangraphs.com/players/michael-kelly/12791/stats" xr:uid="{D2D5D844-137D-484A-BB05-D70C7288F7B4}"/>
    <hyperlink ref="C690" r:id="rId1357" display="https://www.fangraphs.com/teams/athletics" xr:uid="{0F436F33-70E0-E24B-8316-41D311EED9D5}"/>
    <hyperlink ref="B691" r:id="rId1358" display="https://www.fangraphs.com/players/mason-barnett/31741/stats" xr:uid="{C8312428-F747-A943-A22C-D1CDBB3D1689}"/>
    <hyperlink ref="C691" r:id="rId1359" display="https://www.fangraphs.com/teams/athletics" xr:uid="{C43B56F7-853F-DD4A-8EEC-5E72451F57E8}"/>
    <hyperlink ref="B692" r:id="rId1360" display="https://www.fangraphs.com/players/dane-myers/22054/stats" xr:uid="{1F4AEFE9-3975-1248-9BB7-FF1F1CB80BC1}"/>
    <hyperlink ref="C692" r:id="rId1361" display="https://www.fangraphs.com/teams/reds" xr:uid="{14A879BB-D802-3943-AE76-11194673490A}"/>
    <hyperlink ref="B693" r:id="rId1362" display="https://www.fangraphs.com/players/miles-mikolas/9803/stats" xr:uid="{5C13F52E-19D1-2244-A5CF-5F2AFF2CFB25}"/>
    <hyperlink ref="C693" r:id="rId1363" display="https://www.fangraphs.com/teams/nationals" xr:uid="{EC3451D6-B2F6-4844-BCD7-AE2469936262}"/>
    <hyperlink ref="B694" r:id="rId1364" display="https://www.fangraphs.com/players/marcus-stroman/13431/stats" xr:uid="{0135F5FA-06B1-0543-8EB3-835FB1B0FE94}"/>
    <hyperlink ref="B695" r:id="rId1365" display="https://www.fangraphs.com/players/manuel-rodriguez/20794/stats" xr:uid="{72C5620F-9E0E-2644-BCC1-B8BD6F81445C}"/>
    <hyperlink ref="C695" r:id="rId1366" display="https://www.fangraphs.com/teams/rays" xr:uid="{3413B1B7-0A2C-514C-83ED-EB8B90B725BF}"/>
    <hyperlink ref="B696" r:id="rId1367" display="https://www.fangraphs.com/players/grant-anderson/20546/stats" xr:uid="{A9B589ED-8A7C-BA4B-B1FA-1B2B47DEAA83}"/>
    <hyperlink ref="C696" r:id="rId1368" display="https://www.fangraphs.com/teams/brewers" xr:uid="{96F7CD2C-676A-1D43-A740-09DE9B25C8F8}"/>
    <hyperlink ref="B697" r:id="rId1369" display="https://www.fangraphs.com/players/alex-jackson/17276/stats" xr:uid="{276AB143-DD9B-2643-A535-8CB3E3187647}"/>
    <hyperlink ref="C697" r:id="rId1370" display="https://www.fangraphs.com/teams/twins" xr:uid="{DD6EA595-9C12-CC44-83BF-4819BAF8357D}"/>
    <hyperlink ref="B698" r:id="rId1371" display="https://www.fangraphs.com/players/valente-bellozo/23899/stats" xr:uid="{00AA4837-099A-D642-9F68-C840CEE427C7}"/>
    <hyperlink ref="C698" r:id="rId1372" display="https://www.fangraphs.com/teams/rockies" xr:uid="{E2292906-5F13-F846-BBF6-9CEA459F4717}"/>
    <hyperlink ref="B699" r:id="rId1373" display="https://www.fangraphs.com/players/max-kranick/22175/stats" xr:uid="{0182BDB9-246C-1F4C-9B7A-BE0BA1181F3B}"/>
    <hyperlink ref="B700" r:id="rId1374" display="https://www.fangraphs.com/players/chris-murphy/26214/stats" xr:uid="{4C5B609D-FE0F-634F-A5A0-587017114A5F}"/>
    <hyperlink ref="C700" r:id="rId1375" display="https://www.fangraphs.com/teams/white-sox" xr:uid="{3333569F-1DC0-414F-BAF6-C42393521A43}"/>
    <hyperlink ref="B701" r:id="rId1376" display="https://www.fangraphs.com/players/david-morgan/31616/stats" xr:uid="{8D5021E1-566F-0E4C-88D2-D2B00F502A44}"/>
    <hyperlink ref="C701" r:id="rId1377" display="https://www.fangraphs.com/teams/padres" xr:uid="{9B11E210-45BC-C047-82AB-40E8332EABA8}"/>
    <hyperlink ref="B702" r:id="rId1378" display="https://www.fangraphs.com/players/victor-mederos/31533/stats" xr:uid="{24D3A72B-C1ED-B441-A58D-D8AA34F0F887}"/>
    <hyperlink ref="C702" r:id="rId1379" display="https://www.fangraphs.com/teams/angels" xr:uid="{4EBC4798-9AB0-8C49-A6B9-A0D1E9FC51F5}"/>
    <hyperlink ref="B703" r:id="rId1380" display="https://www.fangraphs.com/players/frankie-montas/14309/stats" xr:uid="{AE300F04-B763-E649-B542-ADF10AAD1B9C}"/>
    <hyperlink ref="B704" r:id="rId1381" display="https://www.fangraphs.com/players/ben-casparius/30085/stats" xr:uid="{F29D6ED9-882A-8246-A43D-7C49A586F099}"/>
    <hyperlink ref="C704" r:id="rId1382" display="https://www.fangraphs.com/teams/dodgers" xr:uid="{4A0329D1-2AF1-C845-9C01-26438FD255BF}"/>
    <hyperlink ref="B705" r:id="rId1383" display="https://www.fangraphs.com/players/kyle-isbel/21614/stats" xr:uid="{EB6D10D8-0EC9-FA4B-9EE3-8F84C89DF973}"/>
    <hyperlink ref="C705" r:id="rId1384" display="https://www.fangraphs.com/teams/royals" xr:uid="{64EEBB44-174D-F54F-B5DC-5FDAC9053090}"/>
    <hyperlink ref="B706" r:id="rId1385" display="https://www.fangraphs.com/players/erik-sabrowski/24978/stats" xr:uid="{D0D5DEAA-EAF4-EF42-98E8-5EAA77776178}"/>
    <hyperlink ref="C706" r:id="rId1386" display="https://www.fangraphs.com/teams/guardians" xr:uid="{BFF77B07-0688-A643-9186-1C82E9AF8077}"/>
    <hyperlink ref="B707" r:id="rId1387" display="https://www.fangraphs.com/players/justin-wilson/4301/stats" xr:uid="{A83B7587-153F-1642-A536-56EE7435F0FC}"/>
    <hyperlink ref="B708" r:id="rId1388" display="https://www.fangraphs.com/players/jack-perkins/31468/stats" xr:uid="{DF9EDEBB-C773-CB47-985B-F739EBF1B55A}"/>
    <hyperlink ref="C708" r:id="rId1389" display="https://www.fangraphs.com/teams/athletics" xr:uid="{0F8020B9-495A-9344-AD19-3A7047AD8A4B}"/>
    <hyperlink ref="B709" r:id="rId1390" display="https://www.fangraphs.com/players/cole-sulser/15256/stats" xr:uid="{DF2708F1-ADBA-2143-92FE-254369805274}"/>
    <hyperlink ref="C709" r:id="rId1391" display="https://www.fangraphs.com/teams/rays" xr:uid="{012AB2AD-04E0-0E4F-A6D1-DB6260D49CE6}"/>
    <hyperlink ref="B710" r:id="rId1392" display="https://www.fangraphs.com/players/nestor-cortes/17874/stats" xr:uid="{97C96D48-2AF3-5A41-A47B-CDBE63B2AAEC}"/>
    <hyperlink ref="B711" r:id="rId1393" display="https://www.fangraphs.com/players/jose-urena/11589/stats" xr:uid="{A6466628-A279-A546-870F-8F6D5479740B}"/>
    <hyperlink ref="B712" r:id="rId1394" display="https://www.fangraphs.com/players/edgardo-henriquez/26944/stats" xr:uid="{52A6CBBA-A622-1B42-8906-4BEC3ABD3055}"/>
    <hyperlink ref="C712" r:id="rId1395" display="https://www.fangraphs.com/teams/dodgers" xr:uid="{1AE9FA02-15AB-AB44-B5B4-CBA174402C5A}"/>
    <hyperlink ref="B713" r:id="rId1396" display="https://www.fangraphs.com/players/will-benson/21853/stats" xr:uid="{F383C416-A410-E649-ABD2-E5BFE3E3AF1B}"/>
    <hyperlink ref="C713" r:id="rId1397" display="https://www.fangraphs.com/teams/reds" xr:uid="{DF59C760-3764-094B-AD3A-CEB1217F5507}"/>
    <hyperlink ref="B714" r:id="rId1398" display="https://www.fangraphs.com/players/joey-estes/26257/stats" xr:uid="{E68673D8-B1EF-244B-8A05-57DD3CBA02C3}"/>
    <hyperlink ref="C714" r:id="rId1399" display="https://www.fangraphs.com/teams/athletics" xr:uid="{FECD7F3F-6D56-9645-909F-27A04BF1542A}"/>
    <hyperlink ref="B715" r:id="rId1400" display="https://www.fangraphs.com/players/enyel-de-los-santos/18403/stats" xr:uid="{B352B05B-F219-364E-94B3-3488D60848F3}"/>
    <hyperlink ref="C715" r:id="rId1401" display="https://www.fangraphs.com/teams/astros" xr:uid="{41510075-5083-424F-96C1-8C5DA5FC32C0}"/>
    <hyperlink ref="B716" r:id="rId1402" display="https://www.fangraphs.com/players/casey-schmitt/27577/stats" xr:uid="{F8E55C37-E2A1-014D-9098-A330BF51C69A}"/>
    <hyperlink ref="C716" r:id="rId1403" display="https://www.fangraphs.com/teams/giants" xr:uid="{E5EC9B48-C826-1248-A64A-37661558060D}"/>
    <hyperlink ref="B717" r:id="rId1404" display="https://www.fangraphs.com/players/reed-garrett/16866/stats" xr:uid="{7D87F932-BFB2-7047-A867-9D24A7520B20}"/>
    <hyperlink ref="C717" r:id="rId1405" display="https://www.fangraphs.com/teams/mets" xr:uid="{C222C732-8AC9-DD4A-923D-68016767267E}"/>
    <hyperlink ref="B718" r:id="rId1406" display="https://www.fangraphs.com/players/taylor-walls/22458/stats" xr:uid="{ACBAE7A7-5FF9-F34D-AF6B-1FFD500E9C71}"/>
    <hyperlink ref="C718" r:id="rId1407" display="https://www.fangraphs.com/teams/rays" xr:uid="{34645715-F3C7-CC42-9384-ECF907258A5F}"/>
    <hyperlink ref="B719" r:id="rId1408" display="https://www.fangraphs.com/players/caden-dana/31508/stats" xr:uid="{32BCE24E-709D-824B-9A30-837E86A8F1A3}"/>
    <hyperlink ref="C719" r:id="rId1409" display="https://www.fangraphs.com/teams/angels" xr:uid="{3E19F8F1-A92D-334D-863A-097936C87567}"/>
    <hyperlink ref="B720" r:id="rId1410" display="https://www.fangraphs.com/players/rhys-hoskins/16472/stats" xr:uid="{94612615-E853-454D-8613-DB5F8EEC9A98}"/>
    <hyperlink ref="C720" r:id="rId1411" display="https://www.fangraphs.com/teams/guardians" xr:uid="{95297CF6-FED2-7940-83E2-87FDAFBBCEEE}"/>
    <hyperlink ref="B721" r:id="rId1412" display="https://www.fangraphs.com/players/gunnar-hoglund/31318/stats" xr:uid="{7949355F-139D-F74C-8AC3-124856ADC02B}"/>
    <hyperlink ref="C721" r:id="rId1413" display="https://www.fangraphs.com/teams/athletics" xr:uid="{83430AEF-6932-5B4C-BA30-102AB2C92AA5}"/>
    <hyperlink ref="B722" r:id="rId1414" display="https://www.fangraphs.com/players/luinder-avila/24452/stats" xr:uid="{8CC0D170-7712-9348-BDFA-6ED17D490E04}"/>
    <hyperlink ref="C722" r:id="rId1415" display="https://www.fangraphs.com/teams/royals" xr:uid="{08B27E87-FC67-6D43-9F35-E61A6E66AEB6}"/>
    <hyperlink ref="B723" r:id="rId1416" display="https://www.fangraphs.com/players/travis-darnaud/7739/stats" xr:uid="{E5535869-2723-B049-8283-41775D4C878D}"/>
    <hyperlink ref="C723" r:id="rId1417" display="https://www.fangraphs.com/teams/angels" xr:uid="{AA6A8B4B-2CCC-A14F-A38C-FDBCC4AFAE48}"/>
    <hyperlink ref="B724" r:id="rId1418" display="https://www.fangraphs.com/players/dylan-dodd/29928/stats" xr:uid="{6F5CD5BB-13C1-ED4B-B5AC-A0AD013071A7}"/>
    <hyperlink ref="C724" r:id="rId1419" display="https://www.fangraphs.com/teams/braves" xr:uid="{86916ADC-ADEB-884C-B514-C5B812C23E37}"/>
    <hyperlink ref="B725" r:id="rId1420" display="https://www.fangraphs.com/players/rob-refsnyder/13770/stats" xr:uid="{0D9FCD9F-BC87-174A-8DE9-8B24BB6F56B1}"/>
    <hyperlink ref="C725" r:id="rId1421" display="https://www.fangraphs.com/teams/mariners" xr:uid="{404171EC-EED4-4B47-B4AE-C8AA948BEE9D}"/>
    <hyperlink ref="B726" r:id="rId1422" display="https://www.fangraphs.com/players/scott-barlow/14993/stats" xr:uid="{4530ED47-CE91-4844-804F-4A9DA677E5A4}"/>
    <hyperlink ref="C726" r:id="rId1423" display="https://www.fangraphs.com/teams/athletics" xr:uid="{F1324CF6-63EF-6047-B74E-0583C3C62658}"/>
    <hyperlink ref="B727" r:id="rId1424" display="https://www.fangraphs.com/players/christopher-morel/21897/stats" xr:uid="{1E5FC8C2-A1E7-F946-B2D8-3946BDA98C29}"/>
    <hyperlink ref="C727" r:id="rId1425" display="https://www.fangraphs.com/teams/marlins" xr:uid="{107C5FFC-9147-FA42-B7E3-28E8CE959CA1}"/>
    <hyperlink ref="B728" r:id="rId1426" display="https://www.fangraphs.com/players/dylan-moore/18042/stats" xr:uid="{061435F9-9F6C-4A41-A6FE-395267794523}"/>
    <hyperlink ref="C728" r:id="rId1427" display="https://www.fangraphs.com/teams/phillies" xr:uid="{DFA007B6-3AE2-734E-8EAD-B7C527B65D8C}"/>
    <hyperlink ref="B729" r:id="rId1428" display="https://www.fangraphs.com/players/rob-zastryzny/15094/stats" xr:uid="{F7208515-21BC-FA40-A0E1-F4B935D2E6A5}"/>
    <hyperlink ref="C729" r:id="rId1429" display="https://www.fangraphs.com/teams/brewers" xr:uid="{F3C0CAC7-ED2F-EB4F-BCCE-253B4068C26A}"/>
    <hyperlink ref="B730" r:id="rId1430" display="https://www.fangraphs.com/players/brayan-rocchio/23690/stats" xr:uid="{3A76D967-55CB-BE4C-99B9-E3E60410F936}"/>
    <hyperlink ref="C730" r:id="rId1431" display="https://www.fangraphs.com/teams/guardians" xr:uid="{3A2B7761-6275-D04B-A498-365DA09FEBC7}"/>
    <hyperlink ref="B731" r:id="rId1432" display="https://www.fangraphs.com/players/matt-thaiss/19318/stats" xr:uid="{A2DEC6EC-7F6F-314F-B3C4-B7E4D89C2AE4}"/>
    <hyperlink ref="C731" r:id="rId1433" display="https://www.fangraphs.com/teams/red-sox" xr:uid="{D1F9581E-B4FC-EB40-962E-96F0BB48F162}"/>
    <hyperlink ref="B732" r:id="rId1434" display="https://www.fangraphs.com/players/miguel-rojas/7802/stats" xr:uid="{1F7824F0-EA5E-584B-8A7F-0FCCA8129ADB}"/>
    <hyperlink ref="C732" r:id="rId1435" display="https://www.fangraphs.com/teams/dodgers" xr:uid="{EED55F06-418E-774B-900F-DA0CABF9588B}"/>
    <hyperlink ref="B733" r:id="rId1436" display="https://www.fangraphs.com/players/jose-suarez/19911/stats" xr:uid="{B04B2D05-F231-324E-ABA1-A9B369648228}"/>
    <hyperlink ref="C733" r:id="rId1437" display="https://www.fangraphs.com/teams/braves" xr:uid="{7C5222F3-AA48-154E-9EAF-F1580D11C7A9}"/>
    <hyperlink ref="B734" r:id="rId1438" display="https://www.fangraphs.com/players/steven-cruz/23165/stats" xr:uid="{EC0BA0BF-D285-E344-B78D-EC9E2A94176B}"/>
    <hyperlink ref="C734" r:id="rId1439" display="https://www.fangraphs.com/teams/royals" xr:uid="{13328863-0B82-2945-B943-7BDC423AF7F5}"/>
    <hyperlink ref="B735" r:id="rId1440" display="https://www.fangraphs.com/players/walker-buehler/19374/stats" xr:uid="{DB7D7EF9-5CC1-874E-9ABC-89F17326D798}"/>
    <hyperlink ref="C735" r:id="rId1441" display="https://www.fangraphs.com/teams/padres" xr:uid="{A5A863D2-37DF-5D44-B0DB-A632FB60407D}"/>
    <hyperlink ref="B736" r:id="rId1442" display="https://www.fangraphs.com/players/jake-rogers/19452/stats" xr:uid="{C6386721-7024-004C-B089-323BDB1EB796}"/>
    <hyperlink ref="C736" r:id="rId1443" display="https://www.fangraphs.com/teams/tigers" xr:uid="{E5D0DD2D-0283-AF48-AB5D-57EAC9586570}"/>
    <hyperlink ref="B737" r:id="rId1444" display="https://www.fangraphs.com/players/davis-schneider/23565/stats" xr:uid="{60F22074-2E24-B848-96CA-36AB32471E6E}"/>
    <hyperlink ref="C737" r:id="rId1445" display="https://www.fangraphs.com/teams/blue-jays" xr:uid="{F290862A-ECF9-134E-B07C-937A603F6E99}"/>
    <hyperlink ref="B738" r:id="rId1446" display="https://www.fangraphs.com/players/sam-aldegheri/26443/stats" xr:uid="{A5FA021C-A8A4-0441-82D3-48940F419D4C}"/>
    <hyperlink ref="C738" r:id="rId1447" display="https://www.fangraphs.com/teams/angels" xr:uid="{DE29E5E1-F73E-B74E-87BD-BD349120F1C2}"/>
    <hyperlink ref="B739" r:id="rId1448" display="https://www.fangraphs.com/players/kade-strowd/26191/stats" xr:uid="{9E605E53-E883-5B4D-B271-51861D5C1954}"/>
    <hyperlink ref="C739" r:id="rId1449" display="https://www.fangraphs.com/teams/diamondbacks" xr:uid="{C43B6A37-1FD5-944A-8CAC-0077F2720739}"/>
    <hyperlink ref="B740" r:id="rId1450" display="https://www.fangraphs.com/players/albert-suarez/6175/stats" xr:uid="{467E9598-05BF-D949-B9DA-CE5A700B7808}"/>
    <hyperlink ref="C740" r:id="rId1451" display="https://www.fangraphs.com/teams/orioles" xr:uid="{86445167-7685-CD40-911A-0BA381959C71}"/>
    <hyperlink ref="B741" r:id="rId1452" display="https://www.fangraphs.com/players/brenan-hanifee/22304/stats" xr:uid="{F98DC474-FAAC-8D4D-A662-C236515EE5D2}"/>
    <hyperlink ref="C741" r:id="rId1453" display="https://www.fangraphs.com/teams/tigers" xr:uid="{FB91536A-F80F-7546-A7C2-850FFAD9F78B}"/>
    <hyperlink ref="B742" r:id="rId1454" display="https://www.fangraphs.com/players/justin-slaten/25648/stats" xr:uid="{EC012623-6668-1240-BF48-835C3BBCABEE}"/>
    <hyperlink ref="C742" r:id="rId1455" display="https://www.fangraphs.com/teams/red-sox" xr:uid="{4ACA0647-AF92-B444-8823-49D29F72DC03}"/>
    <hyperlink ref="B743" r:id="rId1456" display="https://www.fangraphs.com/players/braxton-fulford/29704/stats" xr:uid="{1EAF6F29-2577-8549-ADF9-A74178023CD3}"/>
    <hyperlink ref="C743" r:id="rId1457" display="https://www.fangraphs.com/teams/rockies" xr:uid="{1160BF51-8B01-9B4C-A605-00F17D468245}"/>
    <hyperlink ref="B744" r:id="rId1458" display="https://www.fangraphs.com/players/mauricio-dubon/16530/stats" xr:uid="{10AC3CF8-8532-9D44-8A73-711424BEE85A}"/>
    <hyperlink ref="C744" r:id="rId1459" display="https://www.fangraphs.com/teams/braves" xr:uid="{C6562938-C97E-3C43-8624-6977B99F14FE}"/>
    <hyperlink ref="B745" r:id="rId1460" display="https://www.fangraphs.com/players/aaron-bummer/16258/stats" xr:uid="{612A8F4F-3CF8-C747-8726-D6FD0309F0FF}"/>
    <hyperlink ref="C745" r:id="rId1461" display="https://www.fangraphs.com/teams/braves" xr:uid="{7EFA4DD6-AFD6-D740-938D-B38D1449757D}"/>
    <hyperlink ref="B746" r:id="rId1462" display="https://www.fangraphs.com/players/steven-wilson/20353/stats" xr:uid="{B8A76198-186A-9245-A98D-3E0A93819A60}"/>
    <hyperlink ref="C746" r:id="rId1463" display="https://www.fangraphs.com/teams/rays" xr:uid="{E8C11073-20FC-9B47-AED4-96D255278B3E}"/>
    <hyperlink ref="B747" r:id="rId1464" display="https://www.fangraphs.com/players/mitch-spence/27707/stats" xr:uid="{7087F37A-934E-FB4F-AD71-5DD54DEB5ECB}"/>
    <hyperlink ref="C747" r:id="rId1465" display="https://www.fangraphs.com/teams/royals" xr:uid="{2C160971-AF14-A94B-92B9-F07D738DF446}"/>
    <hyperlink ref="B748" r:id="rId1466" display="https://www.fangraphs.com/players/dylan-smith/30145/stats" xr:uid="{4790A8B1-6B36-9145-A6F1-1CF5AF3974AC}"/>
    <hyperlink ref="C748" r:id="rId1467" display="https://www.fangraphs.com/teams/tigers" xr:uid="{09D079DB-8536-C649-BF3D-D4B8980A1242}"/>
    <hyperlink ref="B749" r:id="rId1468" display="https://www.fangraphs.com/players/blade-tidwell/31701/stats" xr:uid="{30C8AAD5-FD79-F043-BBB9-63B275A205F2}"/>
    <hyperlink ref="C749" r:id="rId1469" display="https://www.fangraphs.com/teams/giants" xr:uid="{B139E60A-4886-1C41-89C1-B1CCBF1186E9}"/>
    <hyperlink ref="B750" r:id="rId1470" display="https://www.fangraphs.com/players/justin-martinez/24453/stats" xr:uid="{C98BDD8E-2DE4-924C-8EB0-D71002844BA2}"/>
    <hyperlink ref="C750" r:id="rId1471" display="https://www.fangraphs.com/teams/diamondbacks" xr:uid="{EAAD9CD7-8C0F-6540-987E-32A9B955E5C8}"/>
    <hyperlink ref="B751" r:id="rId1472" display="https://www.fangraphs.com/players/jose-herrera/17040/stats" xr:uid="{B6982D2D-7E0E-A540-A42F-4B62AC8B4E67}"/>
    <hyperlink ref="C751" r:id="rId1473" display="https://www.fangraphs.com/teams/rangers" xr:uid="{210E7FC3-7225-BC4A-A835-0AF31B317774}"/>
    <hyperlink ref="B752" r:id="rId1474" display="https://www.fangraphs.com/players/ryan-zeferjahn/25420/stats" xr:uid="{85457AE3-F17C-2942-8F5A-4282E81FB745}"/>
    <hyperlink ref="C752" r:id="rId1475" display="https://www.fangraphs.com/teams/angels" xr:uid="{42685FF4-ADA8-0246-ACDD-7470810130B2}"/>
    <hyperlink ref="B753" r:id="rId1476" display="https://www.fangraphs.com/players/freddy-tarnok/23324/stats" xr:uid="{F1FB9642-18EE-6143-8CD2-CB211647F3A7}"/>
    <hyperlink ref="B754" r:id="rId1477" display="https://www.fangraphs.com/players/drew-millas/25643/stats" xr:uid="{2FD273F0-FB8C-084A-850D-CD3B7AC3C3B4}"/>
    <hyperlink ref="C754" r:id="rId1478" display="https://www.fangraphs.com/teams/nationals" xr:uid="{CC455AE3-0DB4-4D4A-B3CE-AB42732C58B0}"/>
    <hyperlink ref="B755" r:id="rId1479" display="https://www.fangraphs.com/players/juan-mejia/23237/stats" xr:uid="{6469885A-2FA0-744C-B88C-634367EFCEC7}"/>
    <hyperlink ref="C755" r:id="rId1480" display="https://www.fangraphs.com/teams/rockies" xr:uid="{88FF5466-FA1D-4245-B2FA-08A380FFDF15}"/>
    <hyperlink ref="B756" r:id="rId1481" display="https://www.fangraphs.com/players/eric-haase/14111/stats" xr:uid="{6690E6D9-E8B9-7147-85D5-64A4C8CEE720}"/>
    <hyperlink ref="C756" r:id="rId1482" display="https://www.fangraphs.com/teams/giants" xr:uid="{405B223D-0295-7345-879A-AC2CCE9049BD}"/>
    <hyperlink ref="B757" r:id="rId1483" display="https://www.fangraphs.com/players/luke-jackson/11752/stats" xr:uid="{F9BA6CA8-8A01-284C-BD80-A7BC218BAC45}"/>
    <hyperlink ref="B758" r:id="rId1484" display="https://www.fangraphs.com/players/austin-warren/24937/stats" xr:uid="{9F3A49E6-0AC1-5D4C-AE6B-64820D92DA46}"/>
    <hyperlink ref="C758" r:id="rId1485" display="https://www.fangraphs.com/teams/mets" xr:uid="{CFE017F0-92F4-D643-8DA3-1FC24BB2882E}"/>
    <hyperlink ref="B759" r:id="rId1486" display="https://www.fangraphs.com/players/pavin-smith/19892/stats" xr:uid="{5D4DD9D3-0F51-4945-B7F0-5EAB8F5E85FA}"/>
    <hyperlink ref="C759" r:id="rId1487" display="https://www.fangraphs.com/teams/diamondbacks" xr:uid="{F00AD964-F719-3F45-80DE-12DD1C7B25AB}"/>
    <hyperlink ref="B760" r:id="rId1488" display="https://www.fangraphs.com/players/nick-gonzales/27490/stats" xr:uid="{851B446E-27BB-0542-B2F7-1CE84FC8D672}"/>
    <hyperlink ref="C760" r:id="rId1489" display="https://www.fangraphs.com/teams/pirates" xr:uid="{F8EE83C3-1A64-EE4C-8022-111978852430}"/>
    <hyperlink ref="B761" r:id="rId1490" display="https://www.fangraphs.com/players/dan-altavilla/16507/stats" xr:uid="{21E09788-1786-4D4B-94CE-4CBDDE4C24EE}"/>
    <hyperlink ref="C761" r:id="rId1491" display="https://www.fangraphs.com/teams/twins" xr:uid="{92826EC9-15D3-1E48-B52F-B5CAF31B3CF2}"/>
    <hyperlink ref="B762" r:id="rId1492" display="https://www.fangraphs.com/players/ryan-gusto/26440/stats" xr:uid="{AA592416-2EC0-EE4F-AAC3-CD5A07166324}"/>
    <hyperlink ref="C762" r:id="rId1493" display="https://www.fangraphs.com/teams/marlins" xr:uid="{CC399CF9-7446-E849-A19D-2392B24327FE}"/>
    <hyperlink ref="B763" r:id="rId1494" display="https://www.fangraphs.com/players/ryan-mountcastle/18373/stats" xr:uid="{A0FFA26A-9B67-874E-B09A-9A5A36624C1F}"/>
    <hyperlink ref="C763" r:id="rId1495" display="https://www.fangraphs.com/teams/orioles" xr:uid="{8892D41A-2F82-004B-98DF-7303B2294D6E}"/>
    <hyperlink ref="B764" r:id="rId1496" display="https://www.fangraphs.com/players/dl-hall/22207/stats" xr:uid="{F4EAF220-EEE3-7147-909C-AF679A8048BD}"/>
    <hyperlink ref="C764" r:id="rId1497" display="https://www.fangraphs.com/teams/brewers" xr:uid="{5D6CA061-9B3E-134D-93D2-FC9AD7C8E288}"/>
    <hyperlink ref="B765" r:id="rId1498" display="https://www.fangraphs.com/players/kody-funderburk/24993/stats" xr:uid="{63FA2287-C7B1-1B4E-A448-78E7C6E7EEC7}"/>
    <hyperlink ref="C765" r:id="rId1499" display="https://www.fangraphs.com/teams/twins" xr:uid="{6AC90F0B-2513-F843-BBD4-C47F08406C5E}"/>
    <hyperlink ref="B766" r:id="rId1500" display="https://www.fangraphs.com/players/brent-headrick/27702/stats" xr:uid="{2FE954C2-077D-7E4E-829A-3CE07B172807}"/>
    <hyperlink ref="C766" r:id="rId1501" display="https://www.fangraphs.com/teams/yankees" xr:uid="{C38BC264-5C73-9244-925F-F68728E57F29}"/>
    <hyperlink ref="B767" r:id="rId1502" display="https://www.fangraphs.com/players/wikelman-gonzalez/26641/stats" xr:uid="{8C68E65E-B33F-D94B-8A36-4EA0603205AD}"/>
    <hyperlink ref="C767" r:id="rId1503" display="https://www.fangraphs.com/teams/white-sox" xr:uid="{F1438A3F-2CCB-B348-9A81-BACCE4BF77F3}"/>
    <hyperlink ref="B768" r:id="rId1504" display="https://www.fangraphs.com/players/jose-butto/23313/stats" xr:uid="{A9DF0B85-4985-B745-A869-F8EC11A50978}"/>
    <hyperlink ref="C768" r:id="rId1505" display="https://www.fangraphs.com/teams/giants" xr:uid="{FAA25822-7958-7542-A81A-0A7621139E56}"/>
    <hyperlink ref="B769" r:id="rId1506" display="https://www.fangraphs.com/players/eric-orze/27626/stats" xr:uid="{EBB259C2-0755-1A49-86DB-E0740F56F548}"/>
    <hyperlink ref="C769" r:id="rId1507" display="https://www.fangraphs.com/teams/twins" xr:uid="{8035ED82-336A-8E4D-A054-9A35F6A83036}"/>
    <hyperlink ref="B770" r:id="rId1508" display="https://www.fangraphs.com/players/bradgley-rodriguez/29107/stats" xr:uid="{22083AF7-C1E3-6146-BC35-53B05F50D859}"/>
    <hyperlink ref="C770" r:id="rId1509" display="https://www.fangraphs.com/teams/padres" xr:uid="{713B452E-B5BA-CF45-8B05-7D8A9862D6F0}"/>
    <hyperlink ref="B771" r:id="rId1510" display="https://www.fangraphs.com/players/dominic-smith/15653/stats" xr:uid="{41AA6197-EE58-9549-AD1D-76CA908C534E}"/>
    <hyperlink ref="C771" r:id="rId1511" display="https://www.fangraphs.com/teams/braves" xr:uid="{B3B4D7E5-EA7D-6247-AD73-33D90EFC0A6F}"/>
    <hyperlink ref="B772" r:id="rId1512" display="https://www.fangraphs.com/players/chris-devenski/12763/stats" xr:uid="{6AC757C5-7536-7242-9C8C-BBDE54A7EAF9}"/>
    <hyperlink ref="C772" r:id="rId1513" display="https://www.fangraphs.com/teams/pirates" xr:uid="{23D98D33-6D81-A046-A037-C606C4D095E6}"/>
    <hyperlink ref="B773" r:id="rId1514" display="https://www.fangraphs.com/players/elvis-alvarado/21662/stats" xr:uid="{9555DBAE-5F66-6D47-A10D-37102D9601C9}"/>
    <hyperlink ref="C773" r:id="rId1515" display="https://www.fangraphs.com/teams/athletics" xr:uid="{0FCEEB2B-1912-8648-92D8-BE2C57D7EFF1}"/>
    <hyperlink ref="B774" r:id="rId1516" display="https://www.fangraphs.com/players/hoby-milner/13346/stats" xr:uid="{55F53276-F911-F34D-9C1E-3E3CDC535C2D}"/>
    <hyperlink ref="C774" r:id="rId1517" display="https://www.fangraphs.com/teams/cubs" xr:uid="{8FE0EB9E-D4CA-2D43-B589-CC82288D1029}"/>
    <hyperlink ref="B775" r:id="rId1518" display="https://www.fangraphs.com/players/jorge-lopez/14527/stats" xr:uid="{FE62DC7C-DBB0-184C-B3DA-5D71B68A5E81}"/>
    <hyperlink ref="B776" r:id="rId1519" display="https://www.fangraphs.com/players/ron-marinaccio/23488/stats" xr:uid="{E0ABE86A-1DC5-3444-AD60-B69E72BCB8F6}"/>
    <hyperlink ref="C776" r:id="rId1520" display="https://www.fangraphs.com/teams/padres" xr:uid="{DE370844-1C18-C74C-BED1-2369438FB262}"/>
    <hyperlink ref="B777" r:id="rId1521" display="https://www.fangraphs.com/players/cristian-mena/27974/stats" xr:uid="{71DCAF72-0AE4-5E47-956F-E7D1F442DA69}"/>
    <hyperlink ref="C777" r:id="rId1522" display="https://www.fangraphs.com/teams/diamondbacks" xr:uid="{F36D05BE-6BFB-4E4E-B4F5-3DEEA27C2D21}"/>
    <hyperlink ref="B778" r:id="rId1523" display="https://www.fangraphs.com/players/ryan-thompson/16647/stats" xr:uid="{39F51190-8852-5B48-B3E8-E8346442B80A}"/>
    <hyperlink ref="C778" r:id="rId1524" display="https://www.fangraphs.com/teams/diamondbacks" xr:uid="{70E700BC-A90E-9449-942B-1E5561ADB025}"/>
    <hyperlink ref="B779" r:id="rId1525" display="https://www.fangraphs.com/players/mickey-gasper/24759/stats" xr:uid="{BF7E1EC8-D08D-CA40-ACB7-F6AF3AE4CF3A}"/>
    <hyperlink ref="C779" r:id="rId1526" display="https://www.fangraphs.com/teams/red-sox" xr:uid="{0D0DBA61-1E95-F64A-8A69-00BBF91E4A15}"/>
    <hyperlink ref="B780" r:id="rId1527" display="https://www.fangraphs.com/players/rafael-marchan/21646/stats" xr:uid="{21E5C208-A9CC-0440-87E5-1EEF8D5CE883}"/>
    <hyperlink ref="C780" r:id="rId1528" display="https://www.fangraphs.com/teams/phillies" xr:uid="{EB43A6E3-7F92-D14F-89C9-36084B6FC3F5}"/>
    <hyperlink ref="B781" r:id="rId1529" display="https://www.fangraphs.com/players/martin-maldonado/6887/stats" xr:uid="{8BB3429E-4DE0-F24F-AC94-A53C4A1F4955}"/>
    <hyperlink ref="B782" r:id="rId1530" display="https://www.fangraphs.com/players/jake-bauers/15194/stats" xr:uid="{507FE2C0-51BC-424A-B698-F69423AA8129}"/>
    <hyperlink ref="C782" r:id="rId1531" display="https://www.fangraphs.com/teams/brewers" xr:uid="{00C9D5E8-331C-A04B-B88F-F99C00274093}"/>
    <hyperlink ref="B783" r:id="rId1532" display="https://www.fangraphs.com/players/daysbel-hernandez/20271/stats" xr:uid="{9E92B0E4-1F79-EE40-9ADE-577F0D05426F}"/>
    <hyperlink ref="C783" r:id="rId1533" display="https://www.fangraphs.com/teams/braves" xr:uid="{2B86790C-B463-5A4D-BF04-7B0C8C83E632}"/>
    <hyperlink ref="B784" r:id="rId1534" display="https://www.fangraphs.com/players/andrew-chafin/12988/stats" xr:uid="{8EE37058-4B1E-DD4E-B6FA-15F2801FBB01}"/>
    <hyperlink ref="C784" r:id="rId1535" display="https://www.fangraphs.com/teams/twins" xr:uid="{3CDCB2F0-015E-2244-AED7-1DF0D4D2A041}"/>
    <hyperlink ref="B785" r:id="rId1536" display="https://www.fangraphs.com/players/aj-minter/18655/stats" xr:uid="{A70B4B5F-04E5-DD49-9584-499B5D9403D9}"/>
    <hyperlink ref="C785" r:id="rId1537" display="https://www.fangraphs.com/teams/mets" xr:uid="{BFD1F281-EE07-A44E-B3AA-B4C7CBE29F5B}"/>
    <hyperlink ref="B786" r:id="rId1538" display="https://www.fangraphs.com/players/cody-laweryson/26429/stats" xr:uid="{20F6DECC-1C47-3D42-997D-B73F9724B6A3}"/>
    <hyperlink ref="C786" r:id="rId1539" display="https://www.fangraphs.com/teams/twins" xr:uid="{94A00B68-2F5E-9F4D-88FB-8041DECD6629}"/>
    <hyperlink ref="B787" r:id="rId1540" display="https://www.fangraphs.com/players/rico-garcia/20023/stats" xr:uid="{966177F0-A062-864F-B19F-95DC66B9D9A3}"/>
    <hyperlink ref="C787" r:id="rId1541" display="https://www.fangraphs.com/teams/orioles" xr:uid="{EA512409-FC93-A143-83E4-30A4C6320EA0}"/>
    <hyperlink ref="B788" r:id="rId1542" display="https://www.fangraphs.com/players/spencer-bivens/30226/stats" xr:uid="{F0719DBF-CDDA-2841-A7E4-5EBBE966B3F1}"/>
    <hyperlink ref="C788" r:id="rId1543" display="https://www.fangraphs.com/teams/giants" xr:uid="{6233FAD7-486E-A648-8FE7-0F611F019FCE}"/>
    <hyperlink ref="B789" r:id="rId1544" display="https://www.fangraphs.com/players/dietrich-enns/13932/stats" xr:uid="{3CEBE90C-E587-3644-885F-80828CD702AC}"/>
    <hyperlink ref="C789" r:id="rId1545" display="https://www.fangraphs.com/teams/orioles" xr:uid="{C6D70720-FEB6-514E-8C73-7A1B0C278177}"/>
    <hyperlink ref="B790" r:id="rId1546" display="https://www.fangraphs.com/players/carlos-vargas/22915/stats" xr:uid="{D6F5DFB0-15EC-3F4D-9D80-DDCE894CD9D4}"/>
    <hyperlink ref="C790" r:id="rId1547" display="https://www.fangraphs.com/teams/mariners" xr:uid="{67886866-C501-7147-B39E-083C0CA9678D}"/>
    <hyperlink ref="B791" r:id="rId1548" display="https://www.fangraphs.com/players/nick-sandlin/20517/stats" xr:uid="{19FFF2E4-297E-F44A-ADAF-E465EDB42FD7}"/>
    <hyperlink ref="C791" r:id="rId1549" display="https://www.fangraphs.com/teams/angels" xr:uid="{3D046F2A-27B9-3C4F-B75B-8643AA114C7A}"/>
    <hyperlink ref="B792" r:id="rId1550" display="https://www.fangraphs.com/players/aj-puk/19343/stats" xr:uid="{E242A8CA-F159-444E-BC36-6F63C13B5D80}"/>
    <hyperlink ref="C792" r:id="rId1551" display="https://www.fangraphs.com/teams/diamondbacks" xr:uid="{2686672A-FAD7-9A4A-B4C5-578CA2D9E2E7}"/>
    <hyperlink ref="B793" r:id="rId1552" display="https://www.fangraphs.com/players/angel-zerpa/22717/stats" xr:uid="{18C3FD58-A04A-5245-A1B0-FCE0A3EBCEFD}"/>
    <hyperlink ref="C793" r:id="rId1553" display="https://www.fangraphs.com/teams/brewers" xr:uid="{55593E58-1BA0-5849-865E-8AB01E00479F}"/>
    <hyperlink ref="B794" r:id="rId1554" display="https://www.fangraphs.com/players/korey-lee/25543/stats" xr:uid="{E8F096F0-14FA-BE48-A7DF-57A83056A4D8}"/>
    <hyperlink ref="C794" r:id="rId1555" display="https://www.fangraphs.com/teams/white-sox" xr:uid="{FA0CF377-5057-224A-9607-624513E24852}"/>
    <hyperlink ref="B795" r:id="rId1556" display="https://www.fangraphs.com/players/david-robertson/8241/stats" xr:uid="{344F68A0-3D9A-9242-BE96-738DBCBC3AE3}"/>
    <hyperlink ref="B796" r:id="rId1557" display="https://www.fangraphs.com/players/luke-maile/13355/stats" xr:uid="{3B993417-2BC4-764A-B0C9-45E372DC5DEC}"/>
    <hyperlink ref="C796" r:id="rId1558" display="https://www.fangraphs.com/teams/royals" xr:uid="{1CD7C0AD-032D-3849-9600-B6B745E960AA}"/>
    <hyperlink ref="B797" r:id="rId1559" display="https://www.fangraphs.com/players/jonathan-bowlan/24607/stats" xr:uid="{FC4684F2-3056-C34E-B7AD-EAFBF601937F}"/>
    <hyperlink ref="C797" r:id="rId1560" display="https://www.fangraphs.com/teams/phillies" xr:uid="{1A6954F3-9AF3-C04E-8770-9ED5ADCE4914}"/>
    <hyperlink ref="B798" r:id="rId1561" display="https://www.fangraphs.com/players/tanner-gordon/27669/stats" xr:uid="{C670AC8D-D76D-3F4F-B52C-604996762057}"/>
    <hyperlink ref="C798" r:id="rId1562" display="https://www.fangraphs.com/teams/rockies" xr:uid="{2734D165-8810-FD49-A2AB-30F9A80E3CED}"/>
    <hyperlink ref="B799" r:id="rId1563" display="https://www.fangraphs.com/players/ben-brown/23590/stats" xr:uid="{E4C5EEAD-0551-8A42-A60D-6F1B3019DC29}"/>
    <hyperlink ref="C799" r:id="rId1564" display="https://www.fangraphs.com/teams/cubs" xr:uid="{7B6BFA26-F484-A247-9F22-5F0762C334B3}"/>
    <hyperlink ref="B800" r:id="rId1565" display="https://www.fangraphs.com/players/ian-hamilton/19261/stats" xr:uid="{8D783C74-BE0E-B24F-AB8D-265C5B0E8D52}"/>
    <hyperlink ref="C800" r:id="rId1566" display="https://www.fangraphs.com/teams/braves" xr:uid="{92E85238-B447-A44A-A4F1-E77F1E4B7CC9}"/>
    <hyperlink ref="B801" r:id="rId1567" display="https://www.fangraphs.com/players/jackson-kowar/21549/stats" xr:uid="{AC882E88-FEF6-A14D-9D5B-E886C46A7EB5}"/>
    <hyperlink ref="C801" r:id="rId1568" display="https://www.fangraphs.com/teams/orioles" xr:uid="{0045A8E2-1098-924F-9934-AF01FE85EC00}"/>
    <hyperlink ref="B802" r:id="rId1569" display="https://www.fangraphs.com/players/willie-maciver/24641/stats" xr:uid="{37EF43AD-B6EC-6F4D-A2EE-A3AAC3306F45}"/>
    <hyperlink ref="C802" r:id="rId1570" display="https://www.fangraphs.com/teams/rangers" xr:uid="{B8832C1A-7F06-EE46-B1A2-7BDAA6908304}"/>
    <hyperlink ref="B803" r:id="rId1571" display="https://www.fangraphs.com/players/hunter-barco/33174/stats" xr:uid="{15D8D95E-B9B3-9346-93B7-F84AC1277002}"/>
    <hyperlink ref="C803" r:id="rId1572" display="https://www.fangraphs.com/teams/pirates" xr:uid="{8862421F-9049-E940-9FDF-8CD8A138D80E}"/>
    <hyperlink ref="B804" r:id="rId1573" display="https://www.fangraphs.com/players/chase-petty/30170/stats" xr:uid="{86913D19-0603-104F-BC19-23014B44E39F}"/>
    <hyperlink ref="C804" r:id="rId1574" display="https://www.fangraphs.com/teams/reds" xr:uid="{680E3ADB-CC46-9C43-9BF5-BCBE18467DA1}"/>
    <hyperlink ref="B805" r:id="rId1575" display="https://www.fangraphs.com/players/tyler-ferguson/19481/stats" xr:uid="{DDD15BEA-8DDA-B845-B510-E3867C4C4C4E}"/>
    <hyperlink ref="C805" r:id="rId1576" display="https://www.fangraphs.com/teams/athletics" xr:uid="{2540F032-DDDF-924E-8F33-B27980774F7B}"/>
    <hyperlink ref="B806" r:id="rId1577" display="https://www.fangraphs.com/players/andrew-knizner/19514/stats" xr:uid="{262C108A-C050-4A43-B8FC-CB5789BDE20B}"/>
    <hyperlink ref="C806" r:id="rId1578" display="https://www.fangraphs.com/teams/mariners" xr:uid="{6A7D9F3A-B135-1C4F-97EF-37BC2CA1CE51}"/>
    <hyperlink ref="B807" r:id="rId1579" display="https://www.fangraphs.com/players/yuki-matsui/33826/stats" xr:uid="{D8B21A1B-1625-844F-9D8A-F8DA29EFE329}"/>
    <hyperlink ref="C807" r:id="rId1580" display="https://www.fangraphs.com/teams/padres" xr:uid="{326395DF-2924-8B4D-8B65-8EAF86CA6C07}"/>
    <hyperlink ref="B808" r:id="rId1581" display="https://www.fangraphs.com/players/hunter-strickland/7836/stats" xr:uid="{CB87E922-D130-8A46-A166-75F3EC0FE633}"/>
    <hyperlink ref="C808" r:id="rId1582" display="https://www.fangraphs.com/teams/angels" xr:uid="{2D975C5C-37A7-9D42-88B4-4360DC5AEA2E}"/>
    <hyperlink ref="B809" r:id="rId1583" display="https://www.fangraphs.com/players/jp-france/21212/stats" xr:uid="{54A48887-7A02-A14E-9665-C2555881EA79}"/>
    <hyperlink ref="C809" r:id="rId1584" display="https://www.fangraphs.com/teams/astros" xr:uid="{9F4C5C48-6520-3741-9018-4743D4650E70}"/>
    <hyperlink ref="B810" r:id="rId1585" display="https://www.fangraphs.com/players/hunter-bigge/26259/stats" xr:uid="{6166CE96-48D6-AC41-A3EB-6D9E52D71F6D}"/>
    <hyperlink ref="C810" r:id="rId1586" display="https://www.fangraphs.com/teams/rays" xr:uid="{98766260-98CA-394B-B7A0-8DE31E91F3A8}"/>
    <hyperlink ref="B811" r:id="rId1587" display="https://www.fangraphs.com/players/jc-escarra/20084/stats" xr:uid="{022A1CBF-3003-0F49-A527-12C4E2857FF6}"/>
    <hyperlink ref="C811" r:id="rId1588" display="https://www.fangraphs.com/teams/yankees" xr:uid="{D10991F6-CA5F-1E4E-9A03-59FE9D677F45}"/>
    <hyperlink ref="B812" r:id="rId1589" display="https://www.fangraphs.com/players/ryan-burr/17536/stats" xr:uid="{3B7237DB-FB69-9146-B8F5-F7595C2D3844}"/>
    <hyperlink ref="B813" r:id="rId1590" display="https://www.fangraphs.com/players/pj-poulin/23394/stats" xr:uid="{DF61E408-0833-C940-8524-CC7B20BC5E82}"/>
    <hyperlink ref="C813" r:id="rId1591" display="https://www.fangraphs.com/teams/nationals" xr:uid="{932BC500-407C-D541-BD37-CA7D128594A0}"/>
    <hyperlink ref="B814" r:id="rId1592" display="https://www.fangraphs.com/players/mccade-brown/30004/stats" xr:uid="{1C6E5F94-27E4-A64D-AED8-3DF8B1A74698}"/>
    <hyperlink ref="C814" r:id="rId1593" display="https://www.fangraphs.com/teams/rockies" xr:uid="{F59FF680-2352-E34D-AEBA-AEEE1267260C}"/>
    <hyperlink ref="B815" r:id="rId1594" display="https://www.fangraphs.com/players/evan-phillips/17734/stats" xr:uid="{C54B8DBB-FF00-2B47-86B8-AD0DD741EE9C}"/>
    <hyperlink ref="C815" r:id="rId1595" display="https://www.fangraphs.com/teams/dodgers" xr:uid="{4DDC5532-F76C-0B42-86EE-CDDC737CCD6F}"/>
    <hyperlink ref="B816" r:id="rId1596" display="https://www.fangraphs.com/players/jesus-tinoco/16300/stats" xr:uid="{C0E12CE5-8037-4C44-A8BE-7F6D06E4A246}"/>
    <hyperlink ref="C816" r:id="rId1597" display="https://www.fangraphs.com/teams/marlins" xr:uid="{5C925A67-212D-954C-AC54-74FCB9065F1C}"/>
    <hyperlink ref="B817" r:id="rId1598" display="https://www.fangraphs.com/players/christian-vazquez/9774/stats" xr:uid="{D87E7BCD-440F-C64A-9D7A-885734000CE7}"/>
    <hyperlink ref="B818" r:id="rId1599" display="https://www.fangraphs.com/players/jaden-hill/30250/stats" xr:uid="{50942B60-396F-A043-9EAF-3FC09BCFB502}"/>
    <hyperlink ref="C818" r:id="rId1600" display="https://www.fangraphs.com/teams/rockies" xr:uid="{89E2AB33-9885-CE4B-A4CA-8163952E267B}"/>
    <hyperlink ref="B819" r:id="rId1601" display="https://www.fangraphs.com/players/will-klein/27787/stats" xr:uid="{FFFF2959-D381-A94D-A4C3-F993C0286184}"/>
    <hyperlink ref="C819" r:id="rId1602" display="https://www.fangraphs.com/teams/dodgers" xr:uid="{68C915EC-10AC-3041-BD36-9EE9EE601A4E}"/>
    <hyperlink ref="B820" r:id="rId1603" display="https://www.fangraphs.com/players/jose-fermin/33908/stats" xr:uid="{B9D62D47-E3A1-0F45-83A3-F84258DAD5F2}"/>
    <hyperlink ref="C820" r:id="rId1604" display="https://www.fangraphs.com/teams/angels" xr:uid="{A710C460-97D2-484D-A645-6F5D4B6DDB26}"/>
    <hyperlink ref="B821" r:id="rId1605" display="https://www.fangraphs.com/players/tommy-kahnle/11384/stats" xr:uid="{7B3ECE89-0267-8C4F-A2B7-602F610F2857}"/>
    <hyperlink ref="B822" r:id="rId1606" display="https://www.fangraphs.com/players/zach-thompson/16094/stats" xr:uid="{6F98B04C-96DC-CA48-B72F-7181B6AC71F7}"/>
    <hyperlink ref="B823" r:id="rId1607" display="https://www.fangraphs.com/players/jose-espada/21131/stats" xr:uid="{1A14469F-E3F8-C941-AD4B-08409F6C2D75}"/>
    <hyperlink ref="C823" r:id="rId1608" display="https://www.fangraphs.com/teams/orioles" xr:uid="{7AEAD5F6-177F-4142-B0AA-6282CCD2CE2C}"/>
    <hyperlink ref="B824" r:id="rId1609" display="https://www.fangraphs.com/players/jayden-murray/26482/stats" xr:uid="{295C999B-408A-7C4B-809E-3ACEB328BE8E}"/>
    <hyperlink ref="C824" r:id="rId1610" display="https://www.fangraphs.com/teams/astros" xr:uid="{955AAC9D-2357-884B-BA15-871336CB4C0E}"/>
    <hyperlink ref="B825" r:id="rId1611" display="https://www.fangraphs.com/players/michael-conforto/16376/stats" xr:uid="{595A758D-8202-FF48-A91A-2BF3DB573D4B}"/>
    <hyperlink ref="C825" r:id="rId1612" display="https://www.fangraphs.com/teams/cubs" xr:uid="{C3844516-159D-CD4C-B5D4-99427B0BAFB1}"/>
    <hyperlink ref="B826" r:id="rId1613" display="https://www.fangraphs.com/players/seth-johnson/26020/stats" xr:uid="{824EFE76-3358-FB41-9315-94A7ECA22ABE}"/>
    <hyperlink ref="C826" r:id="rId1614" display="https://www.fangraphs.com/teams/phillies" xr:uid="{8D5BA11C-E966-D043-9EA8-834CB1DDF954}"/>
    <hyperlink ref="B827" r:id="rId1615" display="https://www.fangraphs.com/players/michael-tonkin/10315/stats" xr:uid="{D4185F96-F8AB-AF48-9DB0-2D56831A3F4C}"/>
    <hyperlink ref="C827" r:id="rId1616" display="https://www.fangraphs.com/teams/twins" xr:uid="{ABFF9676-6D99-CD42-8B39-431C46AD9940}"/>
    <hyperlink ref="B828" r:id="rId1617" display="https://www.fangraphs.com/players/connor-gillispie/26171/stats" xr:uid="{0EEFBDBB-C6E4-F541-A22D-67A5DBC10980}"/>
    <hyperlink ref="C828" r:id="rId1618" display="https://www.fangraphs.com/teams/phillies" xr:uid="{F00B24D2-C16B-5948-86EB-7985EFB5729C}"/>
    <hyperlink ref="B829" r:id="rId1619" display="https://www.fangraphs.com/players/erasmo-ramirez/10314/stats" xr:uid="{EF850832-D66A-0949-AA55-30BFB8839F98}"/>
    <hyperlink ref="B830" r:id="rId1620" display="https://www.fangraphs.com/players/tomas-nido/13755/stats" xr:uid="{BD29B976-503E-C946-AF79-EDFA0D9DB8C8}"/>
    <hyperlink ref="C830" r:id="rId1621" display="https://www.fangraphs.com/teams/tigers" xr:uid="{307E0432-E9DE-E74E-B09B-288F65AD3F97}"/>
    <hyperlink ref="B831" r:id="rId1622" display="https://www.fangraphs.com/players/lou-trivino/15043/stats" xr:uid="{80926368-6B88-2443-AFC9-F4AF0C8A191D}"/>
    <hyperlink ref="C831" r:id="rId1623" display="https://www.fangraphs.com/teams/phillies" xr:uid="{158576AC-A0C7-5446-9533-E60302C5E1AE}"/>
    <hyperlink ref="B832" r:id="rId1624" display="https://www.fangraphs.com/players/dauri-moreta/21101/stats" xr:uid="{203F2BAA-7198-8C40-AB9F-1E50552F115E}"/>
    <hyperlink ref="B833" r:id="rId1625" display="https://www.fangraphs.com/players/brian-navarreto/16398/stats" xr:uid="{7B3D16D6-D174-FF42-87BD-7E6D9B434CD4}"/>
    <hyperlink ref="C833" r:id="rId1626" display="https://www.fangraphs.com/teams/marlins" xr:uid="{9FC7515D-7D28-5E40-9EFE-5593F90F5AC5}"/>
    <hyperlink ref="B834" r:id="rId1627" display="https://www.fangraphs.com/players/ezequiel-duran/23733/stats" xr:uid="{138A8B74-3667-2B48-9CEA-15FED3850C37}"/>
    <hyperlink ref="C834" r:id="rId1628" display="https://www.fangraphs.com/teams/rangers" xr:uid="{683E5598-813E-634A-8E28-868A637596AF}"/>
    <hyperlink ref="B835" r:id="rId1629" display="https://www.fangraphs.com/players/bryce-elder/27779/stats" xr:uid="{41A0E308-8A9C-E74E-B4E4-FD18CD2484A1}"/>
    <hyperlink ref="C835" r:id="rId1630" display="https://www.fangraphs.com/teams/braves" xr:uid="{2C3FA7CA-9BFE-B147-A1D3-0216EAF514F9}"/>
    <hyperlink ref="B836" r:id="rId1631" display="https://www.fangraphs.com/players/julian-fernandez/18341/stats" xr:uid="{ADBEDFCA-DF0A-8841-B042-535588B15577}"/>
    <hyperlink ref="C836" r:id="rId1632" display="https://www.fangraphs.com/teams/nationals" xr:uid="{76233BA5-DF31-9648-9753-94B9A26B4CFA}"/>
    <hyperlink ref="B837" r:id="rId1633" display="https://www.fangraphs.com/players/konnor-pilkington/21453/stats" xr:uid="{C7D0D639-7955-924B-8E91-E0DBCAFA2133}"/>
    <hyperlink ref="C837" r:id="rId1634" display="https://www.fangraphs.com/teams/tigers" xr:uid="{A7F751B4-F416-7946-80DD-B94AE71E3628}"/>
    <hyperlink ref="B838" r:id="rId1635" display="https://www.fangraphs.com/players/craig-kimbrel/6655/stats" xr:uid="{4E2D7B2B-82F0-1344-814D-D76CAB9253A6}"/>
    <hyperlink ref="C838" r:id="rId1636" display="https://www.fangraphs.com/teams/mets" xr:uid="{FA546BFE-1FE5-C74F-BD7A-73EEC8350B41}"/>
    <hyperlink ref="B839" r:id="rId1637" display="https://www.fangraphs.com/players/grant-holman/30002/stats" xr:uid="{FE436B40-5569-6E49-8C13-2A90E0F671C7}"/>
    <hyperlink ref="C839" r:id="rId1638" display="https://www.fangraphs.com/teams/diamondbacks" xr:uid="{AF7302C9-650D-8C42-8961-A89CCCA2148C}"/>
    <hyperlink ref="B840" r:id="rId1639" display="https://www.fangraphs.com/players/michael-a-taylor/11489/stats" xr:uid="{5B3D50DF-5197-F446-A66E-012A38CF2151}"/>
    <hyperlink ref="B841" r:id="rId1640" display="https://www.fangraphs.com/players/joey-gerber/24591/stats" xr:uid="{AF6D6F74-4DE7-0042-B8C4-3DD23E9D7831}"/>
    <hyperlink ref="C841" r:id="rId1641" display="https://www.fangraphs.com/teams/mets" xr:uid="{E56E9B8E-2F33-A445-87AB-2ECBC421EBB2}"/>
    <hyperlink ref="B842" r:id="rId1642" display="https://www.fangraphs.com/players/luis-garcia/6984/stats" xr:uid="{7AD45C19-AA7C-F649-B99C-B6AB1E3B9C8B}"/>
    <hyperlink ref="C842" r:id="rId1643" display="https://www.fangraphs.com/teams/mets" xr:uid="{6E278C33-7485-4C48-A3C9-4099B8E89A20}"/>
    <hyperlink ref="B843" r:id="rId1644" display="https://www.fangraphs.com/players/chase-silseth/30074/stats" xr:uid="{D67EC799-C059-E14A-9B22-A7269C63FBE9}"/>
    <hyperlink ref="C843" r:id="rId1645" display="https://www.fangraphs.com/teams/angels" xr:uid="{871F82FE-CF0F-864C-838B-3BCE062D5945}"/>
    <hyperlink ref="B844" r:id="rId1646" display="https://www.fangraphs.com/players/evan-sisk/24995/stats" xr:uid="{E4BC02C0-CDD7-B849-9E03-A2F5D3D26678}"/>
    <hyperlink ref="C844" r:id="rId1647" display="https://www.fangraphs.com/teams/pirates" xr:uid="{F4495BAB-150B-3941-845F-5D807C4124A4}"/>
    <hyperlink ref="B845" r:id="rId1648" display="https://www.fangraphs.com/players/christian-montes-de-oca/30206/stats" xr:uid="{E55875B2-A8FB-FB4E-BC92-60E15438FE63}"/>
    <hyperlink ref="C845" r:id="rId1649" display="https://www.fangraphs.com/teams/diamondbacks" xr:uid="{FB96CB79-582C-2B46-8CD4-8FCC877CE5DF}"/>
    <hyperlink ref="B846" r:id="rId1650" display="https://www.fangraphs.com/players/joe-rock/30016/stats" xr:uid="{CDC862E3-B82F-2E44-9F32-B579F6B1A077}"/>
    <hyperlink ref="C846" r:id="rId1651" display="https://www.fangraphs.com/teams/rays" xr:uid="{1E7EFCD4-E392-B74E-A82F-C8864E4F0090}"/>
    <hyperlink ref="B847" r:id="rId1652" display="https://www.fangraphs.com/players/nick-burdi/16074/stats" xr:uid="{9AB4CF40-1A77-0F46-AD16-A817AFE8D12C}"/>
    <hyperlink ref="C847" r:id="rId1653" display="https://www.fangraphs.com/teams/mets" xr:uid="{DF4547D1-1A20-174C-88B0-E14AF08CD148}"/>
    <hyperlink ref="B848" r:id="rId1654" display="https://www.fangraphs.com/players/randy-dobnak/23798/stats" xr:uid="{D9C3ACA4-97AB-6341-931B-9BAA03A0903A}"/>
    <hyperlink ref="C848" r:id="rId1655" display="https://www.fangraphs.com/teams/mariners" xr:uid="{1F840974-FAD1-0545-B16E-6E2619ACC90F}"/>
    <hyperlink ref="B849" r:id="rId1656" display="https://www.fangraphs.com/players/tristan-beck/21584/stats" xr:uid="{FEF6ACB7-A062-9A4F-89B3-E896FAFE3C1B}"/>
    <hyperlink ref="C849" r:id="rId1657" display="https://www.fangraphs.com/teams/giants" xr:uid="{D1778E08-8BCE-D540-8C52-C81AD958EBA8}"/>
    <hyperlink ref="B850" r:id="rId1658" display="https://www.fangraphs.com/players/luis-mey/25620/stats" xr:uid="{600F27CE-5310-0A49-A1C7-FD041F36758C}"/>
    <hyperlink ref="C850" r:id="rId1659" display="https://www.fangraphs.com/teams/reds" xr:uid="{AF5FE06F-9050-E144-99CB-97410442C9AE}"/>
    <hyperlink ref="B851" r:id="rId1660" display="https://www.fangraphs.com/players/luis-vazquez/23442/stats" xr:uid="{75017F89-336F-254C-ACBD-45E89681503E}"/>
    <hyperlink ref="C851" r:id="rId1661" display="https://www.fangraphs.com/teams/orioles" xr:uid="{33323C52-1A1F-4A44-AF5C-B67DD8B81004}"/>
    <hyperlink ref="B852" r:id="rId1662" display="https://www.fangraphs.com/players/mason-englert/22288/stats" xr:uid="{FDD051BB-74C2-DE4D-A040-6B7F6B602161}"/>
    <hyperlink ref="C852" r:id="rId1663" display="https://www.fangraphs.com/teams/rays" xr:uid="{B34D8066-EA0C-8149-9B47-CB3C6E2C03F6}"/>
    <hyperlink ref="B853" r:id="rId1664" display="https://www.fangraphs.com/players/darren-mccaughan/20038/stats" xr:uid="{662D45EE-572C-CC43-B758-F89426487FBD}"/>
    <hyperlink ref="C853" r:id="rId1665" display="https://www.fangraphs.com/teams/reds" xr:uid="{4C65A6E3-89FC-A34B-BF51-9926BC0E54BF}"/>
    <hyperlink ref="B854" r:id="rId1666" display="https://www.fangraphs.com/players/christian-koss/27653/stats" xr:uid="{C8D096ED-52F2-B64A-AE3F-94EC74F555FC}"/>
    <hyperlink ref="C854" r:id="rId1667" display="https://www.fangraphs.com/teams/giants" xr:uid="{2EAE7B29-FF7C-A244-8804-E83D9233DFA1}"/>
    <hyperlink ref="B855" r:id="rId1668" display="https://www.fangraphs.com/players/nick-raquet/20333/stats" xr:uid="{E1A41007-6838-1A4F-91B3-5E9B4DD8793A}"/>
    <hyperlink ref="C855" r:id="rId1669" display="https://www.fangraphs.com/teams/cardinals" xr:uid="{8A68A6D8-15B4-B441-B3DE-146B4CB4CD73}"/>
    <hyperlink ref="B856" r:id="rId1670" display="https://www.fangraphs.com/players/tyler-anderson/12880/stats" xr:uid="{BB36EA9E-71E9-CE4C-A49D-F7F95F0BCA7D}"/>
    <hyperlink ref="B857" r:id="rId1671" display="https://www.fangraphs.com/players/sam-huff/22209/stats" xr:uid="{064ED27A-3160-7C46-8F1F-8F7926A5E75F}"/>
    <hyperlink ref="C857" r:id="rId1672" display="https://www.fangraphs.com/teams/orioles" xr:uid="{92E94CEF-E655-1A4C-A5AA-74FEB777B7A1}"/>
    <hyperlink ref="B858" r:id="rId1673" display="https://www.fangraphs.com/players/austin-hedges/12976/stats" xr:uid="{5543AA23-4D05-8E46-B697-79D583E7F190}"/>
    <hyperlink ref="C858" r:id="rId1674" display="https://www.fangraphs.com/teams/guardians" xr:uid="{1C14F2A4-0EAC-934F-A6D9-74FE9A0D7A2E}"/>
    <hyperlink ref="B859" r:id="rId1675" display="https://www.fangraphs.com/players/bryan-hoeing/26304/stats" xr:uid="{5CAFCD73-7802-AA4C-A176-B56D732D1386}"/>
    <hyperlink ref="C859" r:id="rId1676" display="https://www.fangraphs.com/teams/padres" xr:uid="{F0FF6081-F931-6E46-A6E8-026E0C2A332A}"/>
    <hyperlink ref="B860" r:id="rId1677" display="https://www.fangraphs.com/players/weston-wilson/19358/stats" xr:uid="{92966611-7B8D-A040-A0BE-DF6E5F75F78F}"/>
    <hyperlink ref="C860" r:id="rId1678" display="https://www.fangraphs.com/teams/orioles" xr:uid="{708A0A9D-4E68-AF46-ACCB-AD70B8DC8C41}"/>
    <hyperlink ref="B861" r:id="rId1679" display="https://www.fangraphs.com/players/christian-roa/27662/stats" xr:uid="{EE6C7E49-1E87-A442-9082-41BDB76CAFF7}"/>
    <hyperlink ref="C861" r:id="rId1680" display="https://www.fangraphs.com/teams/astros" xr:uid="{7EDCF36C-314A-3649-AD69-7C32B1097273}"/>
    <hyperlink ref="B862" r:id="rId1681" display="https://www.fangraphs.com/players/tom-cosgrove/23443/stats" xr:uid="{2735C9F5-7533-CD49-A2E2-2837123483EC}"/>
    <hyperlink ref="C862" r:id="rId1682" display="https://www.fangraphs.com/teams/astros" xr:uid="{C895F1CB-0F3F-2A4F-8413-765B34DB3D00}"/>
    <hyperlink ref="B863" r:id="rId1683" display="https://www.fangraphs.com/players/tomas-nido/13755/stats" xr:uid="{37A8AD4D-E9F4-1F4A-AF2C-1B842B20AC3B}"/>
    <hyperlink ref="C863" r:id="rId1684" display="https://www.fangraphs.com/teams/tigers" xr:uid="{3C5011E0-A09F-734B-99BD-CCCACE4B943B}"/>
    <hyperlink ref="B864" r:id="rId1685" display="https://www.fangraphs.com/players/chris-paddack/20099/stats" xr:uid="{AAA8B829-8261-3D44-9F26-3D088EEADEA5}"/>
    <hyperlink ref="C864" r:id="rId1686" display="https://www.fangraphs.com/teams/marlins" xr:uid="{16FC2810-CF4A-3546-A349-596EC32FC8E1}"/>
    <hyperlink ref="B865" r:id="rId1687" display="https://www.fangraphs.com/players/jahmai-jones/18872/stats" xr:uid="{8E5665D7-9D8D-AB41-8D17-C05EA9CCD84A}"/>
    <hyperlink ref="C865" r:id="rId1688" display="https://www.fangraphs.com/teams/tigers" xr:uid="{7AFC5F61-0337-FA47-9D89-DE86272C23FC}"/>
    <hyperlink ref="B866" r:id="rId1689" display="https://www.fangraphs.com/players/logan-davidson/25844/stats" xr:uid="{8393F8C5-325B-4748-BB2F-02E421C0D0FB}"/>
    <hyperlink ref="C866" r:id="rId1690" display="https://www.fangraphs.com/teams/rays" xr:uid="{D0415845-7B5C-874B-AAFF-8E89DF65B3B9}"/>
    <hyperlink ref="B867" r:id="rId1691" display="https://www.fangraphs.com/players/sam-haggerty/18054/stats" xr:uid="{43D1ACD3-53C7-134D-88CB-C64AC4B9E5FE}"/>
    <hyperlink ref="C867" r:id="rId1692" display="https://www.fangraphs.com/teams/rangers" xr:uid="{DB2EE936-0124-7047-AC10-978D1C671463}"/>
    <hyperlink ref="B868" r:id="rId1693" display="https://www.fangraphs.com/players/bowden-francis/20548/stats" xr:uid="{2D8BE761-41AC-4349-96F1-A831A4727593}"/>
    <hyperlink ref="C868" r:id="rId1694" display="https://www.fangraphs.com/teams/blue-jays" xr:uid="{E86B1481-F0B5-2847-A47B-CA1A09913357}"/>
    <hyperlink ref="B869" r:id="rId1695" display="https://www.fangraphs.com/players/jorge-alfaro/12180/stats" xr:uid="{8753405B-8215-1A46-8150-398576922BD9}"/>
    <hyperlink ref="C869" r:id="rId1696" display="https://www.fangraphs.com/teams/royals" xr:uid="{F6A7A629-5507-224E-B94A-0EB734B12209}"/>
    <hyperlink ref="B870" r:id="rId1697" display="https://www.fangraphs.com/players/colin-selby/24986/stats" xr:uid="{7DD7EA6E-D218-FD4B-9AA0-371B11E49315}"/>
    <hyperlink ref="C870" r:id="rId1698" display="https://www.fangraphs.com/teams/orioles" xr:uid="{4CB852C1-8AC7-EA4C-BA4C-19BAD9BECEB1}"/>
    <hyperlink ref="B871" r:id="rId1699" display="https://www.fangraphs.com/players/randy-wynne/25804/stats" xr:uid="{C0244735-CDA4-6247-BDDF-EEF8ED6AFFB1}"/>
    <hyperlink ref="B872" r:id="rId1700" display="https://www.fangraphs.com/players/justin-hagenman/21546/stats" xr:uid="{5BD31776-6EE1-3C43-A9C7-DAB6E6A39A26}"/>
    <hyperlink ref="C872" r:id="rId1701" display="https://www.fangraphs.com/teams/mets" xr:uid="{C46DF095-B5BE-2841-8DEA-2741C8FAA01D}"/>
    <hyperlink ref="B873" r:id="rId1702" display="https://www.fangraphs.com/players/garrett-hampson/19262/stats" xr:uid="{D42A6596-C1F3-CA41-95DD-2894771419CA}"/>
    <hyperlink ref="C873" r:id="rId1703" display="https://www.fangraphs.com/teams/reds" xr:uid="{B5D58AD3-8E24-A847-AB4D-3C0E13D0C667}"/>
    <hyperlink ref="B874" r:id="rId1704" display="https://www.fangraphs.com/players/cesar-salazar/21587/stats" xr:uid="{05258A98-D63B-3243-A0F2-8E3E4D1B277D}"/>
    <hyperlink ref="C874" r:id="rId1705" display="https://www.fangraphs.com/teams/astros" xr:uid="{145894F0-3E9C-6249-8088-846F9A90F32D}"/>
    <hyperlink ref="B875" r:id="rId1706" display="https://www.fangraphs.com/players/jacob-amaya/23296/stats" xr:uid="{74D20FFE-D29B-4B44-BBCA-B40FDD699E8E}"/>
    <hyperlink ref="C875" r:id="rId1707" display="https://www.fangraphs.com/teams/diamondbacks" xr:uid="{D8EFFF68-0461-BA46-9308-65378405B095}"/>
    <hyperlink ref="B876" r:id="rId1708" display="https://www.fangraphs.com/players/michael-stefanic/25353/stats" xr:uid="{3D14AF31-597A-8141-9DD6-6DF8CBBCD670}"/>
    <hyperlink ref="C876" r:id="rId1709" display="https://www.fangraphs.com/teams/athletics" xr:uid="{372F621B-733B-094D-87E6-E1DD9211427F}"/>
    <hyperlink ref="B877" r:id="rId1710" display="https://www.fangraphs.com/players/alan-rangel/19524/stats" xr:uid="{AC0C6E31-2B71-C84A-BAAC-BFCDC987F9B6}"/>
    <hyperlink ref="C877" r:id="rId1711" display="https://www.fangraphs.com/teams/phillies" xr:uid="{D67FC195-CCF4-D34A-B739-07F35E598286}"/>
    <hyperlink ref="B878" r:id="rId1712" display="https://www.fangraphs.com/players/didier-fuentes/30661/stats" xr:uid="{8B506653-73C8-2148-B5FD-E8031805E556}"/>
    <hyperlink ref="C878" r:id="rId1713" display="https://www.fangraphs.com/teams/braves" xr:uid="{649D1905-946B-E94D-9CE1-0DEB4A526103}"/>
    <hyperlink ref="B879" r:id="rId1714" display="https://www.fangraphs.com/players/jake-fraley/19260/stats" xr:uid="{9D608AAC-8C2A-6443-83B7-BCA9EA22352F}"/>
    <hyperlink ref="C879" r:id="rId1715" display="https://www.fangraphs.com/teams/rays" xr:uid="{A5D1D838-8B5D-2649-9310-5F37308E0CDA}"/>
    <hyperlink ref="B880" r:id="rId1716" display="https://www.fangraphs.com/players/blaze-alexander/23789/stats" xr:uid="{6A389C83-233D-7D43-AA94-673A5F8B0D4C}"/>
    <hyperlink ref="C880" r:id="rId1717" display="https://www.fangraphs.com/teams/orioles" xr:uid="{08E3A8F5-F3DC-8949-B3AA-A358CF0C711F}"/>
    <hyperlink ref="B881" r:id="rId1718" display="https://www.fangraphs.com/players/ryan-fitzgerald/24622/stats" xr:uid="{7FD827AB-CF61-7043-B005-961ECC1BD7F7}"/>
    <hyperlink ref="C881" r:id="rId1719" display="https://www.fangraphs.com/teams/dodgers" xr:uid="{9F2B1B67-A48B-EC4C-B978-9AA6297E01F4}"/>
    <hyperlink ref="B882" r:id="rId1720" display="https://www.fangraphs.com/players/jhonathan-diaz/20298/stats" xr:uid="{FA8502A7-91D5-734E-9BA5-9BDBCBDE5243}"/>
    <hyperlink ref="C882" r:id="rId1721" display="https://www.fangraphs.com/teams/mariners" xr:uid="{0172FFDF-A44B-8948-97DA-9B5FAA83B3CD}"/>
    <hyperlink ref="B883" r:id="rId1722" display="https://www.fangraphs.com/players/luke-williams/19931/stats" xr:uid="{6D73C2F0-9550-984F-BF7F-1BFADB12FE17}"/>
    <hyperlink ref="C883" r:id="rId1723" display="https://www.fangraphs.com/teams/braves" xr:uid="{33A80D66-E8A5-A948-968A-24F85662577B}"/>
    <hyperlink ref="B884" r:id="rId1724" display="https://www.fangraphs.com/players/ty-adcock/25651/stats" xr:uid="{05ACA0A2-DABE-C84A-951C-27CA3C1168C3}"/>
    <hyperlink ref="C884" r:id="rId1725" display="https://www.fangraphs.com/teams/padres" xr:uid="{943877D8-FF58-0F40-AE29-EB7A3DC1A30C}"/>
    <hyperlink ref="B885" r:id="rId1726" display="https://www.fangraphs.com/players/tommy-henry/26285/stats" xr:uid="{9C0B24AA-49B3-D745-ABEB-956C75A1ED32}"/>
    <hyperlink ref="C885" r:id="rId1727" display="https://www.fangraphs.com/teams/diamondbacks" xr:uid="{4432CEBC-A3B1-AA4A-8609-4007A7E7B597}"/>
    <hyperlink ref="B886" r:id="rId1728" display="https://www.fangraphs.com/players/tyrone-taylor/13675/stats" xr:uid="{9E4B3A84-AAC0-E14B-8301-503282CCFCCC}"/>
    <hyperlink ref="C886" r:id="rId1729" display="https://www.fangraphs.com/teams/mets" xr:uid="{74AC2C17-0EBF-A54E-9C85-B70946FADE2A}"/>
    <hyperlink ref="B887" r:id="rId1730" display="https://www.fangraphs.com/players/connor-wong/19896/stats" xr:uid="{13049289-C87D-9546-9010-77D9D360F293}"/>
    <hyperlink ref="C887" r:id="rId1731" display="https://www.fangraphs.com/teams/red-sox" xr:uid="{ACE9DBED-BEC0-C847-8E40-83B2A8AD4E72}"/>
    <hyperlink ref="B888" r:id="rId1732" display="https://www.fangraphs.com/players/jhonny-pereda/19802/stats" xr:uid="{BEF12D8D-9975-EC41-827B-D9532B8454DF}"/>
    <hyperlink ref="C888" r:id="rId1733" display="https://www.fangraphs.com/teams/mariners" xr:uid="{A3F88D5A-059E-6248-B833-E7FCE5A31689}"/>
    <hyperlink ref="B889" r:id="rId1734" display="https://www.fangraphs.com/players/cade-povich/30055/stats" xr:uid="{B3C0D557-3964-A84A-B767-CDA78ECB235C}"/>
    <hyperlink ref="C889" r:id="rId1735" display="https://www.fangraphs.com/teams/orioles" xr:uid="{DD369D33-D935-144D-9871-244BD87DE29F}"/>
    <hyperlink ref="B890" r:id="rId1736" display="https://www.fangraphs.com/players/bailey-horn/27753/stats" xr:uid="{76C3E175-0F51-7440-85BB-5F13D5262D9C}"/>
    <hyperlink ref="C890" r:id="rId1737" display="https://www.fangraphs.com/teams/tigers" xr:uid="{BCCE35AC-AF70-2F4D-80D6-6FBAC105EF3C}"/>
    <hyperlink ref="B891" r:id="rId1738" display="https://www.fangraphs.com/players/austin-pope/26136/stats" xr:uid="{F6D84C68-99A8-0D43-A44D-F33DC7E4DBD5}"/>
    <hyperlink ref="C891" r:id="rId1739" display="https://www.fangraphs.com/teams/braves" xr:uid="{F2ADD8BF-D660-F246-9EA7-D1DC4AF897F4}"/>
    <hyperlink ref="B892" r:id="rId1740" display="https://www.fangraphs.com/players/tyler-tolbert/25779/stats" xr:uid="{B2A88D0C-2964-3B42-8477-C79BF45DEC1C}"/>
    <hyperlink ref="C892" r:id="rId1741" display="https://www.fangraphs.com/teams/royals" xr:uid="{46747121-652A-8A4C-B216-BC4FC037825C}"/>
    <hyperlink ref="B893" r:id="rId1742" display="https://www.fangraphs.com/players/luke-maile/13355/stats" xr:uid="{98E2A50B-1326-7049-BD75-07F5222BB5E2}"/>
    <hyperlink ref="C893" r:id="rId1743" display="https://www.fangraphs.com/teams/royals" xr:uid="{B4821AEE-6944-DC4B-A5DF-C214686B36DC}"/>
    <hyperlink ref="B894" r:id="rId1744" display="https://www.fangraphs.com/players/alan-trejo/20056/stats" xr:uid="{3F7B0370-7764-C745-8F26-15C7531C0048}"/>
    <hyperlink ref="B895" r:id="rId1745" display="https://www.fangraphs.com/players/anthony-seigler/23802/stats" xr:uid="{DEB7D081-A541-FC4B-8AB8-6D3019EA98F9}"/>
    <hyperlink ref="C895" r:id="rId1746" display="https://www.fangraphs.com/teams/red-sox" xr:uid="{70FA2694-44D2-9C49-9396-21A256675C56}"/>
    <hyperlink ref="B896" r:id="rId1747" display="https://www.fangraphs.com/players/joey-lucchesi/19320/stats" xr:uid="{92B547F0-FE75-4A4E-BDFE-B097127D178E}"/>
    <hyperlink ref="B897" r:id="rId1748" display="https://www.fangraphs.com/players/tim-herrin/25139/stats" xr:uid="{F8236029-0AD3-5E4C-8FCB-5F2AF981FDA9}"/>
    <hyperlink ref="C897" r:id="rId1749" display="https://www.fangraphs.com/teams/guardians" xr:uid="{E11A0057-9B04-154D-BE27-6034FAD3B008}"/>
    <hyperlink ref="B898" r:id="rId1750" display="https://www.fangraphs.com/players/isiah-kiner-falefa/16512/stats" xr:uid="{E818496F-4E77-F84D-B1DF-48B98B5B520A}"/>
    <hyperlink ref="C898" r:id="rId1751" display="https://www.fangraphs.com/teams/red-sox" xr:uid="{AE0B8ACA-6C93-F942-9CC0-F15B440DBD1F}"/>
    <hyperlink ref="B899" r:id="rId1752" display="https://www.fangraphs.com/players/kevin-herget/15369/stats" xr:uid="{825CDAB7-291A-D64D-92DC-9B196FB3EA84}"/>
    <hyperlink ref="C899" r:id="rId1753" display="https://www.fangraphs.com/teams/mets" xr:uid="{0DF195BF-3D3F-5947-BEFC-BB10A1E814A0}"/>
    <hyperlink ref="B900" r:id="rId1754" display="https://www.fangraphs.com/players/yosver-zulueta/27765/stats" xr:uid="{678CFDA0-DD9F-6744-A26C-549DD85A372F}"/>
    <hyperlink ref="C900" r:id="rId1755" display="https://www.fangraphs.com/teams/mariners" xr:uid="{03A75B54-F0CC-9045-B5CE-861BD65D7B84}"/>
    <hyperlink ref="B901" r:id="rId1756" display="https://www.fangraphs.com/players/casey-kelly/9174/stats" xr:uid="{30EAD9B6-094B-CE4C-9E99-8C9BB01216BA}"/>
    <hyperlink ref="B902" r:id="rId1757" display="https://www.fangraphs.com/players/jacob-stallings/13723/stats" xr:uid="{A5DF2872-6C8E-124B-931D-C7887FB91C71}"/>
    <hyperlink ref="C902" r:id="rId1758" display="https://www.fangraphs.com/teams/orioles" xr:uid="{C88CEE8A-DEF9-7541-8E5D-797EECCCCAA5}"/>
    <hyperlink ref="B903" r:id="rId1759" display="https://www.fangraphs.com/players/carl-edwards-jr/13607/stats" xr:uid="{EBD92C61-C7D7-E545-8ABD-DFFB29191C32}"/>
    <hyperlink ref="C903" r:id="rId1760" display="https://www.fangraphs.com/teams/mets" xr:uid="{70C0E8E4-3522-B94A-9306-980C506D7B7E}"/>
    <hyperlink ref="B904" r:id="rId1761" display="https://www.fangraphs.com/players/randal-grichuk/10243/stats" xr:uid="{BE722F6B-B82E-7B4A-863A-F16842A6676A}"/>
    <hyperlink ref="B905" r:id="rId1762" display="https://www.fangraphs.com/players/abraham-toro/19844/stats" xr:uid="{15F9B44A-6738-5A42-B23E-6328644A093F}"/>
    <hyperlink ref="C905" r:id="rId1763" display="https://www.fangraphs.com/teams/royals" xr:uid="{3ABAF35C-96FC-0D44-8F12-80A6AC0339EC}"/>
    <hyperlink ref="B906" r:id="rId1764" display="https://www.fangraphs.com/players/jose-quijada/19200/stats" xr:uid="{201FCEC5-D984-7646-860E-49393BC608BD}"/>
    <hyperlink ref="B907" r:id="rId1765" display="https://www.fangraphs.com/players/yohan-ramirez/19444/stats" xr:uid="{8B939384-C702-994B-A9CB-62EFF42B1AA1}"/>
    <hyperlink ref="C907" r:id="rId1766" display="https://www.fangraphs.com/teams/pirates" xr:uid="{6C56CB77-9D27-2243-9E51-D5BA3D5F684A}"/>
    <hyperlink ref="B908" r:id="rId1767" display="https://www.fangraphs.com/players/nate-eaton/25055/stats" xr:uid="{91E13D94-1AA6-864B-9C02-B47281586148}"/>
    <hyperlink ref="C908" r:id="rId1768" display="https://www.fangraphs.com/teams/red-sox" xr:uid="{12328CE8-C77F-B84C-A403-4615C307C76F}"/>
    <hyperlink ref="B909" r:id="rId1769" display="https://www.fangraphs.com/players/garrett-acton/27583/stats" xr:uid="{C16389C8-2ADE-0040-BB82-065F3E253EB3}"/>
    <hyperlink ref="C909" r:id="rId1770" display="https://www.fangraphs.com/teams/marlins" xr:uid="{DBE97315-6BA0-C047-8CBF-AE3CEFA50BB8}"/>
    <hyperlink ref="B910" r:id="rId1771" display="https://www.fangraphs.com/players/reiver-sanmartin/19754/stats" xr:uid="{759AF7F5-EF2B-A941-8D35-778595FBA6E7}"/>
    <hyperlink ref="C910" r:id="rId1772" display="https://www.fangraphs.com/teams/giants" xr:uid="{0D2A291A-7E0F-3245-8D62-B5ED07BF56A1}"/>
    <hyperlink ref="B911" r:id="rId1773" display="https://www.fangraphs.com/players/taylor-rashi/26344/stats" xr:uid="{8CAB2D84-9802-3741-AC28-41C095AFEC62}"/>
    <hyperlink ref="C911" r:id="rId1774" display="https://www.fangraphs.com/teams/diamondbacks" xr:uid="{66B141A8-AB96-D243-B5AE-49AE502C426B}"/>
    <hyperlink ref="B912" r:id="rId1775" display="https://www.fangraphs.com/players/brady-basso/25582/stats" xr:uid="{8417E3A6-C49D-8E4E-8713-08362BC2A884}"/>
    <hyperlink ref="C912" r:id="rId1776" display="https://www.fangraphs.com/teams/athletics" xr:uid="{15DA8568-02ED-8640-85F9-702DB4354311}"/>
    <hyperlink ref="B913" r:id="rId1777" display="https://www.fangraphs.com/players/jt-brubaker/17578/stats" xr:uid="{6017CD63-333C-7B45-A911-C121F2117A07}"/>
    <hyperlink ref="C913" r:id="rId1778" display="https://www.fangraphs.com/teams/giants" xr:uid="{F0215328-DC87-714E-8840-0AFFE82FFC59}"/>
    <hyperlink ref="B914" r:id="rId1779" display="https://www.fangraphs.com/players/lucas-gilbreath/21290/stats" xr:uid="{6DF1ADE8-87CF-5440-A4F5-976E7E8A5E84}"/>
    <hyperlink ref="C914" r:id="rId1780" display="https://www.fangraphs.com/teams/rockies" xr:uid="{0D783654-3A85-C14B-B10A-9311F75B66B5}"/>
    <hyperlink ref="B915" r:id="rId1781" display="https://www.fangraphs.com/players/brandon-waddell/18347/stats" xr:uid="{10F67B99-D5ED-E740-A5A7-944871E7195E}"/>
    <hyperlink ref="C915" r:id="rId1782" display="https://www.fangraphs.com/teams/mets" xr:uid="{0A2139E9-7BDD-F14C-AD44-45C7D0876651}"/>
    <hyperlink ref="B916" r:id="rId1783" display="https://www.fangraphs.com/players/sauryn-lao/21922/stats" xr:uid="{C7348CDD-EC89-BA4B-BA83-1A2A90E0DBDF}"/>
    <hyperlink ref="B917" r:id="rId1784" display="https://www.fangraphs.com/players/willie-maciver/24641/stats" xr:uid="{95B2EAB5-6DEF-E347-8927-0F73AEDE3D3A}"/>
    <hyperlink ref="C917" r:id="rId1785" display="https://www.fangraphs.com/teams/rangers" xr:uid="{9FA61443-7C38-274D-9299-8B9975CAD326}"/>
    <hyperlink ref="B918" r:id="rId1786" display="https://www.fangraphs.com/players/fraser-ellard/29530/stats" xr:uid="{AA1EF15B-1841-334C-90B2-26F090B382E5}"/>
    <hyperlink ref="B919" r:id="rId1787" display="https://www.fangraphs.com/players/austin-slater/16153/stats" xr:uid="{2964F4DF-8BD0-4341-AEC8-286DCAB54E51}"/>
    <hyperlink ref="C919" r:id="rId1788" display="https://www.fangraphs.com/teams/tigers" xr:uid="{DE64554B-C360-5F46-90DF-E710F0A6ED2F}"/>
    <hyperlink ref="B920" r:id="rId1789" display="https://www.fangraphs.com/players/omar-narvaez/13338/stats" xr:uid="{53FDA5BE-BEBC-4C48-8B81-06C372BC816D}"/>
    <hyperlink ref="B921" r:id="rId1790" display="https://www.fangraphs.com/players/andre-granillo/29542/stats" xr:uid="{A6C5DACA-A04A-8946-BC91-DF7ECD7234EB}"/>
    <hyperlink ref="C921" r:id="rId1791" display="https://www.fangraphs.com/teams/nationals" xr:uid="{D60E6DD9-CCBB-4D40-8EAD-F9ABF9AB4808}"/>
    <hyperlink ref="B922" r:id="rId1792" display="https://www.fangraphs.com/players/dugan-darnell/27812/stats" xr:uid="{0D70311F-6F69-FD4D-B9AC-9C62E4CA3654}"/>
    <hyperlink ref="C922" r:id="rId1793" display="https://www.fangraphs.com/teams/tigers" xr:uid="{63FE677C-B629-934E-8FDD-F80DF37612C2}"/>
    <hyperlink ref="B923" r:id="rId1794" display="https://www.fangraphs.com/players/nicky-lopez/19339/stats" xr:uid="{9C3813CA-D987-C548-9A8A-C4CD3E522248}"/>
    <hyperlink ref="C923" r:id="rId1795" display="https://www.fangraphs.com/teams/rockies" xr:uid="{360687EB-6A9D-E940-BD90-A329C04561E6}"/>
    <hyperlink ref="B924" r:id="rId1796" display="https://www.fangraphs.com/players/danny-young/18439/stats" xr:uid="{FDC2D2C8-6166-AF42-87BF-FADE8A1203E2}"/>
    <hyperlink ref="C924" r:id="rId1797" display="https://www.fangraphs.com/teams/braves" xr:uid="{FA42AF71-8BD8-6543-B968-10C819B0D232}"/>
    <hyperlink ref="B925" r:id="rId1798" display="https://www.fangraphs.com/players/ethan-roberts/24930/stats" xr:uid="{97CBAA62-6C0E-3E41-A502-293EF28B7882}"/>
    <hyperlink ref="C925" r:id="rId1799" display="https://www.fangraphs.com/teams/cubs" xr:uid="{90C7DEEC-FE34-F546-A24F-B1C5AA437B3D}"/>
    <hyperlink ref="B926" r:id="rId1800" display="https://www.fangraphs.com/players/alex-lange/19883/stats" xr:uid="{ECF7CB6F-9284-834C-B346-1F5F567C5461}"/>
    <hyperlink ref="C926" r:id="rId1801" display="https://www.fangraphs.com/teams/royals" xr:uid="{DF7A7DBA-5F48-DE45-868F-192C443CED05}"/>
    <hyperlink ref="B927" r:id="rId1802" display="https://www.fangraphs.com/players/adam-ottavino/1247/stats" xr:uid="{FCE97E71-1341-5245-A531-98406C0E811A}"/>
    <hyperlink ref="B928" r:id="rId1803" display="https://www.fangraphs.com/players/eduardo-rodriguez/13164/stats" xr:uid="{E1B20B4F-8C61-024E-A116-59190891A4DE}"/>
    <hyperlink ref="C928" r:id="rId1804" display="https://www.fangraphs.com/teams/diamondbacks" xr:uid="{76FC0238-A973-8647-A85B-1332B9AA1454}"/>
    <hyperlink ref="B929" r:id="rId1805" display="https://www.fangraphs.com/players/kaleb-ort/20061/stats" xr:uid="{3F73070B-0BA9-A34D-AB1D-7B42DB89BC4F}"/>
    <hyperlink ref="C929" r:id="rId1806" display="https://www.fangraphs.com/teams/angels" xr:uid="{8197405B-1B4C-1747-B2E4-F784F6BE9DFE}"/>
    <hyperlink ref="B930" r:id="rId1807" display="https://www.fangraphs.com/players/logan-gillaspie/22461/stats" xr:uid="{CA3F7240-D12D-9C48-A3EB-6ED645834B4E}"/>
    <hyperlink ref="C930" r:id="rId1808" display="https://www.fangraphs.com/teams/padres" xr:uid="{FAC3C076-31D4-7C4D-9939-F40C542D9716}"/>
    <hyperlink ref="B931" r:id="rId1809" display="https://www.fangraphs.com/players/john-rooney/24590/stats" xr:uid="{7F0EF321-E3C9-5D4B-A097-EDAA2E563AD9}"/>
    <hyperlink ref="C931" r:id="rId1810" display="https://www.fangraphs.com/teams/rays" xr:uid="{291EF880-44D0-0446-A447-9654D863C2B6}"/>
    <hyperlink ref="B932" r:id="rId1811" display="https://www.fangraphs.com/players/jake-rogers/19452/stats" xr:uid="{A018EAC2-DD92-9A43-AFD0-733C3FB1B816}"/>
    <hyperlink ref="C932" r:id="rId1812" display="https://www.fangraphs.com/teams/tigers" xr:uid="{29B4F2C3-13B7-7943-9C2F-14D61BE908CF}"/>
    <hyperlink ref="B933" r:id="rId1813" display="https://www.fangraphs.com/players/miles-mastrobuoni/20017/stats" xr:uid="{CD33E83D-9DE0-EE48-8E41-ADA4C724692C}"/>
    <hyperlink ref="C933" r:id="rId1814" display="https://www.fangraphs.com/teams/mariners" xr:uid="{84A5D450-95B9-D445-80FC-52E39EFF2D87}"/>
    <hyperlink ref="B934" r:id="rId1815" display="https://www.fangraphs.com/players/dom-hamel/30153/stats" xr:uid="{BE660665-BE01-A24E-A936-5D420EE4EF1A}"/>
    <hyperlink ref="C934" r:id="rId1816" display="https://www.fangraphs.com/teams/yankees" xr:uid="{9862E7AC-DB07-3D46-BC14-9D1F4C94CE51}"/>
    <hyperlink ref="B935" r:id="rId1817" display="https://www.fangraphs.com/players/zach-maxwell/31610/stats" xr:uid="{EBD38529-656A-584C-96F8-19925C85604A}"/>
    <hyperlink ref="C935" r:id="rId1818" display="https://www.fangraphs.com/teams/reds" xr:uid="{C3EFD2E6-D2B9-EC45-A85B-684FCC477709}"/>
    <hyperlink ref="B936" r:id="rId1819" display="https://www.fangraphs.com/players/dedniel-nunez/23055/stats" xr:uid="{C98EEB1F-2165-6B49-9B39-DC7834CF98BF}"/>
    <hyperlink ref="C936" r:id="rId1820" display="https://www.fangraphs.com/teams/mets" xr:uid="{3021CB49-41B9-994B-800E-1B47AB4D5498}"/>
    <hyperlink ref="B937" r:id="rId1821" display="https://www.fangraphs.com/players/brandon-eisert/27668/stats" xr:uid="{6F464127-0CC0-3C47-B2CA-AE2363328B73}"/>
    <hyperlink ref="C937" r:id="rId1822" display="https://www.fangraphs.com/teams/white-sox" xr:uid="{59088640-35BA-FD42-931B-0CAC3DEFA112}"/>
    <hyperlink ref="B938" r:id="rId1823" display="https://www.fangraphs.com/players/michael-kopech/17282/stats" xr:uid="{A30CE958-B07D-6E43-A2AF-A9D5601E2B4F}"/>
    <hyperlink ref="B939" r:id="rId1824" display="https://www.fangraphs.com/players/tim-mayza/15042/stats" xr:uid="{725407CE-4B04-8C4C-8EF7-120D8D9EEDA0}"/>
    <hyperlink ref="C939" r:id="rId1825" display="https://www.fangraphs.com/teams/phillies" xr:uid="{2E82290A-6233-A140-854D-008A6FB4E949}"/>
    <hyperlink ref="B940" r:id="rId1826" display="https://www.fangraphs.com/players/sebastian-rivero/21735/stats" xr:uid="{AD90CF20-87EE-4E49-8898-620F13EBCDC2}"/>
    <hyperlink ref="C940" r:id="rId1827" display="https://www.fangraphs.com/teams/angels" xr:uid="{731F35F7-2FC6-C840-8C2F-E28189A10163}"/>
    <hyperlink ref="B941" r:id="rId1828" display="https://www.fangraphs.com/players/joey-wentz/19962/stats" xr:uid="{ABEAB96A-9C2F-404A-AAF8-BE7417005934}"/>
    <hyperlink ref="C941" r:id="rId1829" display="https://www.fangraphs.com/teams/braves" xr:uid="{0B40E788-CBB4-3046-A870-89489665E12D}"/>
    <hyperlink ref="B942" r:id="rId1830" display="https://www.fangraphs.com/players/niko-kavadas/29782/stats" xr:uid="{DF81896B-5594-CF45-B185-513DF78DBD61}"/>
    <hyperlink ref="C942" r:id="rId1831" display="https://www.fangraphs.com/teams/angels" xr:uid="{4D174F8D-8AFF-FD42-9039-EF435BCA0070}"/>
    <hyperlink ref="B943" r:id="rId1832" display="https://www.fangraphs.com/players/otto-kemp/31792/stats" xr:uid="{5AB8C5B9-7CEB-714B-B095-0EF63EBC4AA2}"/>
    <hyperlink ref="C943" r:id="rId1833" display="https://www.fangraphs.com/teams/phillies" xr:uid="{E73D9FD0-4D3E-C74D-B83C-6326654A9745}"/>
    <hyperlink ref="B944" r:id="rId1834" display="https://www.fangraphs.com/players/ben-williamson/33197/stats" xr:uid="{A1DC596E-1B12-A045-9FC4-EF7A2A12D66C}"/>
    <hyperlink ref="C944" r:id="rId1835" display="https://www.fangraphs.com/teams/rays" xr:uid="{68D44149-1E1A-1544-AC23-65C22E2FD669}"/>
    <hyperlink ref="B945" r:id="rId1836" display="https://www.fangraphs.com/players/christian-koss/27653/stats" xr:uid="{AD88B720-D00D-9545-A017-D6085ED7B7D1}"/>
    <hyperlink ref="C945" r:id="rId1837" display="https://www.fangraphs.com/teams/giants" xr:uid="{D3709A14-8951-244F-94B8-AD2463FD9232}"/>
    <hyperlink ref="B946" r:id="rId1838" display="https://www.fangraphs.com/players/mason-black/30171/stats" xr:uid="{7AA4AE3D-4F3B-4E4B-99E5-B8B8C764D305}"/>
    <hyperlink ref="C946" r:id="rId1839" display="https://www.fangraphs.com/teams/royals" xr:uid="{610A7CAD-A462-5247-8273-26F110AA15D1}"/>
    <hyperlink ref="B947" r:id="rId1840" display="https://www.fangraphs.com/players/brian-van-belle/27695/stats" xr:uid="{81EF4F76-E994-AB45-9909-DE5773A208FD}"/>
    <hyperlink ref="C947" r:id="rId1841" display="https://www.fangraphs.com/teams/rays" xr:uid="{83832D33-38E6-BA42-B4F7-73F513DEB3FF}"/>
    <hyperlink ref="B948" r:id="rId1842" display="https://www.fangraphs.com/players/rob-brantly/10655/stats" xr:uid="{E6394728-688A-3D4A-B3AD-E9D871C58920}"/>
    <hyperlink ref="B949" r:id="rId1843" display="https://www.fangraphs.com/players/ryan-borucki/16350/stats" xr:uid="{E2854458-E498-BE49-BDB4-A67357D774C5}"/>
    <hyperlink ref="C949" r:id="rId1844" display="https://www.fangraphs.com/teams/white-sox" xr:uid="{4D7C7DCA-2C46-BA49-AE74-35DE09297647}"/>
    <hyperlink ref="B950" r:id="rId1845" display="https://www.fangraphs.com/players/jared-young/20404/stats" xr:uid="{ABCC4146-C678-704E-9882-90C40641F264}"/>
    <hyperlink ref="C950" r:id="rId1846" display="https://www.fangraphs.com/teams/mets" xr:uid="{251963BE-B5B3-3F40-8A77-2CF8B4A477A0}"/>
    <hyperlink ref="B951" r:id="rId1847" display="https://www.fangraphs.com/players/zak-kent/25703/stats" xr:uid="{17D8BD60-7A07-EF4B-BD26-598357161BEC}"/>
    <hyperlink ref="C951" r:id="rId1848" display="https://www.fangraphs.com/teams/cardinals" xr:uid="{6A632A2F-9083-0342-9956-72BFEFE7AEA4}"/>
    <hyperlink ref="B952" r:id="rId1849" display="https://www.fangraphs.com/players/brandon-young/27819/stats" xr:uid="{A9B66546-AA94-0942-8B1C-3AE3F22B4BEA}"/>
    <hyperlink ref="C952" r:id="rId1850" display="https://www.fangraphs.com/teams/orioles" xr:uid="{0106755B-E608-A44B-A1F6-39FCC357B815}"/>
    <hyperlink ref="B953" r:id="rId1851" display="https://www.fangraphs.com/players/seth-martinez/21045/stats" xr:uid="{182A0A20-4CF7-B445-B3C7-4D9A50D41252}"/>
    <hyperlink ref="C953" r:id="rId1852" display="https://www.fangraphs.com/teams/red-sox" xr:uid="{01857306-0F35-7B4B-A8F6-77A2FC65991B}"/>
    <hyperlink ref="B954" r:id="rId1853" display="https://www.fangraphs.com/players/logan-porter/20626/stats" xr:uid="{91893420-075F-DF4B-B5D5-944359385858}"/>
    <hyperlink ref="C954" r:id="rId1854" display="https://www.fangraphs.com/teams/giants" xr:uid="{316A643D-9664-7445-8398-198D30FC9903}"/>
    <hyperlink ref="B955" r:id="rId1855" display="https://www.fangraphs.com/players/will-wilson/25434/stats" xr:uid="{0C69CFA0-53F1-0941-A2BB-B55592A9FBF8}"/>
    <hyperlink ref="C955" r:id="rId1856" display="https://www.fangraphs.com/teams/mariners" xr:uid="{793CF98B-04B9-DF41-8E8D-6B407243515D}"/>
    <hyperlink ref="B956" r:id="rId1857" display="https://www.fangraphs.com/players/austin-barnes/12158/stats" xr:uid="{46908D49-B0CF-A44C-B194-D19739AFF45B}"/>
    <hyperlink ref="C956" r:id="rId1858" display="https://www.fangraphs.com/teams/mets" xr:uid="{E70C7CD5-CE45-8143-8925-6048458304E9}"/>
    <hyperlink ref="B957" r:id="rId1859" display="https://www.fangraphs.com/players/cooper-criswell/24975/stats" xr:uid="{DFC54272-E673-414B-9839-5106D9F004FB}"/>
    <hyperlink ref="C957" r:id="rId1860" display="https://www.fangraphs.com/teams/mariners" xr:uid="{273CD1B9-1DDF-F644-A168-0F8AE74271A4}"/>
    <hyperlink ref="B958" r:id="rId1861" display="https://www.fangraphs.com/players/tyler-owens/26030/stats" xr:uid="{6D9FA168-83F0-DB4E-A3EE-5F8FDCD9DDBC}"/>
    <hyperlink ref="C958" r:id="rId1862" display="https://www.fangraphs.com/teams/tigers" xr:uid="{F6FF529B-0463-0848-910E-2AEDD76D26F9}"/>
    <hyperlink ref="B959" r:id="rId1863" display="https://www.fangraphs.com/players/leo-rivas/21009/stats" xr:uid="{B470E0C8-8A44-5E4E-9E89-3B8C6CF6AEB2}"/>
    <hyperlink ref="C959" r:id="rId1864" display="https://www.fangraphs.com/teams/mariners" xr:uid="{8665E996-31FF-3543-BFB6-E7981BD6446C}"/>
    <hyperlink ref="B960" r:id="rId1865" display="https://www.fangraphs.com/players/jose-herrera/17040/stats" xr:uid="{FE77C194-86AA-9342-ADE3-DECA351476CC}"/>
    <hyperlink ref="C960" r:id="rId1866" display="https://www.fangraphs.com/teams/rangers" xr:uid="{CE161AE6-9648-2A46-96A6-403A8D1B5141}"/>
    <hyperlink ref="B961" r:id="rId1867" display="https://www.fangraphs.com/players/brett-de-geus/23592/stats" xr:uid="{255E8BEB-4B73-0A42-96C2-13F2C52F8937}"/>
    <hyperlink ref="B962" r:id="rId1868" display="https://www.fangraphs.com/players/kevin-newman/17696/stats" xr:uid="{ABFFF4F8-4C1A-3447-A4A8-D0A29C935C94}"/>
    <hyperlink ref="C962" r:id="rId1869" display="https://www.fangraphs.com/teams/royals" xr:uid="{4701F0D9-B5CA-2E49-AA4C-C3F9611CAB79}"/>
    <hyperlink ref="B963" r:id="rId1870" display="https://www.fangraphs.com/players/nolan-jones/20529/stats" xr:uid="{D813C0AB-6447-AA47-BC9D-F8917BEAB6BF}"/>
    <hyperlink ref="C963" r:id="rId1871" display="https://www.fangraphs.com/teams/guardians" xr:uid="{81365AA8-932D-844C-81F0-A322286C708C}"/>
    <hyperlink ref="B964" r:id="rId1872" display="https://www.fangraphs.com/players/dom-nunez/15055/stats" xr:uid="{2EFFFB0A-2D72-104D-94E2-F91CC12050D0}"/>
    <hyperlink ref="C964" r:id="rId1873" display="https://www.fangraphs.com/teams/guardians" xr:uid="{9006032F-E842-C943-94F2-1A4C34230005}"/>
    <hyperlink ref="B965" r:id="rId1874" display="https://www.fangraphs.com/players/sandy-leon/5273/stats" xr:uid="{FF36F576-EB6D-2F47-8EA1-39F85D79D058}"/>
    <hyperlink ref="C965" r:id="rId1875" display="https://www.fangraphs.com/teams/braves" xr:uid="{0DBE9EF3-81B5-8041-9FC0-07F512A7C097}"/>
    <hyperlink ref="B966" r:id="rId1876" display="https://www.fangraphs.com/players/codi-heuer/23293/stats" xr:uid="{1781D45F-C01B-A149-8397-43CF5840EBF3}"/>
    <hyperlink ref="C966" r:id="rId1877" display="https://www.fangraphs.com/teams/guardians" xr:uid="{F5F8ABC1-773E-E64E-8FCE-2EA4EA339497}"/>
    <hyperlink ref="B967" r:id="rId1878" display="https://www.fangraphs.com/players/andrew-heaney/15423/stats" xr:uid="{5F0CE9E9-2C5B-9C48-96A3-A166F65005E0}"/>
    <hyperlink ref="B968" r:id="rId1879" display="https://www.fangraphs.com/players/trent-thornton/17948/stats" xr:uid="{0FB6211D-6BBB-9641-887B-5903D299561E}"/>
    <hyperlink ref="C968" r:id="rId1880" display="https://www.fangraphs.com/teams/cubs" xr:uid="{F9EE2B7A-A6BF-FF4E-825C-F151CF792530}"/>
    <hyperlink ref="B969" r:id="rId1881" display="https://www.fangraphs.com/players/hayden-senger/21489/stats" xr:uid="{154A0A3E-E204-7940-A819-CD7CA0294EB6}"/>
    <hyperlink ref="C969" r:id="rId1882" display="https://www.fangraphs.com/teams/mets" xr:uid="{23E620F7-1AAC-A443-B6BB-2FD064508D64}"/>
    <hyperlink ref="B970" r:id="rId1883" display="https://www.fangraphs.com/players/angel-perdomo/17759/stats" xr:uid="{017B99AE-2DBC-3B4A-812B-3AF2A853D316}"/>
    <hyperlink ref="C970" r:id="rId1884" display="https://www.fangraphs.com/teams/angels" xr:uid="{EE1D5F62-F680-274E-B898-7199865E3489}"/>
    <hyperlink ref="B971" r:id="rId1885" display="https://www.fangraphs.com/players/michael-petersen/20827/stats" xr:uid="{3AE4BA00-2ACB-8544-B246-9717BE3F00CE}"/>
    <hyperlink ref="C971" r:id="rId1886" display="https://www.fangraphs.com/teams/marlins" xr:uid="{C5A566D1-232A-094D-AD37-C40C843183AE}"/>
    <hyperlink ref="B972" r:id="rId1887" display="https://www.fangraphs.com/players/justin-topa/15145/stats" xr:uid="{E635BF1E-D4AF-504D-89C8-B70D7079D979}"/>
    <hyperlink ref="C972" r:id="rId1888" display="https://www.fangraphs.com/teams/twins" xr:uid="{EC6223DE-7789-BB41-B3D2-866DF39DAC58}"/>
    <hyperlink ref="B973" r:id="rId1889" display="https://www.fangraphs.com/players/josh-winckowski/22387/stats" xr:uid="{38E34AED-41C3-DA40-982D-860E2427C320}"/>
    <hyperlink ref="C973" r:id="rId1890" display="https://www.fangraphs.com/teams/blue-jays" xr:uid="{B70D1DD0-9515-8A45-915C-312DA0120010}"/>
    <hyperlink ref="B974" r:id="rId1891" display="https://www.fangraphs.com/players/jose-iglesias/10231/stats" xr:uid="{25C090A5-A05F-C449-8BA1-A129B09335D5}"/>
    <hyperlink ref="B975" r:id="rId1892" display="https://www.fangraphs.com/players/brett-sullivan/18217/stats" xr:uid="{593D1844-2AEB-6747-98E4-B5C4A9F81618}"/>
    <hyperlink ref="C975" r:id="rId1893" display="https://www.fangraphs.com/teams/rockies" xr:uid="{EA5BB335-F65C-F04B-A81E-EDB15BEFB93B}"/>
    <hyperlink ref="B976" r:id="rId1894" display="https://www.fangraphs.com/players/korey-lee/25543/stats" xr:uid="{ACA77446-644B-A04B-BC17-381B01194382}"/>
    <hyperlink ref="C976" r:id="rId1895" display="https://www.fangraphs.com/teams/white-sox" xr:uid="{942706F9-4FC3-D145-9817-5095DA60129A}"/>
    <hyperlink ref="B977" r:id="rId1896" display="https://www.fangraphs.com/players/keaton-winn/23499/stats" xr:uid="{2D3835FD-EEFB-3346-8FE7-C72DE376CC73}"/>
    <hyperlink ref="C977" r:id="rId1897" display="https://www.fangraphs.com/teams/giants" xr:uid="{1DF93129-4AF1-DC4D-BE06-F089FE321CF7}"/>
    <hyperlink ref="B978" r:id="rId1898" display="https://www.fangraphs.com/players/jack-little/26152/stats" xr:uid="{928DEC3D-DF2E-2F4E-8A76-FA8A4166CF2B}"/>
    <hyperlink ref="C978" r:id="rId1899" display="https://www.fangraphs.com/teams/tigers" xr:uid="{A2F4A402-6B50-684B-A6FC-A487C186BB30}"/>
    <hyperlink ref="B979" r:id="rId1900" display="https://www.fangraphs.com/players/zack-kelly/20349/stats" xr:uid="{1EB0CD95-F65C-B94C-BA1C-554564BBC2AB}"/>
    <hyperlink ref="C979" r:id="rId1901" display="https://www.fangraphs.com/teams/red-sox" xr:uid="{0820832A-238D-E64C-BD5B-0CF6FEAAC7F8}"/>
    <hyperlink ref="B980" r:id="rId1902" display="https://www.fangraphs.com/players/ryan-pressly/7005/stats" xr:uid="{94599D1A-F530-D043-A559-DE350800CD0E}"/>
    <hyperlink ref="B981" r:id="rId1903" display="https://www.fangraphs.com/players/jose-trevino/16725/stats" xr:uid="{70535E18-FFC4-B04C-84A9-1066A5266F38}"/>
    <hyperlink ref="C981" r:id="rId1904" display="https://www.fangraphs.com/teams/reds" xr:uid="{E540EC78-A77C-3746-BCFC-826E08460C4D}"/>
    <hyperlink ref="B982" r:id="rId1905" display="https://www.fangraphs.com/players/ben-bowden/20198/stats" xr:uid="{27624C6C-60EE-844E-97E0-2E177FB28F8A}"/>
    <hyperlink ref="C982" r:id="rId1906" display="https://www.fangraphs.com/teams/athletics" xr:uid="{FB38BCE9-31EC-AA40-B090-566AA2043328}"/>
    <hyperlink ref="B983" r:id="rId1907" display="https://www.fangraphs.com/players/jesse-scholtens/19205/stats" xr:uid="{5AA15F1B-33CE-4D4B-81F5-8512D8618C50}"/>
    <hyperlink ref="C983" r:id="rId1908" display="https://www.fangraphs.com/teams/rays" xr:uid="{BCC31189-5E89-324B-BBBF-45AFA8D19C52}"/>
    <hyperlink ref="B984" r:id="rId1909" display="https://www.fangraphs.com/players/logan-porter/20626/stats" xr:uid="{32841430-D2FC-E943-95FB-DE8A711086BC}"/>
    <hyperlink ref="C984" r:id="rId1910" display="https://www.fangraphs.com/teams/giants" xr:uid="{4C471FA2-B69A-0C4A-A396-935551FB1CA6}"/>
    <hyperlink ref="B985" r:id="rId1911" display="https://www.fangraphs.com/players/andrew-walters/33834/stats" xr:uid="{EA8960DB-A0BD-B543-8D54-B57F6C3767B0}"/>
    <hyperlink ref="C985" r:id="rId1912" display="https://www.fangraphs.com/teams/guardians" xr:uid="{163BCDF8-5676-9D4B-8044-4D01E98E9B44}"/>
    <hyperlink ref="B986" r:id="rId1913" display="https://www.fangraphs.com/players/kyle-nelson/20515/stats" xr:uid="{DBEEE575-6819-BB43-83B2-55A0CF5C2C6E}"/>
    <hyperlink ref="C986" r:id="rId1914" display="https://www.fangraphs.com/teams/diamondbacks" xr:uid="{D52CEBCC-D05F-4343-828D-EE06A3A8FB4E}"/>
    <hyperlink ref="B987" r:id="rId1915" display="https://www.fangraphs.com/players/hayden-harris/31913/stats" xr:uid="{4A33F585-7F7E-3849-8197-542D9BBF4D3A}"/>
    <hyperlink ref="C987" r:id="rId1916" display="https://www.fangraphs.com/teams/braves" xr:uid="{FEB37113-8176-C642-B648-65D7C5C01416}"/>
    <hyperlink ref="B988" r:id="rId1917" display="https://www.fangraphs.com/players/chas-mccormick/19599/stats" xr:uid="{784F9281-B542-E144-B7F5-2E5350852F2F}"/>
    <hyperlink ref="C988" r:id="rId1918" display="https://www.fangraphs.com/teams/cubs" xr:uid="{BCEBBFC7-0B22-C940-836F-674250CE655C}"/>
    <hyperlink ref="B989" r:id="rId1919" display="https://www.fangraphs.com/players/vinny-capra/25040/stats" xr:uid="{3FA68CB3-6340-4942-B459-4193C7608B93}"/>
    <hyperlink ref="C989" r:id="rId1920" display="https://www.fangraphs.com/teams/red-sox" xr:uid="{449431E1-4AD1-0B41-A675-1E1D0C20D6F6}"/>
    <hyperlink ref="B990" r:id="rId1921" display="https://www.fangraphs.com/players/kyle-farmer/14813/stats" xr:uid="{D57FEFF2-79EC-2745-8BFA-1BA5A458682A}"/>
    <hyperlink ref="C990" r:id="rId1922" display="https://www.fangraphs.com/teams/braves" xr:uid="{96CBC4F5-94D6-7249-9155-EC5E66ECC7F7}"/>
    <hyperlink ref="B991" r:id="rId1923" display="https://www.fangraphs.com/players/reese-mcguire/15674/stats" xr:uid="{21BB6E6C-9E55-C949-81C2-80B1E99D6782}"/>
    <hyperlink ref="C991" r:id="rId1924" display="https://www.fangraphs.com/teams/brewers" xr:uid="{7225281B-A5FF-404A-9E7E-EE3EAEFFA632}"/>
    <hyperlink ref="B992" r:id="rId1925" display="https://www.fangraphs.com/players/tyler-wade/15730/stats" xr:uid="{D6E2FC70-4730-FF43-9659-EB4EDF27DA9C}"/>
    <hyperlink ref="C992" r:id="rId1926" display="https://www.fangraphs.com/teams/rangers" xr:uid="{C0BF8BCE-2073-5B47-9939-27456CD2A0F3}"/>
    <hyperlink ref="B993" r:id="rId1927" display="https://www.fangraphs.com/players/anthony-desclafani/13050/stats" xr:uid="{DB9BE6D2-1AA0-EF4F-84E3-E0E046CC1C85}"/>
    <hyperlink ref="B994" r:id="rId1928" display="https://www.fangraphs.com/players/matt-krook/19315/stats" xr:uid="{8434EB4A-3B28-2B44-B4E2-0D4660CCE873}"/>
    <hyperlink ref="C994" r:id="rId1929" display="https://www.fangraphs.com/teams/athletics" xr:uid="{3EB21938-F179-4546-A727-C05CE9F1CF67}"/>
    <hyperlink ref="B995" r:id="rId1930" display="https://www.fangraphs.com/players/caleb-freeman/26255/stats" xr:uid="{4D6389F9-3758-D544-B325-1E2FCC14EF60}"/>
    <hyperlink ref="B996" r:id="rId1931" display="https://www.fangraphs.com/players/michael-fulmer/13218/stats" xr:uid="{CE3DF343-791B-644D-96BA-4E5DDBD4D3A1}"/>
    <hyperlink ref="C996" r:id="rId1932" display="https://www.fangraphs.com/teams/giants" xr:uid="{9E803F74-AEED-5949-B04E-8C3C04441490}"/>
    <hyperlink ref="B997" r:id="rId1933" display="https://www.fangraphs.com/players/omar-cruz/23875/stats" xr:uid="{2AF36514-9C02-6746-B571-9E3432B5CE29}"/>
    <hyperlink ref="C997" r:id="rId1934" display="https://www.fangraphs.com/teams/padres" xr:uid="{A10DE956-E468-F248-B6B3-52B1B12951E1}"/>
    <hyperlink ref="B998" r:id="rId1935" display="https://www.fangraphs.com/players/gregory-soto/19677/stats" xr:uid="{6AC10BD1-07C2-4547-93B0-AEC1F595DD84}"/>
    <hyperlink ref="C998" r:id="rId1936" display="https://www.fangraphs.com/teams/pirates" xr:uid="{4D0592DE-F9CC-A649-AD01-15BC6E31CABE}"/>
    <hyperlink ref="B999" r:id="rId1937" display="https://www.fangraphs.com/players/ryan-brasier/5615/stats" xr:uid="{5722A75D-8FFA-8044-B61F-730A7A901848}"/>
    <hyperlink ref="C999" r:id="rId1938" display="https://www.fangraphs.com/teams/rangers" xr:uid="{4CED7CE0-A0E2-F44F-9CAE-C08371C6E98E}"/>
    <hyperlink ref="B1000" r:id="rId1939" display="https://www.fangraphs.com/players/yaramil-hiraldo/25215/stats" xr:uid="{6488C1FF-A26D-6843-A518-4FDD196B5B21}"/>
    <hyperlink ref="C1000" r:id="rId1940" display="https://www.fangraphs.com/teams/orioles" xr:uid="{FF8EA18B-1B0F-A34B-838F-4BC94EB14B97}"/>
    <hyperlink ref="B1001" r:id="rId1941" display="https://www.fangraphs.com/players/luke-little/28036/stats" xr:uid="{7709B9CB-F35C-514D-96D3-11D8652F542C}"/>
    <hyperlink ref="C1001" r:id="rId1942" display="https://www.fangraphs.com/teams/cubs" xr:uid="{7BE8EE07-1560-4D40-8B9B-C293B2DCD64A}"/>
    <hyperlink ref="B1002" r:id="rId1943" display="https://www.fangraphs.com/players/chadwick-tromp/16953/stats" xr:uid="{CBA813E4-1D5E-0344-A755-3BFBE447F60D}"/>
    <hyperlink ref="C1002" r:id="rId1944" display="https://www.fangraphs.com/teams/braves" xr:uid="{BCAB3364-1B4D-1340-9C6C-6F68D91DE9C3}"/>
    <hyperlink ref="B1003" r:id="rId1945" display="https://www.fangraphs.com/players/enrique-hernandez/10472/stats" xr:uid="{516B7551-CDEB-7246-83C3-42EA69DB4E87}"/>
    <hyperlink ref="C1003" r:id="rId1946" display="https://www.fangraphs.com/teams/dodgers" xr:uid="{F2F1FCF0-B750-3342-B91B-E79834D2A170}"/>
    <hyperlink ref="B1004" r:id="rId1947" display="https://www.fangraphs.com/players/chuckie-robinson/19824/stats" xr:uid="{AFABBF15-73A3-8D4A-9004-AC936FE80A89}"/>
    <hyperlink ref="C1004" r:id="rId1948" display="https://www.fangraphs.com/teams/dodgers" xr:uid="{C0E27C7F-DBEA-984B-B2BD-61B18CE6AA25}"/>
    <hyperlink ref="B1005" r:id="rId1949" display="https://www.fangraphs.com/players/amed-rosario/15518/stats" xr:uid="{4EB00362-8E95-F845-A85F-4A4DD94C96C5}"/>
    <hyperlink ref="C1005" r:id="rId1950" display="https://www.fangraphs.com/teams/yankees" xr:uid="{9C5A71A8-FCFB-6C42-9D9C-0B51610AF428}"/>
    <hyperlink ref="B1006" r:id="rId1951" display="https://www.fangraphs.com/players/cesar-salazar/21587/stats" xr:uid="{5714AEA8-9691-1345-A973-16DC5F2EC03F}"/>
    <hyperlink ref="C1006" r:id="rId1952" display="https://www.fangraphs.com/teams/astros" xr:uid="{1E2C82FC-2BB7-0B46-8B68-94AF77131CCF}"/>
    <hyperlink ref="B1007" r:id="rId1953" display="https://www.fangraphs.com/players/ali-sanchez/18551/stats" xr:uid="{4E770BC3-8E52-4E4D-8DF9-FE7C794E5EDC}"/>
    <hyperlink ref="C1007" r:id="rId1954" display="https://www.fangraphs.com/teams/yankees" xr:uid="{6943C27A-D8F8-3847-AAE7-716FD2D0D917}"/>
    <hyperlink ref="B1008" r:id="rId1955" display="https://www.fangraphs.com/players/touki-toussaint/16929/stats" xr:uid="{BB91A719-6485-844C-BE25-710B5CD94B85}"/>
    <hyperlink ref="B1009" r:id="rId1956" display="https://www.fangraphs.com/players/ben-rortvedt/20287/stats" xr:uid="{2167C88A-DCF1-AB41-86A7-5C291698BE88}"/>
    <hyperlink ref="C1009" r:id="rId1957" display="https://www.fangraphs.com/teams/mets" xr:uid="{11E6383D-8E50-5C41-8B25-A235AFC2C910}"/>
    <hyperlink ref="B1010" r:id="rId1958" display="https://www.fangraphs.com/players/matt-gage/17381/stats" xr:uid="{B7324FFC-2F92-F242-91FD-70B807ABB3AF}"/>
    <hyperlink ref="C1010" r:id="rId1959" display="https://www.fangraphs.com/teams/giants" xr:uid="{34106624-FADA-E146-BC6C-0AB428CC3662}"/>
    <hyperlink ref="B1011" r:id="rId1960" display="https://www.fangraphs.com/players/daniel-robert/21229/stats" xr:uid="{9419045E-23E2-AA44-B95E-73FF9070CD90}"/>
    <hyperlink ref="C1011" r:id="rId1961" display="https://www.fangraphs.com/teams/phillies" xr:uid="{A658ECB3-474D-494D-B212-E4B6A8586D5B}"/>
    <hyperlink ref="B1012" r:id="rId1962" display="https://www.fangraphs.com/players/luis-guerrero/31184/stats" xr:uid="{CCA49769-A24F-FA4F-8A80-97DB47B22664}"/>
    <hyperlink ref="C1012" r:id="rId1963" display="https://www.fangraphs.com/teams/rays" xr:uid="{180AC56A-20D0-DF4F-94D4-5F71D651A8D4}"/>
    <hyperlink ref="B1013" r:id="rId1964" display="https://www.fangraphs.com/players/justin-garza/19784/stats" xr:uid="{BD0DA91B-2A61-9A41-A25C-7C35141B5AEC}"/>
    <hyperlink ref="C1013" r:id="rId1965" display="https://www.fangraphs.com/teams/mets" xr:uid="{C68CBC29-9783-9A49-B2CB-97DF2F9E595A}"/>
    <hyperlink ref="B1014" r:id="rId1966" display="https://www.fangraphs.com/players/philip-abner/33821/stats" xr:uid="{5FD42D51-F8AB-A045-96E0-343F44DD0B11}"/>
    <hyperlink ref="C1014" r:id="rId1967" display="https://www.fangraphs.com/teams/diamondbacks" xr:uid="{53FBBB62-A172-3146-BC75-96C67A8A6660}"/>
    <hyperlink ref="B1015" r:id="rId1968" display="https://www.fangraphs.com/players/ali-sanchez/18551/stats" xr:uid="{746D57E3-6E25-D74C-BA47-81CAEE238D53}"/>
    <hyperlink ref="C1015" r:id="rId1969" display="https://www.fangraphs.com/teams/yankees" xr:uid="{90B45630-F7A2-7642-8E71-23F6FE4A483A}"/>
    <hyperlink ref="B1016" r:id="rId1970" display="https://www.fangraphs.com/players/paul-gervase/31571/stats" xr:uid="{1108CAFB-F875-AD49-BC21-E1BC4D510E8B}"/>
    <hyperlink ref="C1016" r:id="rId1971" display="https://www.fangraphs.com/teams/dodgers" xr:uid="{2E587F04-E2EC-5D49-8C3B-66E8EE672F17}"/>
    <hyperlink ref="B1017" r:id="rId1972" display="https://www.fangraphs.com/players/luis-matos/26467/stats" xr:uid="{9270348A-ABF6-3F48-A178-B638433E562A}"/>
    <hyperlink ref="C1017" r:id="rId1973" display="https://www.fangraphs.com/teams/giants" xr:uid="{E8F25F55-7657-D54F-9783-021EC3141DAF}"/>
    <hyperlink ref="B1018" r:id="rId1974" display="https://www.fangraphs.com/players/carlos-carrasco/6632/stats" xr:uid="{F3D7B1F4-FA52-8048-8D9F-EAF8D076F18A}"/>
    <hyperlink ref="C1018" r:id="rId1975" display="https://www.fangraphs.com/teams/braves" xr:uid="{5E7B6F52-58EF-BC45-BAF6-D5190BD38EBF}"/>
    <hyperlink ref="B1019" r:id="rId1976" display="https://www.fangraphs.com/players/marc-church/26353/stats" xr:uid="{7E199F3B-5FA0-1C44-BA74-6651FB8DA8EF}"/>
    <hyperlink ref="C1019" r:id="rId1977" display="https://www.fangraphs.com/teams/rangers" xr:uid="{FFD07748-C22F-B244-8CCE-010903AC8D30}"/>
    <hyperlink ref="B1020" r:id="rId1978" display="https://www.fangraphs.com/players/connor-brogdon/21205/stats" xr:uid="{FE9363C7-5369-6D45-B5C2-13D2CD51BF28}"/>
    <hyperlink ref="C1020" r:id="rId1979" display="https://www.fangraphs.com/teams/guardians" xr:uid="{70BE43DD-5949-9C47-BC74-29C9A3A1010A}"/>
    <hyperlink ref="B1021" r:id="rId1980" display="https://www.fangraphs.com/players/luis-curvelo/24710/stats" xr:uid="{B4B37494-477C-C84C-911A-B977DF550D77}"/>
    <hyperlink ref="C1021" r:id="rId1981" display="https://www.fangraphs.com/teams/rangers" xr:uid="{A82BC4FD-CA79-FC43-9FE0-F24A91DD49D8}"/>
    <hyperlink ref="B1022" r:id="rId1982" display="https://www.fangraphs.com/players/jovani-moran/20422/stats" xr:uid="{603B7439-020B-C142-AD15-97F046AB6AE8}"/>
    <hyperlink ref="C1022" r:id="rId1983" display="https://www.fangraphs.com/teams/red-sox" xr:uid="{A8AE4A7B-4D9B-5847-A12D-06945F1C82D8}"/>
    <hyperlink ref="B1023" r:id="rId1984" display="https://www.fangraphs.com/players/travis-jankowski/13768/stats" xr:uid="{4C08CA4E-1282-BA4E-8D5C-89E585AA35E9}"/>
    <hyperlink ref="C1023" r:id="rId1985" display="https://www.fangraphs.com/teams/mets" xr:uid="{B1CF82AC-A3C8-4D4D-AEC0-B002A14A4023}"/>
    <hyperlink ref="B1024" r:id="rId1986" display="https://www.fangraphs.com/players/mike-yastrzemski/14854/stats" xr:uid="{208AFA2A-C1F7-0C46-A249-7CA492F5333C}"/>
    <hyperlink ref="C1024" r:id="rId1987" display="https://www.fangraphs.com/teams/braves" xr:uid="{ACE588AD-D499-7944-8009-377223D4EFC8}"/>
    <hyperlink ref="B1025" r:id="rId1988" display="https://www.fangraphs.com/players/jake-palisch/31598/stats" xr:uid="{2FFB139B-E721-E543-A90F-841CED6326FB}"/>
    <hyperlink ref="C1025" r:id="rId1989" display="https://www.fangraphs.com/teams/white-sox" xr:uid="{FC6BCA6B-B272-6640-83A8-3778B6A49FCC}"/>
    <hyperlink ref="B1026" r:id="rId1990" display="https://www.fangraphs.com/players/tucker-barnhart/10200/stats" xr:uid="{BCDB81DE-CBB0-4E44-8463-EB9C3DC33BB2}"/>
    <hyperlink ref="B1027" r:id="rId1991" display="https://www.fangraphs.com/players/blake-sabol/25805/stats" xr:uid="{38FEE4D8-D12D-074B-91D2-58E46FD54D57}"/>
    <hyperlink ref="C1027" r:id="rId1992" display="https://www.fangraphs.com/teams/rays" xr:uid="{4D31DAAE-61B7-6145-B477-9B6F943120EC}"/>
    <hyperlink ref="B1028" r:id="rId1993" display="https://www.fangraphs.com/players/endy-rodriguez/25332/stats" xr:uid="{F86A6EAB-2D41-C44D-8CC3-B50D8A2C8AC8}"/>
    <hyperlink ref="C1028" r:id="rId1994" display="https://www.fangraphs.com/teams/pirates" xr:uid="{567B3083-CFB4-8544-9E55-080D8E83D928}"/>
    <hyperlink ref="B1029" r:id="rId1995" display="https://www.fangraphs.com/players/austin-hedges/12976/stats" xr:uid="{70B4158D-7A95-0B44-B272-C585CB3FA8F6}"/>
    <hyperlink ref="C1029" r:id="rId1996" display="https://www.fangraphs.com/teams/guardians" xr:uid="{32A4C278-91BE-994D-B65C-8F1DC5C4C308}"/>
    <hyperlink ref="B1030" r:id="rId1997" display="https://www.fangraphs.com/players/xzavion-curry/25595/stats" xr:uid="{1FB38DCB-D74C-B74F-A2B2-CBF39CA804C4}"/>
    <hyperlink ref="B1031" r:id="rId1998" display="https://www.fangraphs.com/players/roansy-contreras/22810/stats" xr:uid="{046DC6C9-82EF-1E4E-9054-48FB7679295F}"/>
    <hyperlink ref="B1032" r:id="rId1999" display="https://www.fangraphs.com/players/casey-lawrence/11121/stats" xr:uid="{BA92BCCC-D063-5D41-B025-8422A9C2BE01}"/>
    <hyperlink ref="C1032" r:id="rId2000" display="https://www.fangraphs.com/teams/mariners" xr:uid="{A0B94DCE-4826-BC42-8F90-BA133F26F789}"/>
    <hyperlink ref="B1033" r:id="rId2001" display="https://www.fangraphs.com/players/collin-snider/23307/stats" xr:uid="{C9A45F98-0A2B-C64C-B0CF-57685EEBE121}"/>
    <hyperlink ref="C1033" r:id="rId2002" display="https://www.fangraphs.com/teams/cubs" xr:uid="{BF2BB4AC-FBC1-4A48-B31D-116F74557C5D}"/>
    <hyperlink ref="B1034" r:id="rId2003" display="https://www.fangraphs.com/players/cole-henry/27570/stats" xr:uid="{AD8D255B-A5DD-954B-8D5C-28A92C8D3C5C}"/>
    <hyperlink ref="C1034" r:id="rId2004" display="https://www.fangraphs.com/teams/nationals" xr:uid="{95E7CB8B-BC13-0246-B9B5-64393E97645E}"/>
    <hyperlink ref="B1035" r:id="rId2005" display="https://www.fangraphs.com/players/rafael-montero/12760/stats" xr:uid="{46B46F5E-8F6F-714D-96A4-ECD3C84C307C}"/>
    <hyperlink ref="C1035" r:id="rId2006" display="https://www.fangraphs.com/teams/yankees" xr:uid="{00877F0F-92F0-E14E-891C-549A3FDDA4DF}"/>
    <hyperlink ref="B1036" r:id="rId2007" display="https://www.fangraphs.com/players/paxton-schultz/25501/stats" xr:uid="{2B4557A3-7EB6-694B-A365-39ADF75205A1}"/>
    <hyperlink ref="C1036" r:id="rId2008" display="https://www.fangraphs.com/teams/nationals" xr:uid="{78E4F595-A92E-E948-AD23-969F2ADD3C63}"/>
    <hyperlink ref="B1037" r:id="rId2009" display="https://www.fangraphs.com/players/cj-stubbs/25814/stats" xr:uid="{A8D4DCFA-7AA2-734A-85D4-D795150DEC1E}"/>
    <hyperlink ref="C1037" r:id="rId2010" display="https://www.fangraphs.com/teams/blue-jays" xr:uid="{A621E434-B1AE-B246-8154-9D90B62576B0}"/>
    <hyperlink ref="B1038" r:id="rId2011" display="https://www.fangraphs.com/players/drew-romo/27763/stats" xr:uid="{A5D58DC7-3097-4F4F-B683-CC6D197FAED8}"/>
    <hyperlink ref="C1038" r:id="rId2012" display="https://www.fangraphs.com/teams/white-sox" xr:uid="{2C54EFB8-17C2-7544-A378-B8E49B51C2CD}"/>
    <hyperlink ref="B1039" r:id="rId2013" display="https://www.fangraphs.com/players/michael-darrell-hicks/31501/stats" xr:uid="{5BF79258-9045-FC42-A821-99E11648940A}"/>
    <hyperlink ref="C1039" r:id="rId2014" display="https://www.fangraphs.com/teams/pirates" xr:uid="{DEF634F1-B137-7B40-B740-FE240D1066AE}"/>
    <hyperlink ref="B1040" r:id="rId2015" display="https://www.fangraphs.com/players/cody-bolton/23265/stats" xr:uid="{2E48D249-7EF3-A643-A59C-5F0C111727FD}"/>
    <hyperlink ref="C1040" r:id="rId2016" display="https://www.fangraphs.com/teams/astros" xr:uid="{A01FC89B-A712-E849-8DAA-DF7C7F10890E}"/>
    <hyperlink ref="B1041" r:id="rId2017" display="https://www.fangraphs.com/players/jake-eder/27590/stats" xr:uid="{092A8FF1-E4C3-3D41-AAA3-42DC03DE00E2}"/>
    <hyperlink ref="C1041" r:id="rId2018" display="https://www.fangraphs.com/teams/nationals" xr:uid="{13C2225C-2A95-3844-B2DA-50EBA16798EC}"/>
    <hyperlink ref="B1042" r:id="rId2019" display="https://www.fangraphs.com/players/jayvien-sandridge/25158/stats" xr:uid="{533A6200-DAE2-8B45-87A4-EFB66C4D5203}"/>
    <hyperlink ref="C1042" r:id="rId2020" display="https://www.fangraphs.com/teams/angels" xr:uid="{65F18AF0-1C19-6046-B71C-53DB2BD5C496}"/>
    <hyperlink ref="B1043" r:id="rId2021" display="https://www.fangraphs.com/players/sean-guenther/20045/stats" xr:uid="{33A3EAEC-1059-F644-858A-F7E0C402E98B}"/>
    <hyperlink ref="C1043" r:id="rId2022" display="https://www.fangraphs.com/teams/tigers" xr:uid="{21D039EA-F091-9341-820A-195B762021FB}"/>
    <hyperlink ref="B1044" r:id="rId2023" display="https://www.fangraphs.com/players/kyle-backhus/29615/stats" xr:uid="{5E4C640D-6909-9F48-B4BE-821B92CF0DE7}"/>
    <hyperlink ref="C1044" r:id="rId2024" display="https://www.fangraphs.com/teams/phillies" xr:uid="{0841156F-2FF6-A94F-A86A-94E65DBAB402}"/>
    <hyperlink ref="B1045" r:id="rId2025" display="https://www.fangraphs.com/players/robinson-pina/23091/stats" xr:uid="{8799BDF1-A549-3641-B68C-FBD52300C9D7}"/>
    <hyperlink ref="B1046" r:id="rId2026" display="https://www.fangraphs.com/players/rafael-flores-jr/31991/stats" xr:uid="{143F4A22-A372-F445-8BE3-5998037152DE}"/>
    <hyperlink ref="C1046" r:id="rId2027" display="https://www.fangraphs.com/teams/pirates" xr:uid="{3DBE9E16-8833-3C42-B4F7-247E304AACA1}"/>
    <hyperlink ref="B1047" r:id="rId2028" display="https://www.fangraphs.com/players/jake-bauers/15194/stats" xr:uid="{82F3A470-C489-E242-8A61-6E75C24A9D08}"/>
    <hyperlink ref="C1047" r:id="rId2029" display="https://www.fangraphs.com/teams/brewers" xr:uid="{29B8A5B9-5FE2-1841-B755-5F0BA7249AE8}"/>
    <hyperlink ref="B1048" r:id="rId2030" display="https://www.fangraphs.com/players/jose-castillo/17169/stats" xr:uid="{40A8B6DB-4840-DB4E-90C5-E8EF8F3A5DC1}"/>
    <hyperlink ref="B1049" r:id="rId2031" display="https://www.fangraphs.com/players/blas-castano/26117/stats" xr:uid="{6831B480-1EEE-7341-8894-B62ED42038E1}"/>
    <hyperlink ref="C1049" r:id="rId2032" display="https://www.fangraphs.com/teams/mariners" xr:uid="{E043E0D8-9B20-1A4C-9B18-49B4EB78BAA3}"/>
    <hyperlink ref="B1050" r:id="rId2033" display="https://www.fangraphs.com/players/aramis-garcia/16925/stats" xr:uid="{CB2A88BB-0B9B-CE4A-80A7-34269905D671}"/>
    <hyperlink ref="C1050" r:id="rId2034" display="https://www.fangraphs.com/teams/diamondbacks" xr:uid="{FEFC1279-D506-684C-8AA1-02BD29E9DB19}"/>
    <hyperlink ref="B1051" r:id="rId2035" display="https://www.fangraphs.com/players/josh-walker/23617/stats" xr:uid="{4226D6A4-FEE8-3745-9F9E-8CE204BB1294}"/>
    <hyperlink ref="C1051" r:id="rId2036" display="https://www.fangraphs.com/teams/orioles" xr:uid="{D0E3E5E0-C3E9-1342-9C81-151DC855BCE3}"/>
    <hyperlink ref="B1052" r:id="rId2037" display="https://www.fangraphs.com/players/hunter-stratton/23455/stats" xr:uid="{C88A72F7-01B2-5442-A6FB-57EC5C1517FA}"/>
    <hyperlink ref="C1052" r:id="rId2038" display="https://www.fangraphs.com/teams/braves" xr:uid="{77104B22-7CBF-AC46-9398-1B845975CDDF}"/>
    <hyperlink ref="B1053" r:id="rId2039" display="https://www.fangraphs.com/players/gavin-hollowell/25427/stats" xr:uid="{88A95868-29A7-FE44-AE41-7E50425E0F18}"/>
    <hyperlink ref="C1053" r:id="rId2040" display="https://www.fangraphs.com/teams/cubs" xr:uid="{1BF3858B-B0F5-5548-9094-567EBB8BBA3C}"/>
    <hyperlink ref="B1054" r:id="rId2041" display="https://www.fangraphs.com/players/jose-urquidy/18413/stats" xr:uid="{1E3DAADE-85A7-4844-829E-8230B3780014}"/>
    <hyperlink ref="C1054" r:id="rId2042" display="https://www.fangraphs.com/teams/pirates" xr:uid="{7BAF61FB-D64E-5346-A399-38B9F9DE6C00}"/>
    <hyperlink ref="B1055" r:id="rId2043" display="https://www.fangraphs.com/players/austin-nola/15941/stats" xr:uid="{37CA41A8-DA18-DD40-8A5B-4E65A556616C}"/>
    <hyperlink ref="B1056" r:id="rId2044" display="https://www.fangraphs.com/players/cam-booser/16061/stats" xr:uid="{06706602-CC92-024E-AB60-2ECE1639CFD3}"/>
    <hyperlink ref="C1056" r:id="rId2045" display="https://www.fangraphs.com/teams/rays" xr:uid="{75B940C8-E0C7-514C-B901-8A65AAD3C6A1}"/>
    <hyperlink ref="B1057" r:id="rId2046" display="https://www.fangraphs.com/players/connor-seabold/19695/stats" xr:uid="{0423D185-71EA-0547-B155-5F3737F5B4FD}"/>
    <hyperlink ref="C1057" r:id="rId2047" display="https://www.fangraphs.com/teams/blue-jays" xr:uid="{831B39F9-D263-8245-BA82-DAE5297ACD93}"/>
    <hyperlink ref="B1058" r:id="rId2048" display="https://www.fangraphs.com/players/hunter-feduccia/23372/stats" xr:uid="{D056957C-FE89-4D4B-A2A5-40EFFD06B975}"/>
    <hyperlink ref="C1058" r:id="rId2049" display="https://www.fangraphs.com/teams/rays" xr:uid="{2EB2F8EE-EB61-C341-9C06-600E2FD17E62}"/>
    <hyperlink ref="B1059" r:id="rId2050" display="https://www.fangraphs.com/players/dillon-tate/17796/stats" xr:uid="{D51E799D-5B14-834B-873B-889DCA65EDE4}"/>
    <hyperlink ref="B1060" r:id="rId2051" display="https://www.fangraphs.com/players/kameron-misner/26374/stats" xr:uid="{B925133F-071E-DD4F-A727-CB7BC7011570}"/>
    <hyperlink ref="C1060" r:id="rId2052" display="https://www.fangraphs.com/teams/royals" xr:uid="{3F9BDA1C-CA03-A640-93BA-E7718A5BCACD}"/>
    <hyperlink ref="B1061" r:id="rId2053" display="https://www.fangraphs.com/players/sam-moll/14874/stats" xr:uid="{8DC9ADC8-38E0-4B4A-9492-A277472AE2DC}"/>
    <hyperlink ref="C1061" r:id="rId2054" display="https://www.fangraphs.com/teams/reds" xr:uid="{6747AB07-C8C8-A64E-AF49-7D092F346A83}"/>
    <hyperlink ref="B1062" r:id="rId2055" display="https://www.fangraphs.com/players/kyle-nicolas/27775/stats" xr:uid="{5FF9C9C0-90AA-CA45-9273-77626BDC0DE7}"/>
    <hyperlink ref="C1062" r:id="rId2056" display="https://www.fangraphs.com/teams/pirates" xr:uid="{E4FA4746-1754-D648-97B1-22C4D6E77EE1}"/>
    <hyperlink ref="B1063" r:id="rId2057" display="https://www.fangraphs.com/players/will-banfield/23790/stats" xr:uid="{EBE4F7D3-2C62-D54F-B487-A1F969611F8B}"/>
    <hyperlink ref="C1063" r:id="rId2058" display="https://www.fangraphs.com/teams/reds" xr:uid="{44FBF476-DDD7-A74D-843B-3779B50B3B16}"/>
    <hyperlink ref="B1064" r:id="rId2059" display="https://www.fangraphs.com/players/corbin-martin/19884/stats" xr:uid="{383B5754-671F-B74D-B23B-05DEDECD0018}"/>
    <hyperlink ref="C1064" r:id="rId2060" display="https://www.fangraphs.com/teams/cubs" xr:uid="{7015E603-0818-0F45-9003-FB54866F7FE1}"/>
    <hyperlink ref="B1065" r:id="rId2061" display="https://www.fangraphs.com/players/thomas-saggese/27883/stats" xr:uid="{F2B7305E-92D3-C641-988B-867F76CFD83D}"/>
    <hyperlink ref="C1065" r:id="rId2062" display="https://www.fangraphs.com/teams/cardinals" xr:uid="{A6C22E5B-4B8A-B644-B629-898A1E20BD4A}"/>
    <hyperlink ref="B1066" r:id="rId2063" display="https://www.fangraphs.com/players/jesse-hahn/13287/stats" xr:uid="{FBFDF630-94AC-BB44-B93D-44B2209F2E40}"/>
    <hyperlink ref="C1066" r:id="rId2064" display="https://www.fangraphs.com/teams/blue-jays" xr:uid="{D367283D-AB9E-C24A-AF1C-C08E5CA790D5}"/>
    <hyperlink ref="B1067" r:id="rId2065" display="https://www.fangraphs.com/players/luis-urias/16622/stats" xr:uid="{E58DD6B5-E3F9-0348-A91C-87C6D8DEA59F}"/>
    <hyperlink ref="B1068" r:id="rId2066" display="https://www.fangraphs.com/players/yilber-diaz/29271/stats" xr:uid="{7707C462-552C-AC42-B322-B9B3E687D0B5}"/>
    <hyperlink ref="C1068" r:id="rId2067" display="https://www.fangraphs.com/teams/diamondbacks" xr:uid="{7616D891-2F3D-EC4F-B91A-B9EAC24D7737}"/>
    <hyperlink ref="B1069" r:id="rId2068" display="https://www.fangraphs.com/players/max-lazar/23426/stats" xr:uid="{4F6E6D60-CE4C-FE40-8C13-3A4462D2CF4D}"/>
    <hyperlink ref="C1069" r:id="rId2069" display="https://www.fangraphs.com/teams/phillies" xr:uid="{A192EDB0-7BB7-1349-8D8E-F574D0A0BD70}"/>
    <hyperlink ref="B1070" r:id="rId2070" display="https://www.fangraphs.com/players/abraham-toro/19844/stats" xr:uid="{359894BC-8E70-9A45-BA74-3E4BB6A43D4A}"/>
    <hyperlink ref="C1070" r:id="rId2071" display="https://www.fangraphs.com/teams/royals" xr:uid="{A27AABF1-FA0C-5E4F-971E-87FBF8F05182}"/>
    <hyperlink ref="B1071" r:id="rId2072" display="https://www.fangraphs.com/players/tucker-barnhart/10200/stats" xr:uid="{81ACC8EF-A3C8-D44A-BF7D-53753B9E3FC1}"/>
    <hyperlink ref="B1072" r:id="rId2073" display="https://www.fangraphs.com/players/rowdy-tellez/15679/stats" xr:uid="{7BF18188-815A-6C4D-8A11-73330A32F41D}"/>
    <hyperlink ref="B1073" r:id="rId2074" display="https://www.fangraphs.com/players/vidal-brujan/20536/stats" xr:uid="{EFE8D139-36DD-9F40-BF2E-77E0500ADEDA}"/>
    <hyperlink ref="C1073" r:id="rId2075" display="https://www.fangraphs.com/teams/mets" xr:uid="{EB630BAA-098C-BC44-A6D7-442AD701304B}"/>
    <hyperlink ref="B1074" r:id="rId2076" display="https://www.fangraphs.com/players/jonathan-pintaro/33980/stats" xr:uid="{8AD6610B-0292-6E4A-9804-BD27F79B0E8C}"/>
    <hyperlink ref="C1074" r:id="rId2077" display="https://www.fangraphs.com/teams/mets" xr:uid="{E4E7E4FF-3595-BF43-BCE9-1A6CE7653322}"/>
    <hyperlink ref="B1075" r:id="rId2078" display="https://www.fangraphs.com/players/jose-corniell/27984/stats" xr:uid="{7EA4F228-4374-B748-AA27-40A5BFA39A72}"/>
    <hyperlink ref="C1075" r:id="rId2079" display="https://www.fangraphs.com/teams/rangers" xr:uid="{B6FB598B-6F9A-0049-97E2-7F9A10C8D6BD}"/>
    <hyperlink ref="B1076" r:id="rId2080" display="https://www.fangraphs.com/players/gregory-santos/21894/stats" xr:uid="{FE72428A-4AA7-1F41-9D7C-96A000B0065A}"/>
    <hyperlink ref="C1076" r:id="rId2081" display="https://www.fangraphs.com/teams/giants" xr:uid="{F987AB39-BE75-E64D-B6D2-D278FFA832C6}"/>
    <hyperlink ref="B1077" r:id="rId2082" display="https://www.fangraphs.com/players/shawn-dubin/24977/stats" xr:uid="{8FB366E5-0B2D-4642-BD17-0BAB0FB09E78}"/>
    <hyperlink ref="C1077" r:id="rId2083" display="https://www.fangraphs.com/teams/diamondbacks" xr:uid="{A70A59D6-EE60-924B-9E65-F6F63FF3860D}"/>
    <hyperlink ref="B1078" r:id="rId2084" display="https://www.fangraphs.com/players/nolan-hoffman/23381/stats" xr:uid="{C021DFBB-6FF5-E94D-A6D1-ED012C0AE22C}"/>
    <hyperlink ref="C1078" r:id="rId2085" display="https://www.fangraphs.com/teams/phillies" xr:uid="{D5E7F1D0-DE51-5A45-82A0-5D05D42AC80A}"/>
    <hyperlink ref="B1079" r:id="rId2086" display="https://www.fangraphs.com/players/jeff-brigham/16631/stats" xr:uid="{52F0B77D-C980-7740-8272-0A437C574032}"/>
    <hyperlink ref="C1079" r:id="rId2087" display="https://www.fangraphs.com/teams/cubs" xr:uid="{BDCA5BA0-6077-C048-B8E1-879C69B8F935}"/>
    <hyperlink ref="B1080" r:id="rId2088" display="https://www.fangraphs.com/players/easton-mcgee/22176/stats" xr:uid="{6C0B6F90-EDA7-8047-A772-675B5712F148}"/>
    <hyperlink ref="C1080" r:id="rId2089" display="https://www.fangraphs.com/teams/brewers" xr:uid="{17939C5C-4030-3D4F-AF06-205E707FFAF7}"/>
    <hyperlink ref="B1081" r:id="rId2090" display="https://www.fangraphs.com/players/miguel-castro/15684/stats" xr:uid="{35EC9D28-059F-E549-A110-BA3F3ADCC95C}"/>
    <hyperlink ref="B1082" r:id="rId2091" display="https://www.fangraphs.com/players/nathan-wiles/25474/stats" xr:uid="{885F787D-6A6A-0F41-AF64-92A6EB08BD6A}"/>
    <hyperlink ref="B1083" r:id="rId2092" display="https://www.fangraphs.com/players/yerry-de-los-santos/21420/stats" xr:uid="{BF10705E-EA77-D847-9681-684E27DA186D}"/>
    <hyperlink ref="C1083" r:id="rId2093" display="https://www.fangraphs.com/teams/yankees" xr:uid="{4304FD8C-98FE-7944-AA00-58D91536A804}"/>
    <hyperlink ref="B1084" r:id="rId2094" display="https://www.fangraphs.com/players/casey-legumina/25921/stats" xr:uid="{DA689EE0-3095-CA41-9ED0-C3E5B2242AF5}"/>
    <hyperlink ref="C1084" r:id="rId2095" display="https://www.fangraphs.com/teams/mariners" xr:uid="{CC6CB5FA-DECF-3F46-AB05-2583613D5996}"/>
    <hyperlink ref="B1085" r:id="rId2096" display="https://www.fangraphs.com/players/jimmy-crooks/31354/stats" xr:uid="{60B66D43-BA22-F948-844A-6DAFA3604EDF}"/>
    <hyperlink ref="C1085" r:id="rId2097" display="https://www.fangraphs.com/teams/cardinals" xr:uid="{4C3B4580-5568-C142-A051-D86AD2CFBA91}"/>
    <hyperlink ref="B1086" r:id="rId2098" display="https://www.fangraphs.com/players/jeremiah-jackson/22239/stats" xr:uid="{B32BE522-D990-E848-9410-36C2D9CA5201}"/>
    <hyperlink ref="C1086" r:id="rId2099" display="https://www.fangraphs.com/teams/orioles" xr:uid="{98A1BCBD-4B51-1743-960F-40E4DD548A2D}"/>
    <hyperlink ref="B1087" r:id="rId2100" display="https://www.fangraphs.com/players/kyle-farmer/14813/stats" xr:uid="{9B6A6501-04A7-4148-930F-9235C14B2B52}"/>
    <hyperlink ref="C1087" r:id="rId2101" display="https://www.fangraphs.com/teams/braves" xr:uid="{FF833574-12DF-E345-996B-E1498F034E03}"/>
    <hyperlink ref="B1088" r:id="rId2102" display="https://www.fangraphs.com/players/jon-berti/12037/stats" xr:uid="{BC93C1CA-19B7-6140-B088-1A8AC021EB28}"/>
    <hyperlink ref="B1089" r:id="rId2103" display="https://www.fangraphs.com/players/lazaro-estrada/24914/stats" xr:uid="{8EF4A760-83E3-0D43-94D6-7A89693ECA67}"/>
    <hyperlink ref="C1089" r:id="rId2104" display="https://www.fangraphs.com/teams/blue-jays" xr:uid="{9DB29046-6542-D54D-AB9E-C595643A949A}"/>
    <hyperlink ref="B1090" r:id="rId2105" display="https://www.fangraphs.com/players/sam-bachman/29754/stats" xr:uid="{73C124E3-1E51-914D-BB1F-CDD235113E9B}"/>
    <hyperlink ref="C1090" r:id="rId2106" display="https://www.fangraphs.com/teams/angels" xr:uid="{6CCD3036-22A0-BF47-AA50-B3928E2E0600}"/>
    <hyperlink ref="B1091" r:id="rId2107" display="https://www.fangraphs.com/players/tim-tawa/29571/stats" xr:uid="{ABFC2B01-3D86-814D-AA8A-8DE7AB71E788}"/>
    <hyperlink ref="C1091" r:id="rId2108" display="https://www.fangraphs.com/teams/diamondbacks" xr:uid="{ED8A681A-F2F6-5948-AD46-B12710F4B5E5}"/>
    <hyperlink ref="B1092" r:id="rId2109" display="https://www.fangraphs.com/players/lance-mccullers-jr/14120/stats" xr:uid="{3CBDDE1B-84ED-BC4B-AB34-28C7E374D22A}"/>
    <hyperlink ref="C1092" r:id="rId2110" display="https://www.fangraphs.com/teams/astros" xr:uid="{E193DD52-11EE-0C49-BE33-BF821BFD1952}"/>
    <hyperlink ref="B1093" r:id="rId2111" display="https://www.fangraphs.com/players/gary-sanchez/11442/stats" xr:uid="{7E6069E3-FB39-CE45-AFDE-9877E10D4D39}"/>
    <hyperlink ref="C1093" r:id="rId2112" display="https://www.fangraphs.com/teams/brewers" xr:uid="{83C6BDD5-996B-0F41-87F4-29EBD4F66C21}"/>
    <hyperlink ref="B1094" r:id="rId2113" display="https://www.fangraphs.com/players/johan-rojas/24336/stats" xr:uid="{DB534AAA-BD0F-A445-8BB3-ADEFE01DF56A}"/>
    <hyperlink ref="C1094" r:id="rId2114" display="https://www.fangraphs.com/teams/phillies" xr:uid="{0D9D6F99-EE0D-3546-85E3-0B3D6761B127}"/>
    <hyperlink ref="B1095" r:id="rId2115" display="https://www.fangraphs.com/players/pablo-reyes/16357/stats" xr:uid="{C40FDA9C-F6E4-BE42-ABA5-8C9AA5A87D63}"/>
    <hyperlink ref="C1095" r:id="rId2116" display="https://www.fangraphs.com/teams/padres" xr:uid="{08ED1733-20A0-CF42-B42F-8E7DAF4F8A0E}"/>
    <hyperlink ref="B1096" r:id="rId2117" display="https://www.fangraphs.com/players/alex-jackson/17276/stats" xr:uid="{94838A07-506C-0249-82D2-CF753C04CDBC}"/>
    <hyperlink ref="C1096" r:id="rId2118" display="https://www.fangraphs.com/teams/twins" xr:uid="{B0C393FB-27CC-564B-B211-2D19051C49BA}"/>
    <hyperlink ref="B1097" r:id="rId2119" display="https://www.fangraphs.com/players/tyler-matzek/10058/stats" xr:uid="{52E0AB98-42B2-F047-88FD-EC1BC7FA726C}"/>
    <hyperlink ref="B1098" r:id="rId2120" display="https://www.fangraphs.com/players/ian-gibaut/17871/stats" xr:uid="{F8F7D1C4-DD18-CC46-A613-6094BC150E35}"/>
    <hyperlink ref="B1099" r:id="rId2121" display="https://www.fangraphs.com/players/logan-vanwey/31884/stats" xr:uid="{3DB4E845-BBD7-3B44-9918-1891B801772C}"/>
    <hyperlink ref="C1099" r:id="rId2122" display="https://www.fangraphs.com/teams/astros" xr:uid="{1619D381-D55C-A646-9AAD-9C5A552C2DF7}"/>
    <hyperlink ref="B1100" r:id="rId2123" display="https://www.fangraphs.com/players/jonathan-loaisiga/19753/stats" xr:uid="{4EB6C8C3-F93D-EA42-B87A-E5FFE99CF408}"/>
    <hyperlink ref="C1100" r:id="rId2124" display="https://www.fangraphs.com/teams/diamondbacks" xr:uid="{DF726991-E23B-7D44-B966-3C3A2D7C9A91}"/>
    <hyperlink ref="B1101" r:id="rId2125" display="https://www.fangraphs.com/players/carson-seymour/30084/stats" xr:uid="{22C94D2F-38FB-9249-AE93-3D0F810BDC81}"/>
    <hyperlink ref="C1101" r:id="rId2126" display="https://www.fangraphs.com/teams/giants" xr:uid="{BE2CA6D8-28D5-004B-9B35-F5921E7FE8C3}"/>
    <hyperlink ref="B1102" r:id="rId2127" display="https://www.fangraphs.com/players/nick-anderson/18337/stats" xr:uid="{D6DC8F24-19BF-BD4F-AC15-BD45A38877ED}"/>
    <hyperlink ref="C1102" r:id="rId2128" display="https://www.fangraphs.com/teams/athletics" xr:uid="{E7B11D3E-DD31-AD45-A44B-603180BE5963}"/>
    <hyperlink ref="B1103" r:id="rId2129" display="https://www.fangraphs.com/players/spencer-turnbull/16207/stats" xr:uid="{3463097E-97C3-6B42-BB59-1512BAED89E5}"/>
    <hyperlink ref="B1104" r:id="rId2130" display="https://www.fangraphs.com/players/anthony-misiewicz/18152/stats" xr:uid="{E1B991BD-86BD-A747-A321-11BC7E15CB5E}"/>
    <hyperlink ref="C1104" r:id="rId2131" display="https://www.fangraphs.com/teams/reds" xr:uid="{4EF7AA3D-F811-EB41-AF3B-57F71B449984}"/>
    <hyperlink ref="B1105" r:id="rId2132" display="https://www.fangraphs.com/players/carlos-duran/24458/stats" xr:uid="{884BAE06-F65C-CF44-90A3-CEE12C92E9F5}"/>
    <hyperlink ref="C1105" r:id="rId2133" display="https://www.fangraphs.com/teams/dodgers" xr:uid="{30A63951-B4AA-E548-9175-8D61E234F698}"/>
    <hyperlink ref="B1106" r:id="rId2134" display="https://www.fangraphs.com/players/robert-stock/6576/stats" xr:uid="{E54FF5DF-569A-7142-BD22-62174C62168B}"/>
    <hyperlink ref="C1106" r:id="rId2135" display="https://www.fangraphs.com/teams/mets" xr:uid="{39606352-CCB4-1646-8451-8A13C83717FD}"/>
    <hyperlink ref="B1107" r:id="rId2136" display="https://www.fangraphs.com/players/masataka-yoshida/31837/stats" xr:uid="{BF509347-F85C-9B4B-BF4D-EB66395A18EB}"/>
    <hyperlink ref="C1107" r:id="rId2137" display="https://www.fangraphs.com/teams/red-sox" xr:uid="{425A57FE-F82F-E14B-90BD-D0593777EBA1}"/>
    <hyperlink ref="B1108" r:id="rId2138" display="https://www.fangraphs.com/players/blake-treinen/12572/stats" xr:uid="{1146D5FB-626C-A044-BFE1-254F43E6455B}"/>
    <hyperlink ref="C1108" r:id="rId2139" display="https://www.fangraphs.com/teams/dodgers" xr:uid="{1D74C507-9FF6-5840-8B3B-3B90A7D21FB0}"/>
    <hyperlink ref="B1109" r:id="rId2140" display="https://www.fangraphs.com/players/andrew-hoffmann/29633/stats" xr:uid="{ACEFBA9A-EA6F-3B45-8086-ED3C405A58A8}"/>
    <hyperlink ref="C1109" r:id="rId2141" display="https://www.fangraphs.com/teams/diamondbacks" xr:uid="{A500A51C-45F5-A449-BA07-BBD128BF30F8}"/>
    <hyperlink ref="B1110" r:id="rId2142" display="https://www.fangraphs.com/players/nick-hernandez/19281/stats" xr:uid="{825EB546-C3B9-3846-96EB-71BB64FFF022}"/>
    <hyperlink ref="C1110" r:id="rId2143" display="https://www.fangraphs.com/teams/athletics" xr:uid="{4CE3A656-9667-DE44-AFD4-BFC7B3261474}"/>
    <hyperlink ref="B1111" r:id="rId2144" display="https://www.fangraphs.com/players/kyle-freeland/16256/stats" xr:uid="{EEDE2164-F4B7-3946-BCCD-228EE869148B}"/>
    <hyperlink ref="C1111" r:id="rId2145" display="https://www.fangraphs.com/teams/rockies" xr:uid="{CF20BB13-938C-9D4A-8255-9B1788613583}"/>
    <hyperlink ref="B1112" r:id="rId2146" display="https://www.fangraphs.com/players/blake-perkins/19921/stats" xr:uid="{68F12D3C-BE83-FE4B-B71A-3969B3D17EEE}"/>
    <hyperlink ref="C1112" r:id="rId2147" display="https://www.fangraphs.com/teams/brewers" xr:uid="{FEC6EE8D-1F39-9E42-88E6-A521ED7583DF}"/>
    <hyperlink ref="B1113" r:id="rId2148" display="https://www.fangraphs.com/players/juan-burgos/27271/stats" xr:uid="{8463D4C3-DD1B-3D47-85E6-F7B222A8618E}"/>
    <hyperlink ref="C1113" r:id="rId2149" display="https://www.fangraphs.com/teams/diamondbacks" xr:uid="{0ED401F3-1F47-DF47-A63C-A244041706E6}"/>
    <hyperlink ref="B1114" r:id="rId2150" display="https://www.fangraphs.com/players/brent-suter/13942/stats" xr:uid="{F435145B-8C2C-3A42-B64F-740116A41A6C}"/>
    <hyperlink ref="C1114" r:id="rId2151" display="https://www.fangraphs.com/teams/angels" xr:uid="{F347055A-06F9-CD49-9B0A-D7517658F7D4}"/>
    <hyperlink ref="B1115" r:id="rId2152" display="https://www.fangraphs.com/players/liam-hendriks/3548/stats" xr:uid="{C3AD40B4-DCE2-8943-A5FA-9AF32BD6F004}"/>
    <hyperlink ref="C1115" r:id="rId2153" display="https://www.fangraphs.com/teams/twins" xr:uid="{03351B17-27DD-2B44-A834-69370CB44EB7}"/>
    <hyperlink ref="B1116" r:id="rId2154" display="https://www.fangraphs.com/players/jon-gray/14916/stats" xr:uid="{43D8FEB5-751B-E94A-977D-5E446D1FA4D2}"/>
    <hyperlink ref="B1117" r:id="rId2155" display="https://www.fangraphs.com/players/luis-contreras/25839/stats" xr:uid="{78F565EF-1966-8B41-995D-AB07EF81784F}"/>
    <hyperlink ref="B1118" r:id="rId2156" display="https://www.fangraphs.com/players/ryne-stanek/15947/stats" xr:uid="{B38CEA9B-412B-E746-9780-7F4D7F52A503}"/>
    <hyperlink ref="C1118" r:id="rId2157" display="https://www.fangraphs.com/teams/cardinals" xr:uid="{9897CC05-8891-A540-86A8-90E01C958A20}"/>
    <hyperlink ref="B1119" r:id="rId2158" display="https://www.fangraphs.com/players/bryan-hudson/19924/stats" xr:uid="{36442717-659F-C545-BEC8-27ADA2E4AB44}"/>
    <hyperlink ref="C1119" r:id="rId2159" display="https://www.fangraphs.com/teams/mets" xr:uid="{4E268886-226C-2F4B-8015-B177C154FD65}"/>
    <hyperlink ref="B1120" r:id="rId2160" display="https://www.fangraphs.com/players/jonathan-cannon/31730/stats" xr:uid="{214C7D45-9CA2-1E48-83C8-AAFD645B68F8}"/>
    <hyperlink ref="C1120" r:id="rId2161" display="https://www.fangraphs.com/teams/white-sox" xr:uid="{C064C5B7-302C-4B49-8FA4-518674C419C6}"/>
    <hyperlink ref="B1121" r:id="rId2162" display="https://www.fangraphs.com/players/cole-wilcox/27481/stats" xr:uid="{FF01BF6B-BAFD-EA4E-BA02-2D571F8BF511}"/>
    <hyperlink ref="C1121" r:id="rId2163" display="https://www.fangraphs.com/teams/mariners" xr:uid="{44807E28-E359-FC4B-B14E-6EA4DEEEFDB8}"/>
    <hyperlink ref="B1122" r:id="rId2164" display="https://www.fangraphs.com/players/patrick-monteverde/29564/stats" xr:uid="{61ECA965-4199-C942-B5FB-F4AB7D136237}"/>
    <hyperlink ref="C1122" r:id="rId2165" display="https://www.fangraphs.com/teams/marlins" xr:uid="{59C78AF1-4390-0144-A521-7BEADD1AA183}"/>
    <hyperlink ref="B1123" r:id="rId2166" display="https://www.fangraphs.com/players/cooper-hummel/19458/stats" xr:uid="{7E9BE400-C48B-6A46-9C1C-8353B8A217CF}"/>
    <hyperlink ref="B1124" r:id="rId2167" display="https://www.fangraphs.com/players/jose-leclerc/14524/stats" xr:uid="{E024ADCE-AE8E-A241-BE40-15FEC8919494}"/>
    <hyperlink ref="B1125" r:id="rId2168" display="https://www.fangraphs.com/players/sean-reynolds/22253/stats" xr:uid="{8C78F449-4793-3F44-8DEC-97F7C65B7146}"/>
    <hyperlink ref="B1126" r:id="rId2169" display="https://www.fangraphs.com/players/andy-ibanez/18819/stats" xr:uid="{2A728766-ADBE-0C4D-805E-881FE8AB2C1A}"/>
    <hyperlink ref="C1126" r:id="rId2170" display="https://www.fangraphs.com/teams/athletics" xr:uid="{069A0C97-747F-BA46-9D4C-A96318D0D674}"/>
    <hyperlink ref="B1127" r:id="rId2171" display="https://www.fangraphs.com/players/rolddy-munoz/27407/stats" xr:uid="{ACB91BAB-DEE7-D946-9FE0-E86689730D5B}"/>
    <hyperlink ref="C1127" r:id="rId2172" display="https://www.fangraphs.com/teams/braves" xr:uid="{2B14E6F3-BC9E-A246-ACE4-1732F43EB728}"/>
    <hyperlink ref="B1128" r:id="rId2173" display="https://www.fangraphs.com/players/grant-wolfram/21623/stats" xr:uid="{8CF6DF21-B695-F74F-BAB7-F56DC6753D32}"/>
    <hyperlink ref="C1128" r:id="rId2174" display="https://www.fangraphs.com/teams/orioles" xr:uid="{3C839A25-A895-BB48-AAD5-74FD5B8FB0A4}"/>
    <hyperlink ref="B1129" r:id="rId2175" display="https://www.fangraphs.com/players/anthony-veneziano/27453/stats" xr:uid="{8359323E-600B-7646-B8C5-B59ED6C59A38}"/>
    <hyperlink ref="B1130" r:id="rId2176" display="https://www.fangraphs.com/players/scott-blewett/16427/stats" xr:uid="{BA50F883-FEC0-DA45-91CF-BCAD807A09D6}"/>
    <hyperlink ref="C1130" r:id="rId2177" display="https://www.fangraphs.com/teams/cardinals" xr:uid="{B7EEC383-7450-3547-B787-D650A1D0C386}"/>
    <hyperlink ref="B1131" r:id="rId2178" display="https://www.fangraphs.com/players/carson-fulmer/18311/stats" xr:uid="{825E0A9F-A0EB-874F-9BEF-DDD84BECDD25}"/>
    <hyperlink ref="C1131" r:id="rId2179" display="https://www.fangraphs.com/teams/pirates" xr:uid="{FD152558-FE7D-5442-A2B3-0797F27F2213}"/>
    <hyperlink ref="B1132" r:id="rId2180" display="https://www.fangraphs.com/players/carlos-rodriguez/30161/stats" xr:uid="{E308639A-1A88-3344-A97C-B7CC8432E494}"/>
    <hyperlink ref="C1132" r:id="rId2181" display="https://www.fangraphs.com/teams/brewers" xr:uid="{511B6616-F70D-CA47-8FCD-24FA88FEAAB1}"/>
    <hyperlink ref="B1133" r:id="rId2182" display="https://www.fangraphs.com/players/kenta-maeda/18498/stats" xr:uid="{ECBCC359-EA47-064B-A016-1F051D6C8B35}"/>
    <hyperlink ref="B1134" r:id="rId2183" display="https://www.fangraphs.com/players/maverick-handley/26106/stats" xr:uid="{0A445D0F-D7D1-6D41-9DE8-9404D3FEBC2F}"/>
    <hyperlink ref="C1134" r:id="rId2184" display="https://www.fangraphs.com/teams/orioles" xr:uid="{95B427E5-F2C1-C244-AF23-2AB00973936B}"/>
    <hyperlink ref="B1135" r:id="rId2185" display="https://www.fangraphs.com/players/isaiah-campbell/25551/stats" xr:uid="{1293EC0E-B8FA-1B4C-A057-3086340900D9}"/>
    <hyperlink ref="C1135" r:id="rId2186" display="https://www.fangraphs.com/teams/diamondbacks" xr:uid="{93A9BE34-8240-9340-938A-DFF59720C6A6}"/>
    <hyperlink ref="B1136" r:id="rId2187" display="https://www.fangraphs.com/players/trevor-richards/19309/stats" xr:uid="{4E0BD4C6-9CFC-1F4E-A769-3DEBCBCB2BEB}"/>
    <hyperlink ref="C1136" r:id="rId2188" display="https://www.fangraphs.com/teams/phillies" xr:uid="{27ADC716-5F25-D943-AC5F-79512B75F18E}"/>
    <hyperlink ref="B1137" r:id="rId2189" display="https://www.fangraphs.com/players/hector-neris/11804/stats" xr:uid="{60FDE870-55DD-F140-B89D-2BF712A80139}"/>
    <hyperlink ref="C1137" r:id="rId2190" display="https://www.fangraphs.com/teams/royals" xr:uid="{C973252D-2ADE-4741-B19A-8B1EED87C08A}"/>
    <hyperlink ref="B1138" r:id="rId2191" display="https://www.fangraphs.com/players/trey-sweeney/29575/stats" xr:uid="{C4BDDB89-58C2-744E-BCA3-B4C05A1F3C4C}"/>
    <hyperlink ref="C1138" r:id="rId2192" display="https://www.fangraphs.com/teams/tigers" xr:uid="{784C0E87-7CFA-6243-AFC3-37E2BDEC44F1}"/>
    <hyperlink ref="B1139" r:id="rId2193" display="https://www.fangraphs.com/players/bryce-jarvis/27477/stats" xr:uid="{9A49FE8A-B4DC-5045-86D5-AD22B65B1E2B}"/>
    <hyperlink ref="C1139" r:id="rId2194" display="https://www.fangraphs.com/teams/diamondbacks" xr:uid="{9AC8D54F-8A35-FD42-BB28-2B19AD14BD38}"/>
    <hyperlink ref="B1140" r:id="rId2195" display="https://www.fangraphs.com/players/porter-hodge/26413/stats" xr:uid="{37E4D477-C1BD-C342-8448-AAB62D8712CD}"/>
    <hyperlink ref="C1140" r:id="rId2196" display="https://www.fangraphs.com/teams/cubs" xr:uid="{A40F2690-C614-6E4F-90F5-3B5216CA0A6B}"/>
    <hyperlink ref="B1141" r:id="rId2197" display="https://www.fangraphs.com/players/justin-bruihl/23779/stats" xr:uid="{DDB1E42F-BD3B-0949-8281-FF1DAFE5AD52}"/>
    <hyperlink ref="C1141" r:id="rId2198" display="https://www.fangraphs.com/teams/cardinals" xr:uid="{8C83BC05-ECB7-9140-898D-EC0AC9B262AA}"/>
    <hyperlink ref="B1142" r:id="rId2199" display="https://www.fangraphs.com/players/jacob-barnes/12323/stats" xr:uid="{CF9EEEB7-92A7-AF4D-BC5C-C783235F8740}"/>
    <hyperlink ref="B1143" r:id="rId2200" display="https://www.fangraphs.com/players/yennier-cano/25911/stats" xr:uid="{ABB2401B-6B48-4A4D-9417-C2A5A12CFB65}"/>
    <hyperlink ref="C1143" r:id="rId2201" display="https://www.fangraphs.com/teams/orioles" xr:uid="{75582027-6537-F84B-932C-21215C6728CB}"/>
    <hyperlink ref="B1144" r:id="rId2202" display="https://www.fangraphs.com/players/alex-carrillo/26463/stats" xr:uid="{10CAC150-AA20-1E49-B2CF-AD50FB3A4BAD}"/>
    <hyperlink ref="C1144" r:id="rId2203" display="https://www.fangraphs.com/teams/mets" xr:uid="{83EAAD04-DC47-BC44-9957-399CF2532B41}"/>
    <hyperlink ref="B1145" r:id="rId2204" display="https://www.fangraphs.com/players/osvaldo-bido/23150/stats" xr:uid="{B1603A95-918F-4B4B-BE0C-FAD4B0FA0E70}"/>
    <hyperlink ref="C1145" r:id="rId2205" display="https://www.fangraphs.com/teams/yankees" xr:uid="{38B484BD-4645-DF4E-8527-A6D6AE494AAB}"/>
    <hyperlink ref="B1146" r:id="rId2206" display="https://www.fangraphs.com/players/chad-green/15552/stats" xr:uid="{1EB3E0F1-B298-6943-8E80-10E0923D084A}"/>
    <hyperlink ref="B1147" r:id="rId2207" display="https://www.fangraphs.com/players/mike-clevinger/12808/stats" xr:uid="{DD283578-6ED0-6F48-B046-5BFBB0781359}"/>
    <hyperlink ref="C1147" r:id="rId2208" display="https://www.fangraphs.com/teams/pirates" xr:uid="{B41F1D63-35E3-CE47-B3E1-C54EF6DD4D22}"/>
    <hyperlink ref="B1148" r:id="rId2209" display="https://www.fangraphs.com/players/michael-helman/24605/stats" xr:uid="{452F6414-0B1A-1249-A234-982B04472B1E}"/>
    <hyperlink ref="C1148" r:id="rId2210" display="https://www.fangraphs.com/teams/rangers" xr:uid="{26397266-942C-B946-86F2-C6792B7DB5F9}"/>
    <hyperlink ref="B1149" r:id="rId2211" display="https://www.fangraphs.com/players/elvis-peguero/21652/stats" xr:uid="{9408A4FB-811F-FE4D-B77D-F4BA84D076D4}"/>
    <hyperlink ref="B1150" r:id="rId2212" display="https://www.fangraphs.com/players/jake-bird/21267/stats" xr:uid="{F6E35A9B-D370-C149-85B2-A80B2F08ADBD}"/>
    <hyperlink ref="C1150" r:id="rId2213" display="https://www.fangraphs.com/teams/yankees" xr:uid="{934C0D76-09C8-584E-B287-4B41F5706D6D}"/>
    <hyperlink ref="B1151" r:id="rId2214" display="https://www.fangraphs.com/players/roddery-munoz/25311/stats" xr:uid="{A4D9732C-6E75-354C-A391-228F9177542B}"/>
    <hyperlink ref="C1151" r:id="rId2215" display="https://www.fangraphs.com/teams/astros" xr:uid="{7D2852BB-25F5-544D-BD1F-A328F95214BD}"/>
    <hyperlink ref="B1152" r:id="rId2216" display="https://www.fangraphs.com/players/matt-sauer/22284/stats" xr:uid="{3ACFDE45-281C-5D45-B3E7-889E18D0E9D1}"/>
    <hyperlink ref="B1153" r:id="rId2217" display="https://www.fangraphs.com/players/amed-rosario/15518/stats" xr:uid="{A024FBB2-264C-3D4D-995D-4CDE6CF0A72D}"/>
    <hyperlink ref="C1153" r:id="rId2218" display="https://www.fangraphs.com/teams/yankees" xr:uid="{32C32727-C7CC-0343-8807-48BDF21E88BD}"/>
    <hyperlink ref="B1154" r:id="rId2219" display="https://www.fangraphs.com/players/kevin-kelly/25679/stats" xr:uid="{1C44DB3E-3D04-2A45-99BA-2FBE72C15314}"/>
    <hyperlink ref="C1154" r:id="rId2220" display="https://www.fangraphs.com/teams/rays" xr:uid="{9FF8CF31-78F9-DD46-8067-D854E37FA1EF}"/>
    <hyperlink ref="B1155" r:id="rId2221" display="https://www.fangraphs.com/players/cam-sanders/23479/stats" xr:uid="{2DE48AE1-CCF7-0A41-9CED-2B8BA480CDF1}"/>
    <hyperlink ref="C1155" r:id="rId2222" display="https://www.fangraphs.com/teams/pirates" xr:uid="{28BE5D19-F54D-1E44-978F-E765B781CF81}"/>
    <hyperlink ref="B1156" r:id="rId2223" display="https://www.fangraphs.com/players/jp-feyereisen/16610/stats" xr:uid="{8CBA3798-F4C3-AD42-9840-8EF58AD6E39F}"/>
    <hyperlink ref="C1156" r:id="rId2224" display="https://www.fangraphs.com/teams/dodgers" xr:uid="{3AA6DA12-8FD7-B146-805A-A22114708A1E}"/>
    <hyperlink ref="B1157" r:id="rId2225" display="https://www.fangraphs.com/players/jordan-wicks/30094/stats" xr:uid="{8E298CA9-5F6E-4946-875C-7120AE534B31}"/>
    <hyperlink ref="C1157" r:id="rId2226" display="https://www.fangraphs.com/teams/cubs" xr:uid="{9E7CAE7E-6122-F044-AF10-FE59A32CD53B}"/>
    <hyperlink ref="B1158" r:id="rId2227" display="https://www.fangraphs.com/players/trevor-williams/16977/stats" xr:uid="{F0F9BB88-BB81-B84D-82B4-A3DF8F3F8843}"/>
    <hyperlink ref="C1158" r:id="rId2228" display="https://www.fangraphs.com/teams/nationals" xr:uid="{1729DA72-A38D-D746-9444-1151672D76C0}"/>
    <hyperlink ref="B1159" r:id="rId2229" display="https://www.fangraphs.com/players/cody-poteet/18769/stats" xr:uid="{13E01F4C-8399-6346-9A59-01C47686E783}"/>
    <hyperlink ref="B1160" r:id="rId2230" display="https://www.fangraphs.com/players/luis-torrens/15905/stats" xr:uid="{B7CD283D-3E13-9C41-B61E-3B0C40CCFE29}"/>
    <hyperlink ref="C1160" r:id="rId2231" display="https://www.fangraphs.com/teams/mets" xr:uid="{DF2A2AB6-88A3-F845-9143-FE9357324EAD}"/>
    <hyperlink ref="B1161" r:id="rId2232" display="https://www.fangraphs.com/players/kyle-gibson/10123/stats" xr:uid="{887B8D4F-7E91-6741-902D-C8D68E4DB927}"/>
    <hyperlink ref="B1162" r:id="rId2233" display="https://www.fangraphs.com/players/eduarniel-nunez/23162/stats" xr:uid="{816E1A12-7F23-E248-8AD0-8AAEA4806FED}"/>
    <hyperlink ref="C1162" r:id="rId2234" display="https://www.fangraphs.com/teams/athletics" xr:uid="{8B9E36B0-B1C2-704A-B7AE-39CD05C1DDEA}"/>
    <hyperlink ref="B1163" r:id="rId2235" display="https://www.fangraphs.com/players/craig-yoho/33248/stats" xr:uid="{44CE9617-6275-904A-8FB3-149B2BA05BF3}"/>
    <hyperlink ref="C1163" r:id="rId2236" display="https://www.fangraphs.com/teams/brewers" xr:uid="{27BA31B4-03B5-5E4D-A929-58FED9B8559B}"/>
    <hyperlink ref="B1164" r:id="rId2237" display="https://www.fangraphs.com/players/brandyn-garcia/33568/stats" xr:uid="{2857378C-8244-FA41-8744-0EAE422D2920}"/>
    <hyperlink ref="C1164" r:id="rId2238" display="https://www.fangraphs.com/teams/diamondbacks" xr:uid="{84D1B098-691A-2D4D-9BDA-C076F4FC9E55}"/>
    <hyperlink ref="B1165" r:id="rId2239" display="https://www.fangraphs.com/players/scott-mcgough/12056/stats" xr:uid="{F7704441-873A-AB4E-AEB7-83747D145EDD}"/>
    <hyperlink ref="B1166" r:id="rId2240" display="https://www.fangraphs.com/players/michael-mercado/23223/stats" xr:uid="{5855CE45-DEED-B64A-9B91-D308FA2E7A4C}"/>
    <hyperlink ref="C1166" r:id="rId2241" display="https://www.fangraphs.com/teams/phillies" xr:uid="{3ECBD03E-950D-7543-9A87-724F8DA4A7AC}"/>
    <hyperlink ref="B1167" r:id="rId2242" display="https://www.fangraphs.com/players/gerson-garabito/19835/stats" xr:uid="{6BA12198-0EA2-1149-A30F-E28C82D70C96}"/>
    <hyperlink ref="C1167" r:id="rId2243" display="https://www.fangraphs.com/teams/brewers" xr:uid="{6144C91D-C7C9-3043-B440-2654D73ACB52}"/>
    <hyperlink ref="B1168" r:id="rId2244" display="https://www.fangraphs.com/players/garrett-mcdaniels/31751/stats" xr:uid="{8247F072-A03E-BE4F-B152-C1371D94FE6C}"/>
    <hyperlink ref="C1168" r:id="rId2245" display="https://www.fangraphs.com/teams/dodgers" xr:uid="{A8689291-51EF-2649-BD39-2EEC159435C5}"/>
    <hyperlink ref="B1169" r:id="rId2246" display="https://www.fangraphs.com/players/jacob-stallings/13723/stats" xr:uid="{17BF012D-F177-F640-B89A-037281B85E38}"/>
    <hyperlink ref="C1169" r:id="rId2247" display="https://www.fangraphs.com/teams/orioles" xr:uid="{1C8B3E60-946E-C84C-8BAC-120276065ABF}"/>
    <hyperlink ref="B1170" r:id="rId2248" display="https://www.fangraphs.com/players/jorge-mateo/17273/stats" xr:uid="{30595CF3-5BE4-1E49-9873-65A00791B129}"/>
    <hyperlink ref="C1170" r:id="rId2249" display="https://www.fangraphs.com/teams/braves" xr:uid="{7FD85B14-2838-4E49-A75A-70CC880C5AB4}"/>
    <hyperlink ref="B1171" r:id="rId2250" display="https://www.fangraphs.com/players/joey-loperfido/29630/stats" xr:uid="{EAC17C5E-7A07-3343-A941-653A01BA4A3B}"/>
    <hyperlink ref="C1171" r:id="rId2251" display="https://www.fangraphs.com/teams/astros" xr:uid="{364C893D-44D4-9748-9798-D63D59264D17}"/>
    <hyperlink ref="B1172" r:id="rId2252" display="https://www.fangraphs.com/players/richard-lovelady/19337/stats" xr:uid="{477DE47C-9487-AF46-8ADC-BC528DA49D30}"/>
    <hyperlink ref="C1172" r:id="rId2253" display="https://www.fangraphs.com/teams/nationals" xr:uid="{7B8D7A0D-04C5-2F42-B598-5E5BCD373173}"/>
    <hyperlink ref="B1173" r:id="rId2254" display="https://www.fangraphs.com/players/allan-winans/21238/stats" xr:uid="{99C4EFAB-0B3A-4548-8010-965527FB7E84}"/>
    <hyperlink ref="B1174" r:id="rId2255" display="https://www.fangraphs.com/players/paul-dejong/18015/stats" xr:uid="{8C71BD49-CD74-124C-A599-612BD3318078}"/>
    <hyperlink ref="C1174" r:id="rId2256" display="https://www.fangraphs.com/teams/yankees" xr:uid="{A32B7868-0D4E-064C-A8F9-949CDC880233}"/>
    <hyperlink ref="B1175" r:id="rId2257" display="https://www.fangraphs.com/players/juan-morillo/21924/stats" xr:uid="{42E96CFA-D34C-214A-8B67-D95A8CFCAE69}"/>
    <hyperlink ref="C1175" r:id="rId2258" display="https://www.fangraphs.com/teams/diamondbacks" xr:uid="{139950D9-A757-B148-99B6-ED8409ECA91B}"/>
    <hyperlink ref="B1176" r:id="rId2259" display="https://www.fangraphs.com/players/drew-sommers/32026/stats" xr:uid="{C8B83EC6-A2A9-9C43-9F1E-5D696E1D159E}"/>
    <hyperlink ref="C1176" r:id="rId2260" display="https://www.fangraphs.com/teams/tigers" xr:uid="{874A0487-9B7F-E342-B92F-5B9D9A4230F1}"/>
    <hyperlink ref="B1177" r:id="rId2261" display="https://www.fangraphs.com/players/pierson-ohl/30179/stats" xr:uid="{F95D5DE5-1CAF-5A48-A2A5-A09882FB6746}"/>
    <hyperlink ref="C1177" r:id="rId2262" display="https://www.fangraphs.com/teams/rockies" xr:uid="{75BC8DCE-812E-4F46-A28D-8D3E19650FB1}"/>
    <hyperlink ref="B1178" r:id="rId2263" display="https://www.fangraphs.com/players/colby-thomas/31855/stats" xr:uid="{FF34F44D-86A9-9741-BC2A-3B31EE4D9DCA}"/>
    <hyperlink ref="C1178" r:id="rId2264" display="https://www.fangraphs.com/teams/athletics" xr:uid="{B23F620A-B0B5-2A4A-98B9-22D93327C8D8}"/>
    <hyperlink ref="B1179" r:id="rId2265" display="https://www.fangraphs.com/players/dane-dunning/19409/stats" xr:uid="{EEA2A46A-C5F4-B543-841A-115657309712}"/>
    <hyperlink ref="C1179" r:id="rId2266" display="https://www.fangraphs.com/teams/mariners" xr:uid="{42978E2C-A500-4A42-8572-38FCF28B2981}"/>
    <hyperlink ref="B1180" r:id="rId2267" display="https://www.fangraphs.com/players/andruw-monasterio/19455/stats" xr:uid="{32D46389-83FA-F34A-ACBE-75AB53309524}"/>
    <hyperlink ref="C1180" r:id="rId2268" display="https://www.fangraphs.com/teams/red-sox" xr:uid="{4998DE8B-0DE1-BA40-BE5D-5E884A1DFC0C}"/>
    <hyperlink ref="B1181" r:id="rId2269" display="https://www.fangraphs.com/players/curtis-mead/23986/stats" xr:uid="{EFBF2C36-1A7B-4947-9D22-6798820E6EEB}"/>
    <hyperlink ref="C1181" r:id="rId2270" display="https://www.fangraphs.com/teams/white-sox" xr:uid="{24EFF732-EA79-A34C-B701-40F34B00A12E}"/>
    <hyperlink ref="B1182" r:id="rId2271" display="https://www.fangraphs.com/players/alek-jacob/29628/stats" xr:uid="{AE5AF71C-6889-B94B-8983-3AC2E42B0A45}"/>
    <hyperlink ref="C1182" r:id="rId2272" display="https://www.fangraphs.com/teams/padres" xr:uid="{CB06DCDF-931F-2D4F-A3C5-6C2EFCDE1975}"/>
    <hyperlink ref="B1183" r:id="rId2273" display="https://www.fangraphs.com/players/gordon-graceffo/29519/stats" xr:uid="{C9FD700E-2A03-3F42-8B7D-B0A0149F7A08}"/>
    <hyperlink ref="C1183" r:id="rId2274" display="https://www.fangraphs.com/teams/cardinals" xr:uid="{D5C21DA2-CCFC-7544-9F62-7EB408D41865}"/>
    <hyperlink ref="B1184" r:id="rId2275" display="https://www.fangraphs.com/players/ryan-johnson/35325/stats" xr:uid="{B14A1B5B-AD60-1E43-846F-0E46E645361C}"/>
    <hyperlink ref="C1184" r:id="rId2276" display="https://www.fangraphs.com/teams/angels" xr:uid="{C8DFBDAA-D886-F340-9A72-44C1CE37CFF9}"/>
    <hyperlink ref="B1185" r:id="rId2277" display="https://www.fangraphs.com/players/erik-swanson/16587/stats" xr:uid="{04F6E5D5-C655-8748-816D-3E791D24C09D}"/>
    <hyperlink ref="B1186" r:id="rId2278" display="https://www.fangraphs.com/players/carson-ragsdale/27508/stats" xr:uid="{DB6B24EA-D964-234E-8D07-74F5505237F5}"/>
    <hyperlink ref="B1187" r:id="rId2279" display="https://www.fangraphs.com/players/wander-suero/15855/stats" xr:uid="{8307A3E5-972F-DE45-9D51-9EE9DEC73DEA}"/>
    <hyperlink ref="C1187" r:id="rId2280" display="https://www.fangraphs.com/teams/athletics" xr:uid="{432B6CFC-3996-DC49-9A40-06B51DBFF5EC}"/>
    <hyperlink ref="B1188" r:id="rId2281" display="https://www.fangraphs.com/players/alexander-canario/22842/stats" xr:uid="{687C40C5-A703-134E-95AD-B00CC205AE8B}"/>
    <hyperlink ref="B1189" r:id="rId2282" display="https://www.fangraphs.com/players/michel-otanez/22533/stats" xr:uid="{C8A3D47B-B295-B042-AB4B-3713AEE79CEF}"/>
    <hyperlink ref="C1189" r:id="rId2283" display="https://www.fangraphs.com/teams/rangers" xr:uid="{AE5D2C0A-BF47-AD4C-B4F2-F889AAB1EA5E}"/>
    <hyperlink ref="B1190" r:id="rId2284" display="https://www.fangraphs.com/players/owen-white/22273/stats" xr:uid="{B859C606-3154-8147-B797-4BF1286B883A}"/>
    <hyperlink ref="B1191" r:id="rId2285" display="https://www.fangraphs.com/players/beau-brieske/26079/stats" xr:uid="{79D8171C-498F-6148-99DB-68A9B8B31DF5}"/>
    <hyperlink ref="C1191" r:id="rId2286" display="https://www.fangraphs.com/teams/tigers" xr:uid="{6BED7603-CC17-584E-A785-789CD07924A7}"/>
    <hyperlink ref="B1192" r:id="rId2287" display="https://www.fangraphs.com/players/kristian-campbell/33644/stats" xr:uid="{B2FB9151-7226-7848-88EE-6845B189DAB3}"/>
    <hyperlink ref="C1192" r:id="rId2288" display="https://www.fangraphs.com/teams/red-sox" xr:uid="{8B01EF4A-54FF-764A-8F91-C28AA227D49C}"/>
    <hyperlink ref="B1193" r:id="rId2289" display="https://www.fangraphs.com/players/sammy-peralta/25589/stats" xr:uid="{0A299590-B46D-8B44-B713-0D6AD774FE10}"/>
    <hyperlink ref="C1193" r:id="rId2290" display="https://www.fangraphs.com/teams/brewers" xr:uid="{F0C4B627-7E85-624A-AE68-0029A0BE53F0}"/>
    <hyperlink ref="B1194" r:id="rId2291" display="https://www.fangraphs.com/players/triston-mckenzie/18000/stats" xr:uid="{033B9280-2887-E34A-B626-9B19ACB736E9}"/>
    <hyperlink ref="C1194" r:id="rId2292" display="https://www.fangraphs.com/teams/padres" xr:uid="{B249E170-61D1-2D47-A8F1-7C7319D9F255}"/>
    <hyperlink ref="B1195" r:id="rId2293" display="https://www.fangraphs.com/players/charlie-morton/4676/stats" xr:uid="{8A62FCC9-8C4C-A548-81E5-EDECB5F0DFBA}"/>
    <hyperlink ref="B1196" r:id="rId2294" display="https://www.fangraphs.com/players/anthony-maldonado/26034/stats" xr:uid="{5A609667-B364-C841-9CB5-C68E1C2BA996}"/>
    <hyperlink ref="C1196" r:id="rId2295" display="https://www.fangraphs.com/teams/astros" xr:uid="{B5CD7568-E80B-6B40-A06E-421E3D667452}"/>
    <hyperlink ref="B1197" r:id="rId2296" display="https://www.fangraphs.com/players/miguel-rojas/7802/stats" xr:uid="{EB3B84F8-C5F0-3F46-8F4F-95273BE42AD8}"/>
    <hyperlink ref="C1197" r:id="rId2297" display="https://www.fangraphs.com/teams/dodgers" xr:uid="{98AA8FD7-B7B8-1049-8788-F202C359C353}"/>
    <hyperlink ref="B1198" r:id="rId2298" display="https://www.fangraphs.com/players/jesse-chavez/5448/stats" xr:uid="{64888CDB-D8FD-4342-97C5-F778AE4570F5}"/>
    <hyperlink ref="B1199" r:id="rId2299" display="https://www.fangraphs.com/players/scott-alexander/10591/stats" xr:uid="{1B52263C-D4EB-A643-8D76-D58DED9B08E6}"/>
    <hyperlink ref="C1199" r:id="rId2300" display="https://www.fangraphs.com/teams/giants" xr:uid="{E479FE0D-49AA-2B4A-AEC1-93BE752B1260}"/>
    <hyperlink ref="B1200" r:id="rId2301" display="https://www.fangraphs.com/players/scott-effross/18384/stats" xr:uid="{2046C026-E8A0-DA4E-A18B-71995DF9977D}"/>
    <hyperlink ref="C1200" r:id="rId2302" display="https://www.fangraphs.com/teams/tigers" xr:uid="{018E1590-3EE9-9F40-9E78-0934524A3AAB}"/>
    <hyperlink ref="B1201" r:id="rId2303" display="https://www.fangraphs.com/players/jhonny-pereda/19802/stats" xr:uid="{3D6BFC1E-B516-AB45-9B96-1AD0B205A2DB}"/>
    <hyperlink ref="C1201" r:id="rId2304" display="https://www.fangraphs.com/teams/mariners" xr:uid="{056DCFF6-3628-2849-BCAC-001B61149BEC}"/>
    <hyperlink ref="B1202" r:id="rId2305" display="https://www.fangraphs.com/players/jordan-weems/13190/stats" xr:uid="{F91615D6-CCB7-4B4A-8A76-42F31F81C49F}"/>
    <hyperlink ref="C1202" r:id="rId2306" display="https://www.fangraphs.com/teams/dodgers" xr:uid="{10CD5F57-86B6-184D-81F9-A016B83B2E2F}"/>
    <hyperlink ref="B1203" r:id="rId2307" display="https://www.fangraphs.com/players/joe-ross/12972/stats" xr:uid="{269F2EF8-4A84-FA44-97BC-AAEAE0CF3906}"/>
    <hyperlink ref="C1203" r:id="rId2308" display="https://www.fangraphs.com/teams/diamondbacks" xr:uid="{B2344B8B-D827-B84A-BC67-B4DA30F600CB}"/>
    <hyperlink ref="B1204" r:id="rId2309" display="https://www.fangraphs.com/players/lyon-richardson/24581/stats" xr:uid="{5B49BAFC-5342-5844-AC31-9B3F58B73193}"/>
    <hyperlink ref="C1204" r:id="rId2310" display="https://www.fangraphs.com/teams/reds" xr:uid="{6B8B62FC-9923-C642-A8A0-1F264B6196D8}"/>
    <hyperlink ref="B1205" r:id="rId2311" display="https://www.fangraphs.com/players/joe-la-sorsa/25481/stats" xr:uid="{1C49A9CB-ADDB-DE4F-81FC-8C8FAF9FAD5C}"/>
    <hyperlink ref="C1205" r:id="rId2312" display="https://www.fangraphs.com/teams/pirates" xr:uid="{01C6FA7A-4033-D34F-97C2-59EAD7B4AC25}"/>
    <hyperlink ref="B1206" r:id="rId2313" display="https://www.fangraphs.com/players/max-muncy/29779/stats" xr:uid="{8A10E01D-0D0E-7840-AF54-D39B3B75DACA}"/>
    <hyperlink ref="C1206" r:id="rId2314" display="https://www.fangraphs.com/teams/athletics" xr:uid="{DBC8D179-948B-604D-9907-AF9298784423}"/>
    <hyperlink ref="B1207" r:id="rId2315" display="https://www.fangraphs.com/players/bryse-wilson/19990/stats" xr:uid="{A7919247-99A9-B849-819C-A6783A32A0A7}"/>
    <hyperlink ref="C1207" r:id="rId2316" display="https://www.fangraphs.com/teams/phillies" xr:uid="{6A92C4CD-19DC-7043-A23E-A14D423B9B51}"/>
    <hyperlink ref="B1208" r:id="rId2317" display="https://www.fangraphs.com/players/tayler-saucedo/17888/stats" xr:uid="{CDB6D113-4CDA-BD43-BC22-0A614F2C62A8}"/>
    <hyperlink ref="C1208" r:id="rId2318" display="https://www.fangraphs.com/teams/angels" xr:uid="{3AB76E07-D17C-6A40-A4A8-8287C0CC2E3C}"/>
    <hyperlink ref="B1209" r:id="rId2319" display="https://www.fangraphs.com/players/nate-eaton/25055/stats" xr:uid="{7C867B5F-3B2D-6B41-98ED-19FB71E0C15B}"/>
    <hyperlink ref="C1209" r:id="rId2320" display="https://www.fangraphs.com/teams/red-sox" xr:uid="{E93CCC53-4AFB-AC42-82C2-9468AF5CA29B}"/>
    <hyperlink ref="B1210" r:id="rId2321" display="https://www.fangraphs.com/players/penn-murfee/25174/stats" xr:uid="{2C24F163-D68E-9E47-9B7C-F0A15AE918C1}"/>
    <hyperlink ref="B1211" r:id="rId2322" display="https://www.fangraphs.com/players/tanner-houck/19879/stats" xr:uid="{458AAF90-9DC2-FD4A-BFA9-3CD6321D1B73}"/>
    <hyperlink ref="C1211" r:id="rId2323" display="https://www.fangraphs.com/teams/red-sox" xr:uid="{50A1F91B-C940-F04F-AF25-CA1D9BCF6477}"/>
    <hyperlink ref="B1212" r:id="rId2324" display="https://www.fangraphs.com/players/jordan-hicks/19618/stats" xr:uid="{5DAA4182-2483-F342-BDD3-542C46D44298}"/>
    <hyperlink ref="C1212" r:id="rId2325" display="https://www.fangraphs.com/teams/white-sox" xr:uid="{F602F8DA-6D3B-F348-8AE2-D26B889AEB56}"/>
    <hyperlink ref="B1213" r:id="rId2326" display="https://www.fangraphs.com/players/michael-massey/27684/stats" xr:uid="{068700C7-27D2-A841-AF5C-BFEE55F33BF7}"/>
    <hyperlink ref="C1213" r:id="rId2327" display="https://www.fangraphs.com/teams/royals" xr:uid="{75A2CFB2-287C-3846-ADF6-9C4B79298A71}"/>
    <hyperlink ref="B1214" r:id="rId2328" display="https://www.fangraphs.com/players/tanner-rainey/17610/stats" xr:uid="{F9681F6C-02B3-624F-AD22-403AB9E9D945}"/>
    <hyperlink ref="C1214" r:id="rId2329" display="https://www.fangraphs.com/teams/tigers" xr:uid="{0974F2E7-335B-DD4C-B08E-01B9F1FF24B2}"/>
    <hyperlink ref="B1215" r:id="rId2330" display="https://www.fangraphs.com/players/zach-agnos/31552/stats" xr:uid="{109A5E36-EB16-5A4D-82D6-DA92D2F2B85E}"/>
    <hyperlink ref="C1215" r:id="rId2331" display="https://www.fangraphs.com/teams/rockies" xr:uid="{EBCEF766-A6CF-1443-8B79-60C3C8D85626}"/>
    <hyperlink ref="B1216" r:id="rId2332" display="https://www.fangraphs.com/players/julian-merryweather/16703/stats" xr:uid="{721618F1-F8B9-5D45-8B38-E898AEF169B1}"/>
    <hyperlink ref="C1216" r:id="rId2333" display="https://www.fangraphs.com/teams/twins" xr:uid="{617B7992-BF9B-A64C-A395-78B258866123}"/>
    <hyperlink ref="B1217" r:id="rId2334" display="https://www.fangraphs.com/players/eli-morgan/20203/stats" xr:uid="{86B9D440-49B6-BF42-BF86-CD8773F478EA}"/>
    <hyperlink ref="C1217" r:id="rId2335" display="https://www.fangraphs.com/teams/royals" xr:uid="{88ADA33B-E6D6-E748-90A3-A09193D74D1D}"/>
    <hyperlink ref="B1218" r:id="rId2336" display="https://www.fangraphs.com/players/shaun-anderson/19453/stats" xr:uid="{B86E281A-9837-0C4C-B559-590D8FDC0348}"/>
    <hyperlink ref="C1218" r:id="rId2337" display="https://www.fangraphs.com/teams/angels" xr:uid="{5C3DDA80-6803-BC42-BDAB-1E0F0962772C}"/>
    <hyperlink ref="B1219" r:id="rId2338" display="https://www.fangraphs.com/players/nick-allen/22277/stats" xr:uid="{4DB02ED4-0554-F747-B2DF-F8E111A7A280}"/>
    <hyperlink ref="C1219" r:id="rId2339" display="https://www.fangraphs.com/teams/astros" xr:uid="{F18CD1BE-12FB-A74E-B5B5-7C9A68DE2B54}"/>
    <hyperlink ref="B1220" r:id="rId2340" display="https://www.fangraphs.com/players/cj-kayfus/33704/stats" xr:uid="{AEABA6B8-EF46-8F46-999C-4AA46BA66695}"/>
    <hyperlink ref="C1220" r:id="rId2341" display="https://www.fangraphs.com/teams/guardians" xr:uid="{45A5BCDF-E45A-2B46-BC17-7D3665496C1A}"/>
    <hyperlink ref="B1221" r:id="rId2342" display="https://www.fangraphs.com/players/matt-bowman/13528/stats" xr:uid="{B1E76701-2B6F-7441-B189-2FF6EA058704}"/>
    <hyperlink ref="C1221" r:id="rId2343" display="https://www.fangraphs.com/teams/twins" xr:uid="{3487805B-64B1-6046-8168-56480C1A14DE}"/>
    <hyperlink ref="B1222" r:id="rId2344" display="https://www.fangraphs.com/players/sean-hjelle/21481/stats" xr:uid="{CAA69C77-B000-B44D-9C2B-B4768F75C153}"/>
    <hyperlink ref="B1223" r:id="rId2345" display="https://www.fangraphs.com/players/oswald-peraza/22823/stats" xr:uid="{ABEAB1D8-BF23-4740-A072-7AE1C271618D}"/>
    <hyperlink ref="C1223" r:id="rId2346" display="https://www.fangraphs.com/teams/angels" xr:uid="{50E328E7-9E76-BA4E-A410-156E6399D5EB}"/>
    <hyperlink ref="B1224" r:id="rId2347" display="https://www.fangraphs.com/players/thairo-estrada/16426/stats" xr:uid="{4151CEDB-680F-7E4E-8FDC-A7C392321801}"/>
    <hyperlink ref="C1224" r:id="rId2348" display="https://www.fangraphs.com/teams/orioles" xr:uid="{AB54D33C-1C42-A641-BB96-A8CDA890A843}"/>
    <hyperlink ref="B1225" r:id="rId2349" display="https://www.fangraphs.com/players/josh-simpson/25957/stats" xr:uid="{8E30B41D-1878-AC4E-A5AF-01C08645C997}"/>
    <hyperlink ref="C1225" r:id="rId2350" display="https://www.fangraphs.com/teams/mariners" xr:uid="{61BF5997-F48E-EC40-9BB4-39928B6C9425}"/>
    <hyperlink ref="B1226" r:id="rId2351" display="https://www.fangraphs.com/players/carlos-cortes/21842/stats" xr:uid="{CEC25C9E-4BFC-DE41-AE75-D21C1C4D7417}"/>
    <hyperlink ref="C1226" r:id="rId2352" display="https://www.fangraphs.com/teams/athletics" xr:uid="{DB1C7D76-0607-764F-94F0-98E937504315}"/>
    <hyperlink ref="B1227" r:id="rId2353" display="https://www.fangraphs.com/players/tyler-fitzgerald/26208/stats" xr:uid="{A916AB1C-6617-A840-A6AF-81467BAAFEEC}"/>
    <hyperlink ref="C1227" r:id="rId2354" display="https://www.fangraphs.com/teams/giants" xr:uid="{89E30DC8-1170-B549-8C32-A5746DB5E586}"/>
    <hyperlink ref="B1228" r:id="rId2355" display="https://www.fangraphs.com/players/leo-rivas/21009/stats" xr:uid="{3AF2B3A3-AB0E-E248-9B6D-06B27DB3B7D0}"/>
    <hyperlink ref="C1228" r:id="rId2356" display="https://www.fangraphs.com/teams/mariners" xr:uid="{A2378323-9B00-8743-A5B4-6281802DEAA7}"/>
    <hyperlink ref="B1229" r:id="rId2357" display="https://www.fangraphs.com/players/robert-hassell-iii/27482/stats" xr:uid="{7DABD335-4859-B946-9730-CDBD70FAEBD0}"/>
    <hyperlink ref="C1229" r:id="rId2358" display="https://www.fangraphs.com/teams/nationals" xr:uid="{03E0577A-C0C0-1945-BE8F-CDC97DE41F0D}"/>
    <hyperlink ref="B1230" r:id="rId2359" display="https://www.fangraphs.com/players/miles-mastrobuoni/20017/stats" xr:uid="{FA33670A-62D1-D54A-9DF9-05F58D586B17}"/>
    <hyperlink ref="C1230" r:id="rId2360" display="https://www.fangraphs.com/teams/mariners" xr:uid="{F7346CC2-425E-9449-988B-AAC7C47B5015}"/>
    <hyperlink ref="B1231" r:id="rId2361" display="https://www.fangraphs.com/players/austin-nola/15941/stats" xr:uid="{EA1D9197-3D5C-C242-904B-DF51C990AE82}"/>
    <hyperlink ref="B1232" r:id="rId2362" display="https://www.fangraphs.com/players/michael-toglia/25845/stats" xr:uid="{D4F0E6E5-5FBA-CB4C-80E0-8C5AECCA707C}"/>
    <hyperlink ref="C1232" r:id="rId2363" display="https://www.fangraphs.com/teams/reds" xr:uid="{F13FE8DC-BCCA-5B4B-BC46-DD75F4AD8E60}"/>
    <hyperlink ref="B1233" r:id="rId2364" display="https://www.fangraphs.com/players/kyren-paris/26420/stats" xr:uid="{64D5F1C0-427D-F341-922D-FCAB34097AFE}"/>
    <hyperlink ref="C1233" r:id="rId2365" display="https://www.fangraphs.com/teams/angels" xr:uid="{A8AEF240-93DC-7548-9CFE-16C7876F640B}"/>
    <hyperlink ref="B1234" r:id="rId2366" display="https://www.fangraphs.com/players/troy-johnston/26143/stats" xr:uid="{5562AA6D-C067-CB45-AAD1-4BFC2867FBC2}"/>
    <hyperlink ref="C1234" r:id="rId2367" display="https://www.fangraphs.com/teams/rockies" xr:uid="{CFA53626-4E4B-0B44-8BBC-9055D6285EDB}"/>
    <hyperlink ref="B1235" r:id="rId2368" display="https://www.fangraphs.com/players/ryan-ritter/31500/stats" xr:uid="{653722EA-B8C9-4542-ACBD-410B860F62D3}"/>
    <hyperlink ref="C1235" r:id="rId2369" display="https://www.fangraphs.com/teams/rockies" xr:uid="{C89E942D-3CF6-0B4C-A826-2C9D8A659FE8}"/>
    <hyperlink ref="B1236" r:id="rId2370" display="https://www.fangraphs.com/players/drew-waters/20505/stats" xr:uid="{3DC99187-9C12-0140-996B-B940A788C979}"/>
    <hyperlink ref="C1236" r:id="rId2371" display="https://www.fangraphs.com/teams/royals" xr:uid="{CA40041C-9848-634F-AD20-5C4683E938CA}"/>
    <hyperlink ref="B1237" r:id="rId2372" display="https://www.fangraphs.com/players/joel-payamps/14332/stats" xr:uid="{F3FA9E88-2FF6-FE44-A8E0-25169C80118B}"/>
    <hyperlink ref="C1237" r:id="rId2373" display="https://www.fangraphs.com/teams/braves" xr:uid="{055DA22C-033F-8345-9887-E619A036793B}"/>
    <hyperlink ref="B1238" r:id="rId2374" display="https://www.fangraphs.com/players/geoff-hartlieb/19558/stats" xr:uid="{1B823FD2-1C46-334F-BAC8-9014D48CEB93}"/>
    <hyperlink ref="C1238" r:id="rId2375" display="https://www.fangraphs.com/teams/athletics" xr:uid="{BA2DE8C4-1DA4-6B49-9996-0D7A0130CFA6}"/>
    <hyperlink ref="B1239" r:id="rId2376" display="https://www.fangraphs.com/players/cole-young/31680/stats" xr:uid="{70B6B20B-8D11-AF47-A30F-7FD18145D52D}"/>
    <hyperlink ref="C1239" r:id="rId2377" display="https://www.fangraphs.com/teams/mariners" xr:uid="{DCC2EF2C-7C4E-6547-B653-96E7B262C240}"/>
    <hyperlink ref="B1240" r:id="rId2378" display="https://www.fangraphs.com/players/brandon-lockridge/21496/stats" xr:uid="{1CF01BD7-36B1-A844-83D8-87E0FC5DD4C4}"/>
    <hyperlink ref="C1240" r:id="rId2379" display="https://www.fangraphs.com/teams/brewers" xr:uid="{8158C65E-25E4-774B-AD82-93F79A85FA3C}"/>
    <hyperlink ref="B1241" r:id="rId2380" display="https://www.fangraphs.com/players/troy-taylor/31883/stats" xr:uid="{5A438940-5EAC-FB46-BF62-BCBF50E8687D}"/>
    <hyperlink ref="C1241" r:id="rId2381" display="https://www.fangraphs.com/teams/mariners" xr:uid="{AD4C328A-14FA-3C45-A86A-121FA7DF5547}"/>
    <hyperlink ref="B1242" r:id="rId2382" display="https://www.fangraphs.com/players/tj-mcfarland/3237/stats" xr:uid="{C0AC1858-5EED-0C4E-A35A-8AB016E4EBCC}"/>
    <hyperlink ref="B1243" r:id="rId2383" display="https://www.fangraphs.com/players/thomas-hatch/19264/stats" xr:uid="{0E5ECC51-6852-0043-8C22-F0FBBFABEFB6}"/>
    <hyperlink ref="C1243" r:id="rId2384" display="https://www.fangraphs.com/teams/diamondbacks" xr:uid="{47510F56-18FB-7947-AAA5-DF5DEE27BBAF}"/>
    <hyperlink ref="B1244" r:id="rId2385" display="https://www.fangraphs.com/players/sawyer-gipson-long/26048/stats" xr:uid="{8EBEE461-6801-EE47-8D4A-0721E777FF98}"/>
    <hyperlink ref="C1244" r:id="rId2386" display="https://www.fangraphs.com/teams/tigers" xr:uid="{2B87A87E-4693-2F4C-95F6-EC0F45FC4788}"/>
    <hyperlink ref="B1245" r:id="rId2387" display="https://www.fangraphs.com/players/mason-montgomery/29770/stats" xr:uid="{B56B9FCF-B47F-D641-B082-EDF702FB4806}"/>
    <hyperlink ref="C1245" r:id="rId2388" display="https://www.fangraphs.com/teams/pirates" xr:uid="{56D2A4AC-4829-8745-B1A1-92C987B5AEB6}"/>
    <hyperlink ref="B1246" r:id="rId2389" display="https://www.fangraphs.com/players/derek-hill/16947/stats" xr:uid="{C1FB4572-2468-7B41-9D89-E977D0D60E35}"/>
    <hyperlink ref="C1246" r:id="rId2390" display="https://www.fangraphs.com/teams/white-sox" xr:uid="{B54DD273-F72D-BA45-9794-1C519F52006F}"/>
    <hyperlink ref="B1247" r:id="rId2391" display="https://www.fangraphs.com/players/christian-moore/34979/stats" xr:uid="{67DCAEE0-0ADB-6B41-B95A-EDD7CC56A19F}"/>
    <hyperlink ref="C1247" r:id="rId2392" display="https://www.fangraphs.com/teams/angels" xr:uid="{E1C0988B-E36A-F448-A7EB-0AAA60A39162}"/>
    <hyperlink ref="B1248" r:id="rId2393" display="https://www.fangraphs.com/players/parker-meadows/23800/stats" xr:uid="{20E9AF1E-58BE-EB47-9A67-07354A935AD5}"/>
    <hyperlink ref="C1248" r:id="rId2394" display="https://www.fangraphs.com/teams/tigers" xr:uid="{8D9C8053-518A-1645-B8BC-D11BE9263C70}"/>
    <hyperlink ref="B1249" r:id="rId2395" display="https://www.fangraphs.com/players/scott-kingery/17975/stats" xr:uid="{B61B0CC2-7507-D74C-AF0B-ACF939437036}"/>
    <hyperlink ref="C1249" r:id="rId2396" display="https://www.fangraphs.com/teams/cubs" xr:uid="{933B60AA-EE3C-9949-ABDA-ED3637417B2C}"/>
    <hyperlink ref="B1250" r:id="rId2397" display="https://www.fangraphs.com/players/emmanuel-rivera/19890/stats" xr:uid="{A332782F-1C58-7643-BC85-027AA4F3ACE1}"/>
    <hyperlink ref="B1251" r:id="rId2398" display="https://www.fangraphs.com/players/jordan-romano/16122/stats" xr:uid="{1F8CEA79-8557-6443-A4C1-F4211DA984C0}"/>
    <hyperlink ref="C1251" r:id="rId2399" display="https://www.fangraphs.com/teams/angels" xr:uid="{C189DD8E-8195-1B40-9406-6AA06609983D}"/>
    <hyperlink ref="B1252" r:id="rId2400" display="https://www.fangraphs.com/players/ildemaro-vargas/13324/stats" xr:uid="{1458047D-396B-7842-9166-590BF12421AD}"/>
    <hyperlink ref="C1252" r:id="rId2401" display="https://www.fangraphs.com/teams/diamondbacks" xr:uid="{8EEA1F68-0989-1844-AE29-FF830C84D5B2}"/>
    <hyperlink ref="B1253" r:id="rId2402" display="https://www.fangraphs.com/players/john-brebbia/12777/stats" xr:uid="{E73F59EF-1420-C94F-9A27-72BDFFEF7195}"/>
    <hyperlink ref="C1253" r:id="rId2403" display="https://www.fangraphs.com/teams/rockies" xr:uid="{01BD38CF-F8C1-7E42-AE4A-25B2A0CC33E2}"/>
    <hyperlink ref="B1254" r:id="rId2404" display="https://www.fangraphs.com/players/carson-palmquist/31612/stats" xr:uid="{3A157A89-0BBA-D74F-A888-DC237AFDA78A}"/>
    <hyperlink ref="C1254" r:id="rId2405" display="https://www.fangraphs.com/teams/rockies" xr:uid="{96CE3B0C-DA6F-3446-A210-02E93E8106D5}"/>
    <hyperlink ref="B1255" r:id="rId2406" display="https://www.fangraphs.com/players/john-king/22051/stats" xr:uid="{0C41574C-AFDC-784E-9F55-313C224D41C0}"/>
    <hyperlink ref="C1255" r:id="rId2407" display="https://www.fangraphs.com/teams/marlins" xr:uid="{EF0F30E8-E2C2-C847-9AB6-AE2536C48AC5}"/>
    <hyperlink ref="B1256" r:id="rId2408" display="https://www.fangraphs.com/players/kendall-graveman/15514/stats" xr:uid="{5A446A72-7AB8-F247-A81B-7A52F3D0664A}"/>
    <hyperlink ref="B1257" r:id="rId2409" display="https://www.fangraphs.com/players/bryce-johnson/20002/stats" xr:uid="{102A3EF2-1910-FD43-A549-648EE6000F97}"/>
    <hyperlink ref="C1257" r:id="rId2410" display="https://www.fangraphs.com/teams/padres" xr:uid="{1D563D42-1D38-3841-B69A-E47844877FB7}"/>
    <hyperlink ref="B1258" r:id="rId2411" display="https://www.fangraphs.com/players/jose-ruiz/14552/stats" xr:uid="{0F31574E-3F62-E24A-A6ED-402EFD288AEA}"/>
    <hyperlink ref="B1259" r:id="rId2412" display="https://www.fangraphs.com/players/ronny-mauricio/23698/stats" xr:uid="{8882AA4D-F21E-4A4D-9281-977B0125ADC6}"/>
    <hyperlink ref="C1259" r:id="rId2413" display="https://www.fangraphs.com/teams/mets" xr:uid="{A8A170F7-BDA5-3A49-B6FC-F264FFDC09DF}"/>
    <hyperlink ref="B1260" r:id="rId2414" display="https://www.fangraphs.com/players/jonah-bride/24703/stats" xr:uid="{DA82ED3F-F73C-5B45-B54C-272B83F5FFEA}"/>
    <hyperlink ref="C1260" r:id="rId2415" display="https://www.fangraphs.com/teams/rangers" xr:uid="{B13F6DCE-E7DE-CE4B-B18F-7667767E9D15}"/>
    <hyperlink ref="B1261" r:id="rId2416" display="https://www.fangraphs.com/players/joc-pederson/11899/stats" xr:uid="{D5DA2F78-F6EA-7341-B0E2-AB268FC9755B}"/>
    <hyperlink ref="C1261" r:id="rId2417" display="https://www.fangraphs.com/teams/rangers" xr:uid="{E4E67642-0CC8-4748-A207-98A6902C7EE1}"/>
    <hyperlink ref="B1262" r:id="rId2418" display="https://www.fangraphs.com/players/andre-pallante/26108/stats" xr:uid="{DEF15EFE-2632-D843-9CBF-4577907F2FA9}"/>
    <hyperlink ref="C1262" r:id="rId2419" display="https://www.fangraphs.com/teams/cardinals" xr:uid="{A08858C8-511C-5740-A746-D27BB8933B5E}"/>
    <hyperlink ref="B1263" r:id="rId2420" display="https://www.fangraphs.com/players/tyler-zuber/20379/stats" xr:uid="{918AFD7F-3277-7A42-8C44-3A7763807444}"/>
    <hyperlink ref="C1263" r:id="rId2421" display="https://www.fangraphs.com/teams/marlins" xr:uid="{4C3D860D-029F-4D46-BD82-991008B484EE}"/>
    <hyperlink ref="B1264" r:id="rId2422" display="https://www.fangraphs.com/players/austin-slater/16153/stats" xr:uid="{D7309267-72A8-214B-B73D-70D8B82C19AA}"/>
    <hyperlink ref="C1264" r:id="rId2423" display="https://www.fangraphs.com/teams/tigers" xr:uid="{0064D379-4952-4847-8233-01EC02D18254}"/>
    <hyperlink ref="B1265" r:id="rId2424" display="https://www.fangraphs.com/players/luarbert-arias/23811/stats" xr:uid="{E3D0976A-CB30-144D-B876-B5EDAF172BD2}"/>
    <hyperlink ref="B1266" r:id="rId2425" display="https://www.fangraphs.com/players/sam-long/25379/stats" xr:uid="{E2378831-792D-ED43-BDF5-58B9508D86A1}"/>
    <hyperlink ref="C1266" r:id="rId2426" display="https://www.fangraphs.com/teams/royals" xr:uid="{E29DBF71-7FE4-144C-A0B2-A5673CD7F921}"/>
    <hyperlink ref="B1267" r:id="rId2427" display="https://www.fangraphs.com/players/john-rave/26284/stats" xr:uid="{525BDB52-EB63-3541-9ADB-5649A6FBB0CA}"/>
    <hyperlink ref="C1267" r:id="rId2428" display="https://www.fangraphs.com/teams/royals" xr:uid="{9B5F2115-2008-3B4A-9A61-CE3754067C3D}"/>
    <hyperlink ref="B1268" r:id="rId2429" display="https://www.fangraphs.com/players/leody-taveras/18900/stats" xr:uid="{128F11D8-8489-4C47-9B6E-57C78A149E11}"/>
    <hyperlink ref="C1268" r:id="rId2430" display="https://www.fangraphs.com/teams/orioles" xr:uid="{CADCB3CA-CCF8-0249-B06C-E75E87BFCAD5}"/>
    <hyperlink ref="B1269" r:id="rId2431" display="https://www.fangraphs.com/players/cal-quantrill/19312/stats" xr:uid="{CED6B600-5866-424F-91D2-16B457391BF4}"/>
    <hyperlink ref="C1269" r:id="rId2432" display="https://www.fangraphs.com/teams/rangers" xr:uid="{52D2BF32-7119-B241-AB1A-8BEC03D2B37B}"/>
    <hyperlink ref="B1270" r:id="rId2433" display="https://www.fangraphs.com/players/mitchell-parker/27636/stats" xr:uid="{CB6FFE51-7EFC-AA41-A45A-5E88D4544372}"/>
    <hyperlink ref="C1270" r:id="rId2434" display="https://www.fangraphs.com/teams/nationals" xr:uid="{6415393F-89FA-1B40-8364-FFD7309FEC3C}"/>
    <hyperlink ref="B1271" r:id="rId2435" display="https://www.fangraphs.com/players/luke-raley/19354/stats" xr:uid="{BF4CCF82-66B2-7749-80D6-FAF8B1F4D50E}"/>
    <hyperlink ref="C1271" r:id="rId2436" display="https://www.fangraphs.com/teams/mariners" xr:uid="{AD028A7D-CFA3-0644-BD7E-8F0BF6807B69}"/>
    <hyperlink ref="B1272" r:id="rId2437" display="https://www.fangraphs.com/players/ezequiel-duran/23733/stats" xr:uid="{C88DF0C6-283E-2A40-893A-715C9A904256}"/>
    <hyperlink ref="C1272" r:id="rId2438" display="https://www.fangraphs.com/teams/rangers" xr:uid="{06EF70EC-5673-2542-AAAD-C5A56F375BB7}"/>
    <hyperlink ref="B1273" r:id="rId2439" display="https://www.fangraphs.com/players/brooks-kriske/21189/stats" xr:uid="{F3909762-CFCC-F742-9DD8-32ECDABA89AE}"/>
    <hyperlink ref="C1273" r:id="rId2440" display="https://www.fangraphs.com/teams/athletics" xr:uid="{1295691D-7E49-E14B-9731-2EC5D38529BC}"/>
    <hyperlink ref="B1274" r:id="rId2441" display="https://www.fangraphs.com/players/connor-thomas/25873/stats" xr:uid="{37F77B07-75D6-E142-A716-8421E6413777}"/>
    <hyperlink ref="C1274" r:id="rId2442" display="https://www.fangraphs.com/teams/braves" xr:uid="{1B586C94-E6EE-094C-A6B4-8B5385CE8D26}"/>
    <hyperlink ref="B1275" r:id="rId2443" display="https://www.fangraphs.com/players/zach-pop/20185/stats" xr:uid="{2B786BD5-CCD8-274F-87F2-4E82227464F4}"/>
    <hyperlink ref="C1275" r:id="rId2444" display="https://www.fangraphs.com/teams/phillies" xr:uid="{1F9851A4-1402-FD44-9DAD-E54CCF3FF498}"/>
    <hyperlink ref="B1276" r:id="rId2445" display="https://www.fangraphs.com/players/jose-tena/23691/stats" xr:uid="{0A6A1F6A-14A1-3F47-B8B3-496DA06FC7D1}"/>
    <hyperlink ref="C1276" r:id="rId2446" display="https://www.fangraphs.com/teams/nationals" xr:uid="{C0E90EA9-AA01-C440-BAC1-E3ABA0A64B0A}"/>
    <hyperlink ref="B1277" r:id="rId2447" display="https://www.fangraphs.com/players/colin-poche/19403/stats" xr:uid="{4EC5190F-01B9-D24F-B916-8C96BB21B729}"/>
    <hyperlink ref="B1278" r:id="rId2448" display="https://www.fangraphs.com/players/santiago-espinal/19997/stats" xr:uid="{87E9329E-648D-E04F-BDCF-DEF4A94B5E4E}"/>
    <hyperlink ref="C1278" r:id="rId2449" display="https://www.fangraphs.com/teams/dodgers" xr:uid="{09350BDC-A5A0-2A44-9981-2DFEF8A6AA61}"/>
    <hyperlink ref="B1279" r:id="rId2450" display="https://www.fangraphs.com/players/weston-wilson/19358/stats" xr:uid="{62E09FC4-2512-9E48-AE79-30BAEB34516B}"/>
    <hyperlink ref="C1279" r:id="rId2451" display="https://www.fangraphs.com/teams/orioles" xr:uid="{249AE0B0-D36F-454F-8BC8-006FD3E0E051}"/>
    <hyperlink ref="B1280" r:id="rId2452" display="https://www.fangraphs.com/players/enrique-hernandez/10472/stats" xr:uid="{6267D295-650B-224D-B7E2-D7DAEC18917A}"/>
    <hyperlink ref="C1280" r:id="rId2453" display="https://www.fangraphs.com/teams/dodgers" xr:uid="{E1D17BE5-393C-AD48-B149-27D970F53A77}"/>
    <hyperlink ref="B1281" r:id="rId2454" display="https://www.fangraphs.com/players/chris-roycroft/31261/stats" xr:uid="{D282B588-6F70-6B4D-B71E-0ED87EF96307}"/>
    <hyperlink ref="C1281" r:id="rId2455" display="https://www.fangraphs.com/teams/cardinals" xr:uid="{0E47912D-61C2-D949-8B4E-57A77D0FBCB7}"/>
    <hyperlink ref="B1282" r:id="rId2456" display="https://www.fangraphs.com/players/warming-bernabel/26536/stats" xr:uid="{E9847995-D92E-424E-92D0-15889C3245A2}"/>
    <hyperlink ref="C1282" r:id="rId2457" display="https://www.fangraphs.com/teams/nationals" xr:uid="{925CFACB-0E5F-BB4A-ADC4-9C3D7BC965CC}"/>
    <hyperlink ref="B1283" r:id="rId2458" display="https://www.fangraphs.com/players/zach-cole/31583/stats" xr:uid="{949AD399-68A0-5F4E-B440-B4C109DDBF2A}"/>
    <hyperlink ref="C1283" r:id="rId2459" display="https://www.fangraphs.com/teams/astros" xr:uid="{8DD3165F-0C4B-6145-B0BB-1DF3E27EB65F}"/>
    <hyperlink ref="B1284" r:id="rId2460" display="https://www.fangraphs.com/players/jared-shuster/27472/stats" xr:uid="{C86726F0-7876-DC43-90F7-7EDA53918FF0}"/>
    <hyperlink ref="C1284" r:id="rId2461" display="https://www.fangraphs.com/teams/cardinals" xr:uid="{2ADDDF89-0BE5-7D44-885D-A0379C439323}"/>
    <hyperlink ref="B1285" r:id="rId2462" display="https://www.fangraphs.com/players/dylan-carlson/20126/stats" xr:uid="{5CE36DCC-58B1-F240-A7E2-22A4FF720282}"/>
    <hyperlink ref="C1285" r:id="rId2463" display="https://www.fangraphs.com/teams/cubs" xr:uid="{5535C753-5873-704B-95F1-363283056CAE}"/>
    <hyperlink ref="B1286" r:id="rId2464" display="https://www.fangraphs.com/players/paul-blackburn/14739/stats" xr:uid="{99E2A360-66A5-254E-9482-824F0CBE17F5}"/>
    <hyperlink ref="C1286" r:id="rId2465" display="https://www.fangraphs.com/teams/yankees" xr:uid="{E2DA6868-4375-7740-A28F-2BEF8FEAED08}"/>
    <hyperlink ref="B1287" r:id="rId2466" display="https://www.fangraphs.com/players/ian-anderson/19951/stats" xr:uid="{DC8A7BE1-29B7-174A-98A4-92FB78763D67}"/>
    <hyperlink ref="B1288" r:id="rId2467" display="https://www.fangraphs.com/players/darell-hernaiz/26224/stats" xr:uid="{8776E341-3C86-C441-AF03-1D5025D2ADBA}"/>
    <hyperlink ref="C1288" r:id="rId2468" display="https://www.fangraphs.com/teams/athletics" xr:uid="{73D43D45-F0ED-6C4F-9795-62F9B1E91C08}"/>
    <hyperlink ref="B1289" r:id="rId2469" display="https://www.fangraphs.com/players/nick-loftin/27630/stats" xr:uid="{8FA8A668-F7A6-1A42-B633-9592643C48A9}"/>
    <hyperlink ref="C1289" r:id="rId2470" display="https://www.fangraphs.com/teams/royals" xr:uid="{8D8F8A08-A386-724E-A38C-8F618D785A83}"/>
    <hyperlink ref="B1290" r:id="rId2471" display="https://www.fangraphs.com/players/mason-thompson/21850/stats" xr:uid="{F011ED7D-1A6C-2F40-B780-7FAA9BF050A1}"/>
    <hyperlink ref="C1290" r:id="rId2472" display="https://www.fangraphs.com/teams/rangers" xr:uid="{DBBC88EB-CB5C-284B-AB70-37D12C820485}"/>
    <hyperlink ref="B1291" r:id="rId2473" display="https://www.fangraphs.com/players/david-fry/24934/stats" xr:uid="{4B72B3B9-B97E-9046-B4FB-81D6AB743BCD}"/>
    <hyperlink ref="C1291" r:id="rId2474" display="https://www.fangraphs.com/teams/guardians" xr:uid="{AA02A058-E1C6-284D-92C0-6CDA45ED1BA2}"/>
    <hyperlink ref="B1292" r:id="rId2475" display="https://www.fangraphs.com/players/dj-lemahieu/9874/stats" xr:uid="{131CF6AF-42CC-3847-B001-8DA72EC66BBC}"/>
    <hyperlink ref="B1293" r:id="rId2476" display="https://www.fangraphs.com/players/zach-dezenzo/31562/stats" xr:uid="{A89D3C77-6560-694E-8C1E-00E0A9ECD50E}"/>
    <hyperlink ref="C1293" r:id="rId2477" display="https://www.fangraphs.com/teams/astros" xr:uid="{BFBF0C86-51C3-0346-8E3D-5A18DA000DE5}"/>
    <hyperlink ref="B1294" r:id="rId2478" display="https://www.fangraphs.com/players/cody-freeman/25629/stats" xr:uid="{51149790-6778-7A4A-851B-D96D31077828}"/>
    <hyperlink ref="C1294" r:id="rId2479" display="https://www.fangraphs.com/teams/rangers" xr:uid="{BB5E0D47-6F00-6B4B-9DA5-CD2DE1D60FB2}"/>
    <hyperlink ref="B1295" r:id="rId2480" display="https://www.fangraphs.com/players/orlando-ribalta/26247/stats" xr:uid="{2302B816-FA7F-C449-9FA6-8695EEDB0662}"/>
    <hyperlink ref="C1295" r:id="rId2481" display="https://www.fangraphs.com/teams/nationals" xr:uid="{FBD43E3E-8968-A541-86C3-26317C02A391}"/>
    <hyperlink ref="B1296" r:id="rId2482" display="https://www.fangraphs.com/players/donovan-solano/8623/stats" xr:uid="{C37551CD-20D8-BB4B-9F7B-5DAF44FDCBF0}"/>
    <hyperlink ref="B1297" r:id="rId2483" display="https://www.fangraphs.com/players/elvin-rodriguez/20962/stats" xr:uid="{B72A6A30-B28D-2042-8580-63DB51946070}"/>
    <hyperlink ref="B1298" r:id="rId2484" display="https://www.fangraphs.com/players/jake-woodford/18674/stats" xr:uid="{BE621F88-9B7F-ED44-9527-1B465CC5AF18}"/>
    <hyperlink ref="C1298" r:id="rId2485" display="https://www.fangraphs.com/teams/rays" xr:uid="{AD829856-AD6E-1145-9DFA-7E369B38128D}"/>
    <hyperlink ref="B1299" r:id="rId2486" display="https://www.fangraphs.com/players/graham-pauley/31363/stats" xr:uid="{631B881D-08C9-954B-83B3-FB88F04F355C}"/>
    <hyperlink ref="C1299" r:id="rId2487" display="https://www.fangraphs.com/teams/marlins" xr:uid="{7F06937C-BCC8-5043-8B3D-E77F151BE47C}"/>
    <hyperlink ref="B1300" r:id="rId2488" display="https://www.fangraphs.com/players/christian-encarnacion-strand/30011/stats" xr:uid="{9F0C0B76-58C2-0145-A624-C239C53B0EA0}"/>
    <hyperlink ref="C1300" r:id="rId2489" display="https://www.fangraphs.com/teams/reds" xr:uid="{1AF866C8-C852-0549-A07F-B314AD37F4C4}"/>
    <hyperlink ref="B1301" r:id="rId2490" display="https://www.fangraphs.com/players/caleb-boushley/19736/stats" xr:uid="{9C8F23D6-3DEF-0642-A5FA-65DFD2414B1E}"/>
    <hyperlink ref="B1302" r:id="rId2491" display="https://www.fangraphs.com/players/jackson-rutledge/26215/stats" xr:uid="{323FB387-0BC4-8140-83EB-872B71F933D3}"/>
    <hyperlink ref="C1302" r:id="rId2492" display="https://www.fangraphs.com/teams/nationals" xr:uid="{98E22A38-1C7E-5F42-B93C-6B0D123210A0}"/>
    <hyperlink ref="B1303" r:id="rId2493" display="https://www.fangraphs.com/players/jake-irvin/21504/stats" xr:uid="{415A702F-303F-3943-ACE5-5BCF0869B681}"/>
    <hyperlink ref="C1303" r:id="rId2494" display="https://www.fangraphs.com/teams/nationals" xr:uid="{4453FB09-ED47-4D43-ADDD-8B9E0AFB31BC}"/>
    <hyperlink ref="B1304" r:id="rId2495" display="https://www.fangraphs.com/players/chris-stratton/13761/stats" xr:uid="{A72A85BE-3F7D-3647-9D64-2602AF4F7BF6}"/>
    <hyperlink ref="B1305" r:id="rId2496" display="https://www.fangraphs.com/players/austin-cox/24604/stats" xr:uid="{21F17162-D7D5-E844-878D-B9E13F7FF33B}"/>
    <hyperlink ref="C1305" r:id="rId2497" display="https://www.fangraphs.com/teams/braves" xr:uid="{B00DE01D-6112-B24C-BB7C-61429BBBE2F8}"/>
    <hyperlink ref="B1306" r:id="rId2498" display="https://www.fangraphs.com/players/ryan-loutos/29521/stats" xr:uid="{97C2EF01-9A1F-844D-8EAE-7BDD44BE6246}"/>
    <hyperlink ref="C1306" r:id="rId2499" display="https://www.fangraphs.com/teams/mariners" xr:uid="{497DB729-260A-C543-BEC2-17DF6037C92F}"/>
    <hyperlink ref="B1307" r:id="rId2500" display="https://www.fangraphs.com/players/richie-palacios/24589/stats" xr:uid="{AA15541B-9385-8245-A572-085F2033BDA6}"/>
    <hyperlink ref="C1307" r:id="rId2501" display="https://www.fangraphs.com/teams/rays" xr:uid="{F5A225A3-FD07-8C49-8D3D-D5D83E7192B6}"/>
    <hyperlink ref="B1308" r:id="rId2502" display="https://www.fangraphs.com/players/max-schuemann/24488/stats" xr:uid="{B2F14759-891F-404D-AE51-8946CA10B6FC}"/>
    <hyperlink ref="C1308" r:id="rId2503" display="https://www.fangraphs.com/teams/yankees" xr:uid="{FBB48B18-363D-9B41-BAAF-8F39A9601B27}"/>
    <hyperlink ref="B1309" r:id="rId2504" display="https://www.fangraphs.com/players/oswald-peraza/22823/stats" xr:uid="{F004A1F9-E031-EB41-9DD5-E1455D188943}"/>
    <hyperlink ref="C1309" r:id="rId2505" display="https://www.fangraphs.com/teams/angels" xr:uid="{69132CB9-46BD-3041-B6D0-549D29645A9D}"/>
    <hyperlink ref="B1310" r:id="rId2506" display="https://www.fangraphs.com/players/tyler-heineman/13897/stats" xr:uid="{BDE62C6C-84E9-004C-903E-4C2FD79A99E1}"/>
    <hyperlink ref="C1310" r:id="rId2507" display="https://www.fangraphs.com/teams/blue-jays" xr:uid="{E35A0FB3-7EBD-5649-9D5D-C14F615FEFF9}"/>
    <hyperlink ref="B1311" r:id="rId2508" display="https://www.fangraphs.com/players/jorge-mateo/17273/stats" xr:uid="{8D0DC866-667F-F843-8154-C8BC1CE90963}"/>
    <hyperlink ref="C1311" r:id="rId2509" display="https://www.fangraphs.com/teams/braves" xr:uid="{82EE1DD1-2553-D740-B5AC-E984638BDCDD}"/>
    <hyperlink ref="B1312" r:id="rId2510" display="https://www.fangraphs.com/players/alex-verdugo/17027/stats" xr:uid="{F9504CA7-D696-4D4B-A814-F540AC912036}"/>
    <hyperlink ref="B1313" r:id="rId2511" display="https://www.fangraphs.com/players/justyn-henry-malloy/29606/stats" xr:uid="{75210415-1BF8-BE49-99B8-156041031F0A}"/>
    <hyperlink ref="C1313" r:id="rId2512" display="https://www.fangraphs.com/teams/rays" xr:uid="{709029A9-734E-4141-B87B-E6A2BF247071}"/>
    <hyperlink ref="B1314" r:id="rId2513" display="https://www.fangraphs.com/players/alejandro-osuna/27915/stats" xr:uid="{D4B4666B-0D04-434C-BBC2-4AA1A8A7795C}"/>
    <hyperlink ref="C1314" r:id="rId2514" display="https://www.fangraphs.com/teams/rangers" xr:uid="{838C8F50-F940-794D-AF51-CF23D84C597F}"/>
    <hyperlink ref="B1315" r:id="rId2515" display="https://www.fangraphs.com/players/nacho-alvarez-jr/31765/stats" xr:uid="{B4CD38C4-A5F6-894C-B320-345F0168110C}"/>
    <hyperlink ref="C1315" r:id="rId2516" display="https://www.fangraphs.com/teams/braves" xr:uid="{BCEC19C6-5658-CC4B-AC54-AF36E816F1F7}"/>
    <hyperlink ref="B1316" r:id="rId2517" display="https://www.fangraphs.com/players/jonny-deluca/26365/stats" xr:uid="{7713F817-0E4F-7741-A09F-8C634130CE30}"/>
    <hyperlink ref="C1316" r:id="rId2518" display="https://www.fangraphs.com/teams/rays" xr:uid="{9A9C2866-F30F-EA49-926B-32A6339E9045}"/>
    <hyperlink ref="B1317" r:id="rId2519" display="https://www.fangraphs.com/players/adrian-del-castillo/29554/stats" xr:uid="{FF65A185-CE85-8744-8BC0-800859C5AAC2}"/>
    <hyperlink ref="C1317" r:id="rId2520" display="https://www.fangraphs.com/teams/diamondbacks" xr:uid="{35FE1D35-40B9-D24E-94E3-E35E933D6E42}"/>
    <hyperlink ref="B1318" r:id="rId2521" display="https://www.fangraphs.com/players/heston-kjerstad/31166/stats" xr:uid="{72C08428-4919-614D-924D-8CEED1132C5A}"/>
    <hyperlink ref="C1318" r:id="rId2522" display="https://www.fangraphs.com/teams/orioles" xr:uid="{221D29FE-AE31-DE47-903F-40A88ED52660}"/>
    <hyperlink ref="B1319" r:id="rId2523" display="https://www.fangraphs.com/players/nate-pearson/20160/stats" xr:uid="{59EF6627-92BA-3740-B6BD-3B290B83F63B}"/>
    <hyperlink ref="C1319" r:id="rId2524" display="https://www.fangraphs.com/teams/astros" xr:uid="{5695CB8E-50CB-F746-A0B4-9357EB12B070}"/>
    <hyperlink ref="B1320" r:id="rId2525" display="https://www.fangraphs.com/players/justin-turner/5235/stats" xr:uid="{861C255B-07FD-BE4F-8B56-B215C860368E}"/>
    <hyperlink ref="B1321" r:id="rId2526" display="https://www.fangraphs.com/players/andry-lara/27967/stats" xr:uid="{7E0CAF7D-4F56-0442-83E8-DED277037342}"/>
    <hyperlink ref="C1321" r:id="rId2527" display="https://www.fangraphs.com/teams/nationals" xr:uid="{1F8E8BD4-4646-254B-8102-D3D709636B01}"/>
    <hyperlink ref="B1322" r:id="rId2528" display="https://www.fangraphs.com/players/lucas-sims/13470/stats" xr:uid="{6F70E84E-F66C-E244-8995-D6ED08A22374}"/>
    <hyperlink ref="C1322" r:id="rId2529" display="https://www.fangraphs.com/teams/white-sox" xr:uid="{CD0BC75A-FC8A-F642-AE98-96E8D65752E5}"/>
    <hyperlink ref="B1323" r:id="rId2530" display="https://www.fangraphs.com/players/oswaldo-cabrera/21707/stats" xr:uid="{54F94037-D9F1-F540-8263-D91C1E8F5ED4}"/>
    <hyperlink ref="C1323" r:id="rId2531" display="https://www.fangraphs.com/teams/yankees" xr:uid="{9444AD5A-ED13-A541-98D1-F0D18569AD33}"/>
    <hyperlink ref="B1324" r:id="rId2532" display="https://www.fangraphs.com/players/taylor-trammell/19960/stats" xr:uid="{E7DD2C79-6510-9943-B3EA-9CFD8E2DFD86}"/>
    <hyperlink ref="C1324" r:id="rId2533" display="https://www.fangraphs.com/teams/astros" xr:uid="{BC62351C-60F1-D941-99D6-2967D012527B}"/>
    <hyperlink ref="B1325" r:id="rId2534" display="https://www.fangraphs.com/players/genesis-cabrera/17490/stats" xr:uid="{95BC5F08-06C3-2B4D-A511-6C04D8808D5D}"/>
    <hyperlink ref="C1325" r:id="rId2535" display="https://www.fangraphs.com/teams/phillies" xr:uid="{94F95D9A-52E2-2044-8415-3E306AB2AE0B}"/>
    <hyperlink ref="B1326" r:id="rId2536" display="https://www.fangraphs.com/players/zach-brzykcy/27783/stats" xr:uid="{5BB247C4-B302-7B4A-B8AE-F04E87F8FE53}"/>
    <hyperlink ref="C1326" r:id="rId2537" display="https://www.fangraphs.com/teams/marlins" xr:uid="{9706180A-AEB9-D149-A9CE-6B45F96F4854}"/>
    <hyperlink ref="B1327" r:id="rId2538" display="https://www.fangraphs.com/players/shinnosuke-ogasawara/35324/stats" xr:uid="{6BD9708E-1D2C-F748-A98C-DA1E41D4A34E}"/>
    <hyperlink ref="C1327" r:id="rId2539" display="https://www.fangraphs.com/teams/nationals" xr:uid="{68CCE52D-BEAF-A341-B4CB-49E2B40302F8}"/>
    <hyperlink ref="B1328" r:id="rId2540" display="https://www.fangraphs.com/players/chayce-mcdermott/29866/stats" xr:uid="{8BBD2A3B-3143-5F41-96CB-E06E2BCB2DCF}"/>
    <hyperlink ref="C1328" r:id="rId2541" display="https://www.fangraphs.com/teams/orioles" xr:uid="{1DCD065F-DBB5-9D4D-A79B-978DC0969774}"/>
    <hyperlink ref="B1329" r:id="rId2542" display="https://www.fangraphs.com/players/ryan-fernandez/24862/stats" xr:uid="{A493F6F0-7562-4C4C-936F-81B4AE155E27}"/>
    <hyperlink ref="C1329" r:id="rId2543" display="https://www.fangraphs.com/teams/cardinals" xr:uid="{051D7D47-B912-EB4F-9151-771D18B64A69}"/>
    <hyperlink ref="B1330" r:id="rId2544" display="https://www.fangraphs.com/players/nick-sogard/25483/stats" xr:uid="{CEBA0B79-2AD8-434A-AECB-CA1DFF7F3A8A}"/>
    <hyperlink ref="C1330" r:id="rId2545" display="https://www.fangraphs.com/teams/red-sox" xr:uid="{E7254BBA-4588-4E4A-8923-F703DE5AC3A9}"/>
    <hyperlink ref="B1331" r:id="rId2546" display="https://www.fangraphs.com/players/thomas-harrington/31989/stats" xr:uid="{8D2EB4E6-AA7C-BB4B-A878-C15C6A1A6285}"/>
    <hyperlink ref="C1331" r:id="rId2547" display="https://www.fangraphs.com/teams/pirates" xr:uid="{B876BDC9-2C43-FF4F-8683-D7996F716D0D}"/>
    <hyperlink ref="B1332" r:id="rId2548" display="https://www.fangraphs.com/players/griffin-conine/21626/stats" xr:uid="{18F3882F-05E9-5A4A-98AD-9E985892A09D}"/>
    <hyperlink ref="C1332" r:id="rId2549" display="https://www.fangraphs.com/teams/marlins" xr:uid="{8CB9763F-F07F-1846-9DCD-0BCCB080FE32}"/>
    <hyperlink ref="B1333" r:id="rId2550" display="https://www.fangraphs.com/players/carlos-hernandez/22713/stats" xr:uid="{607695C2-A832-624A-853F-72D8B082CFA4}"/>
    <hyperlink ref="C1333" r:id="rId2551" display="https://www.fangraphs.com/teams/guardians" xr:uid="{861E24A4-EF56-8548-BA2B-2428D0718C98}"/>
    <hyperlink ref="B1334" r:id="rId2552" display="https://www.fangraphs.com/players/travis-adams/30180/stats" xr:uid="{4DE0AF90-F5E6-2643-9771-00FE77EF9CD6}"/>
    <hyperlink ref="C1334" r:id="rId2553" display="https://www.fangraphs.com/teams/twins" xr:uid="{CA1F56F2-2AA0-A846-B807-85DCCF335C61}"/>
    <hyperlink ref="B1335" r:id="rId2554" display="https://www.fangraphs.com/players/forrest-whitley/19586/stats" xr:uid="{D9822E29-123A-1143-9B66-E1908EC7E662}"/>
    <hyperlink ref="B1336" r:id="rId2555" display="https://www.fangraphs.com/players/yanquiel-fernandez/28552/stats" xr:uid="{E1822E58-0030-904B-B398-08090059F564}"/>
    <hyperlink ref="C1336" r:id="rId2556" display="https://www.fangraphs.com/teams/yankees" xr:uid="{3CD6FA0D-AAB4-044B-9EF8-79335E9A7FA8}"/>
    <hyperlink ref="B1337" r:id="rId2557" display="https://www.fangraphs.com/players/austin-gomber/16561/stats" xr:uid="{6C95C53F-314D-9B47-B084-6901ED502E7C}"/>
    <hyperlink ref="C1337" r:id="rId2558" display="https://www.fangraphs.com/teams/rangers" xr:uid="{01F1CEAB-7B1A-7F4F-BA5C-0C1C6F40079E}"/>
    <hyperlink ref="B1338" r:id="rId2559" display="https://www.fangraphs.com/players/jon-berti/12037/stats" xr:uid="{B0F9360F-F49B-D842-960F-00F349BD71EF}"/>
    <hyperlink ref="B1339" r:id="rId2560" display="https://www.fangraphs.com/players/vidal-brujan/20536/stats" xr:uid="{8D96E421-7047-674B-8DFF-4AC8AC3A15D0}"/>
    <hyperlink ref="C1339" r:id="rId2561" display="https://www.fangraphs.com/teams/mets" xr:uid="{3DB84546-7739-984D-8C92-2E092B094ED5}"/>
    <hyperlink ref="B1340" r:id="rId2562" display="https://www.fangraphs.com/players/colin-holderman/22361/stats" xr:uid="{1A3B34C1-AB33-824D-A5FB-E4FAB21DCCCB}"/>
    <hyperlink ref="C1340" r:id="rId2563" display="https://www.fangraphs.com/teams/guardians" xr:uid="{55DF9666-2343-EF47-9F36-F26CE6408E4B}"/>
    <hyperlink ref="B1341" r:id="rId2564" display="https://www.fangraphs.com/players/joey-wiemer/27690/stats" xr:uid="{9706ADF1-8F6F-E848-B799-6CB759192120}"/>
    <hyperlink ref="C1341" r:id="rId2565" display="https://www.fangraphs.com/teams/nationals" xr:uid="{18E8C407-CF29-584C-95F1-1ACBB8081D3F}"/>
    <hyperlink ref="B1342" r:id="rId2566" display="https://www.fangraphs.com/players/matthew-lugo/25980/stats" xr:uid="{1AAEE818-1743-7646-A762-92788CF3C30F}"/>
    <hyperlink ref="C1342" r:id="rId2567" display="https://www.fangraphs.com/teams/angels" xr:uid="{64D6E3B5-53B8-5343-A2B2-152A5335916D}"/>
    <hyperlink ref="B1343" r:id="rId2568" display="https://www.fangraphs.com/players/jose-fermin/21746/stats" xr:uid="{C4977DC3-3CAC-B548-B0D7-922E9BF977B4}"/>
    <hyperlink ref="C1343" r:id="rId2569" display="https://www.fangraphs.com/teams/cardinals" xr:uid="{789BA94C-EE8D-6B46-963C-EF44E09F11B0}"/>
    <hyperlink ref="B1344" r:id="rId2570" display="https://www.fangraphs.com/players/ryan-fitzgerald/24622/stats" xr:uid="{5D8649B0-EB2A-E441-BA6D-8358357E0AFB}"/>
    <hyperlink ref="C1344" r:id="rId2571" display="https://www.fangraphs.com/teams/dodgers" xr:uid="{F492A61C-F5EC-1A4D-8D11-49B4458CE71C}"/>
    <hyperlink ref="B1345" r:id="rId2572" display="https://www.fangraphs.com/players/liover-peguero/24273/stats" xr:uid="{C5F16E41-F8B7-A646-9447-1F3C8D744E13}"/>
    <hyperlink ref="C1345" r:id="rId2573" display="https://www.fangraphs.com/teams/phillies" xr:uid="{373D6A37-00DC-F041-9214-3998AB12EDD1}"/>
    <hyperlink ref="B1346" r:id="rId2574" display="https://www.fangraphs.com/players/matt-mervis/27845/stats" xr:uid="{14D4FFD1-035B-B247-8206-81CABEDB6D3A}"/>
    <hyperlink ref="C1346" r:id="rId2575" display="https://www.fangraphs.com/teams/nationals" xr:uid="{F53032F9-7DC0-DA4D-A241-A4F491643BE5}"/>
    <hyperlink ref="B1347" r:id="rId2576" display="https://www.fangraphs.com/players/blaine-crim/25714/stats" xr:uid="{CFF983AA-6D38-AF4A-8DCD-97887F9043C8}"/>
    <hyperlink ref="C1347" r:id="rId2577" display="https://www.fangraphs.com/teams/rockies" xr:uid="{7FDC80ED-DA18-8545-B10C-49A253430042}"/>
    <hyperlink ref="B1348" r:id="rId2578" display="https://www.fangraphs.com/players/tayler-scott/13652/stats" xr:uid="{CA06F4AE-4406-AC4E-8FED-945F741130E0}"/>
    <hyperlink ref="C1348" r:id="rId2579" display="https://www.fangraphs.com/teams/braves" xr:uid="{5DFD1104-EE95-4F43-B48A-DE0132221067}"/>
    <hyperlink ref="B1349" r:id="rId2580" display="https://www.fangraphs.com/players/kyle-karros/33252/stats" xr:uid="{98882ABF-EE54-6D45-9BF5-9FBE22B65C97}"/>
    <hyperlink ref="C1349" r:id="rId2581" display="https://www.fangraphs.com/teams/rockies" xr:uid="{EAB1530A-4197-B849-B859-FBE51E49FD0D}"/>
    <hyperlink ref="B1350" r:id="rId2582" display="https://www.fangraphs.com/players/gio-urshela/10681/stats" xr:uid="{160FDD4C-CF78-A249-BDF1-7233DB129E9F}"/>
    <hyperlink ref="C1350" r:id="rId2583" display="https://www.fangraphs.com/teams/twins" xr:uid="{A25AB3FC-9451-F442-A3C2-071BA24A4F09}"/>
    <hyperlink ref="B1351" r:id="rId2584" display="https://www.fangraphs.com/players/gustavo-campero/22707/stats" xr:uid="{F449F59D-2B1F-B942-BAB1-6A5BACE5F3CC}"/>
    <hyperlink ref="C1351" r:id="rId2585" display="https://www.fangraphs.com/teams/angels" xr:uid="{35AF431D-D258-7B47-919B-8386147C7002}"/>
    <hyperlink ref="B1352" r:id="rId2586" display="https://www.fangraphs.com/players/anthony-molina/26952/stats" xr:uid="{6141DCFE-E7E2-4044-9345-41A94C2CAFC4}"/>
    <hyperlink ref="C1352" r:id="rId2587" display="https://www.fangraphs.com/teams/braves" xr:uid="{25895907-1B0C-E64A-B46E-B8F2513A70E9}"/>
    <hyperlink ref="B1353" r:id="rId2588" display="https://www.fangraphs.com/players/drew-gilbert/31545/stats" xr:uid="{DD2430D5-D9A3-9345-BF5F-9D276C52A33C}"/>
    <hyperlink ref="C1353" r:id="rId2589" display="https://www.fangraphs.com/teams/giants" xr:uid="{AFE4DDFA-6610-6142-A791-5DFEA2FD8B56}"/>
    <hyperlink ref="B1354" r:id="rId2590" display="https://www.fangraphs.com/players/chris-taylor/13757/stats" xr:uid="{E5322913-1A16-2848-A73F-570505A5CE76}"/>
    <hyperlink ref="C1354" r:id="rId2591" display="https://www.fangraphs.com/teams/angels" xr:uid="{660D9AE0-4F80-0846-A578-D081FC06A58F}"/>
    <hyperlink ref="B1355" r:id="rId2592" display="https://www.fangraphs.com/players/carson-williams/30038/stats" xr:uid="{087A5F6C-AB79-0745-B7F4-C14CC2924525}"/>
    <hyperlink ref="C1355" r:id="rId2593" display="https://www.fangraphs.com/teams/rays" xr:uid="{82765433-962D-BC48-ABC6-77819E82AC14}"/>
    <hyperlink ref="B1356" r:id="rId2594" display="https://www.fangraphs.com/players/luis-peralta/24203/stats" xr:uid="{4F076B40-004A-EE40-B70A-06CD06028DCB}"/>
    <hyperlink ref="C1356" r:id="rId2595" display="https://www.fangraphs.com/teams/rockies" xr:uid="{DBD6090B-6380-4E42-8965-F46C6F451444}"/>
    <hyperlink ref="B1357" r:id="rId2596" display="https://www.fangraphs.com/players/bryce-teodosio/29524/stats" xr:uid="{3E038258-9168-B448-95AA-1F9C86BED191}"/>
    <hyperlink ref="C1357" r:id="rId2597" display="https://www.fangraphs.com/teams/angels" xr:uid="{F5E1C54B-71B0-FA4F-99F8-C2CB25C58CAD}"/>
    <hyperlink ref="B1358" r:id="rId2598" display="https://www.fangraphs.com/players/jonatan-clase/26599/stats" xr:uid="{611F41FD-0CA0-574B-B416-5FB656DD5323}"/>
    <hyperlink ref="C1358" r:id="rId2599" display="https://www.fangraphs.com/teams/blue-jays" xr:uid="{7CFB8813-0BDB-5643-B540-4745AAA64B99}"/>
    <hyperlink ref="B1359" r:id="rId2600" display="https://www.fangraphs.com/players/matt-vierling/21558/stats" xr:uid="{653FEF3F-F156-1546-84C9-B21C2316E7A6}"/>
    <hyperlink ref="C1359" r:id="rId2601" display="https://www.fangraphs.com/teams/tigers" xr:uid="{00275BCA-5BF0-8E47-BC41-0276F65F171A}"/>
    <hyperlink ref="B1360" r:id="rId2602" display="https://www.fangraphs.com/players/jhonkensy-noel/24257/stats" xr:uid="{4C84E41C-5D57-6040-AB33-339F8F4177A5}"/>
    <hyperlink ref="C1360" r:id="rId2603" display="https://www.fangraphs.com/teams/orioles" xr:uid="{AA523AAD-BA2C-1640-B2CB-9456FC86AC07}"/>
    <hyperlink ref="B1361" r:id="rId2604" display="https://www.fangraphs.com/players/cionel-perez/19614/stats" xr:uid="{3355E171-5F14-EC48-8B89-14D5149A82DE}"/>
    <hyperlink ref="C1361" r:id="rId2605" display="https://www.fangraphs.com/teams/nationals" xr:uid="{404BC669-3049-C644-88A7-BA6637FC8680}"/>
    <hyperlink ref="B1362" r:id="rId2606" display="https://www.fangraphs.com/players/edouard-julien/27534/stats" xr:uid="{360D28CF-3EBF-7C40-BF60-4584F084BE31}"/>
    <hyperlink ref="C1362" r:id="rId2607" display="https://www.fangraphs.com/teams/rockies" xr:uid="{0D5587F9-9AFF-274B-9E9F-08E3060A6E11}"/>
    <hyperlink ref="B1363" r:id="rId2608" display="https://www.fangraphs.com/players/tristan-gray/19877/stats" xr:uid="{7EBC831A-585E-AF42-B5DA-C9D9660136FE}"/>
    <hyperlink ref="C1363" r:id="rId2609" display="https://www.fangraphs.com/teams/twins" xr:uid="{2A444791-50BD-FF40-89A7-378EC8DC5335}"/>
    <hyperlink ref="B1364" r:id="rId2610" display="https://www.fangraphs.com/players/brice-matthews/33280/stats" xr:uid="{EC368C65-9A8D-E540-A047-5153008A89E4}"/>
    <hyperlink ref="C1364" r:id="rId2611" display="https://www.fangraphs.com/teams/astros" xr:uid="{C73D2119-4E8A-6F4A-8E87-376C211032B9}"/>
    <hyperlink ref="B1365" r:id="rId2612" display="https://www.fangraphs.com/players/brett-harris/29788/stats" xr:uid="{28E7C22B-4BCF-AA48-B1E9-A68A03E0A46F}"/>
    <hyperlink ref="C1365" r:id="rId2613" display="https://www.fangraphs.com/teams/athletics" xr:uid="{8147F448-57CA-F744-89C8-54E67EC82BCE}"/>
    <hyperlink ref="B1366" r:id="rId2614" display="https://www.fangraphs.com/players/erick-fedde/17425/stats" xr:uid="{903C4DCF-2535-4D48-93A0-D74187CACA9F}"/>
    <hyperlink ref="C1366" r:id="rId2615" display="https://www.fangraphs.com/teams/white-sox" xr:uid="{48100C78-2740-C749-A8A5-EF88D91A9FD7}"/>
    <hyperlink ref="B1367" r:id="rId2616" display="https://www.fangraphs.com/players/kevin-newman/17696/stats" xr:uid="{C7A67B0F-2C71-E846-A141-BC47B911AE5C}"/>
    <hyperlink ref="C1367" r:id="rId2617" display="https://www.fangraphs.com/teams/royals" xr:uid="{E3970845-960B-AB4E-877E-B0565DAA6FDF}"/>
    <hyperlink ref="B1368" r:id="rId2618" display="https://www.fangraphs.com/players/dashawn-keirsey-jr/24496/stats" xr:uid="{7A2027CB-B10F-474A-93B1-33423215BFAC}"/>
    <hyperlink ref="C1368" r:id="rId2619" display="https://www.fangraphs.com/teams/braves" xr:uid="{1E771217-84A6-3841-A867-5EB67CD2DAAC}"/>
    <hyperlink ref="B1369" r:id="rId2620" display="https://www.fangraphs.com/players/emmanuel-rivera/19890/stats" xr:uid="{DF5A4013-C467-F143-B684-B4B64115B385}"/>
    <hyperlink ref="B1370" r:id="rId2621" display="https://www.fangraphs.com/players/nick-yorke/27504/stats" xr:uid="{CF1D3072-51A8-7F4D-8ECB-A5A7E0F6CBF6}"/>
    <hyperlink ref="C1370" r:id="rId2622" display="https://www.fangraphs.com/teams/pirates" xr:uid="{E75113E0-58CC-6443-9830-A6FC5C7C9D06}"/>
    <hyperlink ref="B1371" r:id="rId2623" display="https://www.fangraphs.com/players/joe-mantiply/14857/stats" xr:uid="{BAB3D958-CF93-9040-9978-730290D5F1AB}"/>
    <hyperlink ref="B1372" r:id="rId2624" display="https://www.fangraphs.com/players/alan-roden/31564/stats" xr:uid="{9962D7BE-49A7-D349-AAE4-6072FE4B88E4}"/>
    <hyperlink ref="C1372" r:id="rId2625" display="https://www.fangraphs.com/teams/twins" xr:uid="{AD772700-8611-4842-A262-4120D0A17F88}"/>
    <hyperlink ref="B1373" r:id="rId2626" display="https://www.fangraphs.com/players/zack-short/19562/stats" xr:uid="{FDC59789-B5F0-F844-AEBA-710A04408437}"/>
    <hyperlink ref="C1373" r:id="rId2627" display="https://www.fangraphs.com/teams/yankees" xr:uid="{58A7F94A-3DB8-2948-93B0-7FD238586FFE}"/>
    <hyperlink ref="B1374" r:id="rId2628" display="https://www.fangraphs.com/players/george-soriano/21863/stats" xr:uid="{ACD47C78-C306-3C4F-9C85-8FA3888FB56D}"/>
    <hyperlink ref="C1374" r:id="rId2629" display="https://www.fangraphs.com/teams/cardinals" xr:uid="{BC98BC6E-57A8-384F-8D52-8540B8D56F23}"/>
    <hyperlink ref="B1375" r:id="rId2630" display="https://www.fangraphs.com/players/chas-mccormick/19599/stats" xr:uid="{A44E2953-12E4-6844-A4F1-172F36FBD218}"/>
    <hyperlink ref="C1375" r:id="rId2631" display="https://www.fangraphs.com/teams/cubs" xr:uid="{66E91735-85E6-C048-82E2-9676DDCC5595}"/>
    <hyperlink ref="B1376" r:id="rId2632" display="https://www.fangraphs.com/players/james-outman/24770/stats" xr:uid="{BAFF3DC6-4AD5-4A4C-9609-6F2B858DEA4A}"/>
    <hyperlink ref="C1376" r:id="rId2633" display="https://www.fangraphs.com/teams/twins" xr:uid="{E32461C0-E5E2-D845-B059-E58738EAE672}"/>
    <hyperlink ref="B1377" r:id="rId2634" display="https://www.fangraphs.com/players/jesse-winker/13590/stats" xr:uid="{443BDEEF-1488-274B-B1C8-03A49A9A6A63}"/>
    <hyperlink ref="B1378" r:id="rId2635" display="https://www.fangraphs.com/players/will-wagner/29634/stats" xr:uid="{D2E5E41D-9DB9-494A-AB9A-5893A7414446}"/>
    <hyperlink ref="C1378" r:id="rId2636" display="https://www.fangraphs.com/teams/padres" xr:uid="{3B88BCA6-D8A2-6344-B3D1-7E0E40D4DAD3}"/>
    <hyperlink ref="B1379" r:id="rId2637" display="https://www.fangraphs.com/players/johnathan-rodriguez/22530/stats" xr:uid="{77693ABA-ED76-054C-BD28-9910BD34248E}"/>
    <hyperlink ref="C1379" r:id="rId2638" display="https://www.fangraphs.com/teams/guardians" xr:uid="{EC8483E3-8CEE-5048-80E7-A260552EAFCB}"/>
    <hyperlink ref="B1380" r:id="rId2639" display="https://www.fangraphs.com/players/jack-suwinski/22244/stats" xr:uid="{ACEA92C1-75C5-694D-8AFC-74CDFB59B294}"/>
    <hyperlink ref="C1380" r:id="rId2640" display="https://www.fangraphs.com/teams/dodgers" xr:uid="{FBCD8131-6238-F84A-B542-1F77DBED700B}"/>
    <hyperlink ref="B1381" r:id="rId2641" display="https://www.fangraphs.com/players/ronny-simon/25346/stats" xr:uid="{486230F9-50E8-1049-8679-61887EFF0AAC}"/>
    <hyperlink ref="C1381" r:id="rId2642" display="https://www.fangraphs.com/teams/pirates" xr:uid="{815B2F4E-2964-D645-8435-A809137ADAF3}"/>
    <hyperlink ref="B1382" r:id="rId2643" display="https://www.fangraphs.com/players/tyler-wade/15730/stats" xr:uid="{33FADCFF-BABB-6E4C-A46C-6EBB445F63AC}"/>
    <hyperlink ref="C1382" r:id="rId2644" display="https://www.fangraphs.com/teams/rangers" xr:uid="{2CCA60D9-3FB2-3749-9B71-8EF7879DF876}"/>
    <hyperlink ref="B1383" r:id="rId2645" display="https://www.fangraphs.com/players/brendan-rodgers/17907/stats" xr:uid="{2E7D3AEC-FED8-5F4F-814B-C0F4640944DD}"/>
    <hyperlink ref="C1383" r:id="rId2646" display="https://www.fangraphs.com/teams/red-sox" xr:uid="{DD7D1F79-CE1F-F644-8EA6-74E89F05771B}"/>
    <hyperlink ref="B1384" r:id="rId2647" display="https://www.fangraphs.com/players/jared-young/20404/stats" xr:uid="{02EB51D9-880E-A740-8270-446FE7E21D12}"/>
    <hyperlink ref="C1384" r:id="rId2648" display="https://www.fangraphs.com/teams/mets" xr:uid="{CAF0F418-13AD-8540-9392-597069B67628}"/>
    <hyperlink ref="B1385" r:id="rId2649" display="https://www.fangraphs.com/players/joshua-palacios/19818/stats" xr:uid="{BD3762F3-4934-5F4A-ABB7-0F784D51C0BD}"/>
    <hyperlink ref="B1386" r:id="rId2650" display="https://www.fangraphs.com/players/george-valera/22541/stats" xr:uid="{DC067AC6-E46E-2F48-98EE-2A2C8F8B119B}"/>
    <hyperlink ref="C1386" r:id="rId2651" display="https://www.fangraphs.com/teams/guardians" xr:uid="{77007FB2-9BB6-384D-BFE7-45190E6EB54C}"/>
    <hyperlink ref="B1387" r:id="rId2652" display="https://www.fangraphs.com/players/daniel-johnson/19643/stats" xr:uid="{E494F886-9B8F-C942-96F7-18711BEB0CC0}"/>
    <hyperlink ref="C1387" r:id="rId2653" display="https://www.fangraphs.com/teams/marlins" xr:uid="{F1DFC4D1-762C-6042-812B-D3156B9E3E6D}"/>
    <hyperlink ref="B1388" r:id="rId2654" display="https://www.fangraphs.com/players/nathan-church/31357/stats" xr:uid="{49822B99-DF92-3F46-85D3-55A5822D9C47}"/>
    <hyperlink ref="C1388" r:id="rId2655" display="https://www.fangraphs.com/teams/cardinals" xr:uid="{9501E503-515D-7246-8604-C0C351BB65E7}"/>
    <hyperlink ref="B1389" r:id="rId2656" display="https://www.fangraphs.com/players/maximo-acosta/27963/stats" xr:uid="{ADF5C6BC-F81A-E34E-82E2-12FE6BDB4F07}"/>
    <hyperlink ref="C1389" r:id="rId2657" display="https://www.fangraphs.com/teams/marlins" xr:uid="{B3013643-DDBD-5F45-8FBF-422F307BA675}"/>
    <hyperlink ref="B1390" r:id="rId2658" display="https://www.fangraphs.com/players/sam-hilliard/17954/stats" xr:uid="{5901705C-B021-A043-BCE5-1C1DD39E6FC1}"/>
    <hyperlink ref="B1391" r:id="rId2659" display="https://www.fangraphs.com/players/noah-davis/25862/stats" xr:uid="{E572045B-0E6F-4645-A83E-538226F5672E}"/>
    <hyperlink ref="C1391" r:id="rId2660" display="https://www.fangraphs.com/teams/pirates" xr:uid="{B06E20CB-4EAA-4A43-8CEC-E6832343C581}"/>
    <hyperlink ref="B1392" r:id="rId2661" display="https://www.fangraphs.com/players/javier-sanoja/28253/stats" xr:uid="{F43A7987-6A73-2340-96FC-6BD6D87FDE83}"/>
    <hyperlink ref="C1392" r:id="rId2662" display="https://www.fangraphs.com/teams/marlins" xr:uid="{70C4B3EC-3F9E-8847-9520-E46A8CCC6F39}"/>
    <hyperlink ref="B1393" r:id="rId2663" display="https://www.fangraphs.com/players/jason-heyward/4940/stats" xr:uid="{42074CDE-70E0-FD42-B02E-6ED0154AE901}"/>
    <hyperlink ref="B1394" r:id="rId2664" display="https://www.fangraphs.com/players/travis-jankowski/13768/stats" xr:uid="{DA1092EC-2D72-5846-A685-4A9908F22D9F}"/>
    <hyperlink ref="C1394" r:id="rId2665" display="https://www.fangraphs.com/teams/mets" xr:uid="{8209B08D-B2E6-3D40-9B65-DD73E505F110}"/>
    <hyperlink ref="B1395" r:id="rId2666" display="https://www.fangraphs.com/players/brett-wisely/27735/stats" xr:uid="{68EA25CF-3BF6-464E-A261-EE0743A815BD}"/>
    <hyperlink ref="C1395" r:id="rId2667" display="https://www.fangraphs.com/teams/braves" xr:uid="{4E8D0CF2-BE96-F245-B7C9-72D8E0B15E3A}"/>
    <hyperlink ref="B1396" r:id="rId2668" display="https://www.fangraphs.com/players/alex-freeland/31665/stats" xr:uid="{95C56C02-6ABB-C44E-844E-327312237302}"/>
    <hyperlink ref="C1396" r:id="rId2669" display="https://www.fangraphs.com/teams/dodgers" xr:uid="{286D87D6-CF15-C642-8E77-1088EA576E87}"/>
    <hyperlink ref="B1397" r:id="rId2670" display="https://www.fangraphs.com/players/zack-gelof/29766/stats" xr:uid="{A04E395B-06B7-454D-B59D-3C4B0F2CAD16}"/>
    <hyperlink ref="C1397" r:id="rId2671" display="https://www.fangraphs.com/teams/athletics" xr:uid="{5136FDA5-9E96-8340-8F7F-07EACA599ED1}"/>
    <hyperlink ref="B1398" r:id="rId2672" display="https://www.fangraphs.com/players/enmanuel-valdez/21716/stats" xr:uid="{E2747AAD-25F1-FE49-B2D6-0653FF2984EE}"/>
    <hyperlink ref="C1398" r:id="rId2673" display="https://www.fangraphs.com/teams/pirates" xr:uid="{19B97CFD-53FD-7A47-8FE2-30EB320ADFEF}"/>
    <hyperlink ref="B1399" r:id="rId2674" display="https://www.fangraphs.com/players/victor-mesa-jr/25999/stats" xr:uid="{C47A4004-E5E3-C548-B3EA-5BF81E3F134B}"/>
    <hyperlink ref="C1399" r:id="rId2675" display="https://www.fangraphs.com/teams/rays" xr:uid="{DDAA1A87-075D-6F48-8076-786DA9B1B04B}"/>
    <hyperlink ref="B1400" r:id="rId2676" display="https://www.fangraphs.com/players/cooper-hummel/19458/stats" xr:uid="{A3242736-EC3B-C04F-B560-61795F7D4894}"/>
    <hyperlink ref="B1401" r:id="rId2677" display="https://www.fangraphs.com/players/esteury-ruiz/21780/stats" xr:uid="{B1F79DB6-91FA-3D46-BD11-421245855C7C}"/>
    <hyperlink ref="C1401" r:id="rId2678" display="https://www.fangraphs.com/teams/marlins" xr:uid="{A5F08251-2B78-104D-AF40-39A149AE8290}"/>
    <hyperlink ref="B1402" r:id="rId2679" display="https://www.fangraphs.com/players/luke-williams/19931/stats" xr:uid="{48C91801-3C58-1A4F-9245-D46C3767F5B9}"/>
    <hyperlink ref="C1402" r:id="rId2680" display="https://www.fangraphs.com/teams/braves" xr:uid="{14775CD0-649A-A242-8351-EAD784927926}"/>
    <hyperlink ref="B1403" r:id="rId2681" display="https://www.fangraphs.com/players/josh-rojas/19734/stats" xr:uid="{185E8D47-C898-8744-A1B2-A8F47641DAE7}"/>
    <hyperlink ref="C1403" r:id="rId2682" display="https://www.fangraphs.com/teams/royals" xr:uid="{A8FFE073-3005-CD4B-B8DE-4AD4D19BA502}"/>
    <hyperlink ref="B1404" r:id="rId2683" display="https://www.fangraphs.com/players/garrett-hampson/19262/stats" xr:uid="{6661BA70-4C1D-444F-A158-01FB72B78C31}"/>
    <hyperlink ref="C1404" r:id="rId2684" display="https://www.fangraphs.com/teams/reds" xr:uid="{C061DD8B-CE58-8049-A2B0-34AEA5A8236A}"/>
    <hyperlink ref="B1405" r:id="rId2685" display="https://www.fangraphs.com/players/orlando-arcia/13185/stats" xr:uid="{E10C6EEC-C10F-CB40-9822-1B124BDA5BDB}"/>
    <hyperlink ref="C1405" r:id="rId2686" display="https://www.fangraphs.com/teams/twins" xr:uid="{F5C9A3BD-7BB5-E547-AE9B-4411FF15178A}"/>
    <hyperlink ref="B1406" r:id="rId2687" display="https://www.fangraphs.com/players/tyler-locklear/31396/stats" xr:uid="{8815B6CA-36A7-DD42-90D8-45BC710DBE82}"/>
    <hyperlink ref="C1406" r:id="rId2688" display="https://www.fangraphs.com/teams/diamondbacks" xr:uid="{A9C98487-A58B-F847-97F9-37277EB01472}"/>
    <hyperlink ref="B1407" r:id="rId2689" display="https://www.fangraphs.com/players/blake-dunn/29487/stats" xr:uid="{C0E81322-6AD2-004E-8E7A-95034721DC6A}"/>
    <hyperlink ref="C1407" r:id="rId2690" display="https://www.fangraphs.com/teams/reds" xr:uid="{A824F3FB-1955-1C46-A83F-F311E996DDB1}"/>
    <hyperlink ref="B1408" r:id="rId2691" display="https://www.fangraphs.com/players/lamonte-wade-jr/18126/stats" xr:uid="{6316476A-C54D-B24B-9F4E-B85C6814A494}"/>
    <hyperlink ref="C1408" r:id="rId2692" display="https://www.fangraphs.com/teams/white-sox" xr:uid="{7C4329A6-FE04-444D-A274-AA4FDBD88179}"/>
    <hyperlink ref="B1409" r:id="rId2693" display="https://www.fangraphs.com/players/daz-cameron/18353/stats" xr:uid="{91BA9188-C3DE-8D4C-8D4C-FC428ACD1C44}"/>
    <hyperlink ref="C1409" r:id="rId2694" display="https://www.fangraphs.com/teams/brewers" xr:uid="{5AE5B2DB-6953-3148-A34A-625FA44B5C08}"/>
    <hyperlink ref="B1410" r:id="rId2695" display="https://www.fangraphs.com/players/everson-pereira/23695/stats" xr:uid="{7C263755-D926-9445-B896-B82E40F70061}"/>
    <hyperlink ref="C1410" r:id="rId2696" display="https://www.fangraphs.com/teams/white-sox" xr:uid="{58963E89-93B3-474D-9D27-F1B3F55BD6C3}"/>
    <hyperlink ref="B1411" r:id="rId2697" display="https://www.fangraphs.com/players/nick-martini/12005/stats" xr:uid="{190B66B8-47C8-014A-8130-A65E2E77744A}"/>
    <hyperlink ref="B1412" r:id="rId2698" display="https://www.fangraphs.com/players/stuart-fairchild/20321/stats" xr:uid="{EB0A079E-369E-8746-B267-8067552DEBEA}"/>
    <hyperlink ref="C1412" r:id="rId2699" display="https://www.fangraphs.com/teams/guardians" xr:uid="{79B0DCD8-42B8-FC41-89D9-00302A00D5BA}"/>
    <hyperlink ref="B1413" r:id="rId2700" display="https://www.fangraphs.com/players/kevin-pillar/12434/stats" xr:uid="{DADBB99C-55A1-2C4F-9647-C0939B87ECEB}"/>
    <hyperlink ref="B1414" r:id="rId2701" display="https://www.fangraphs.com/players/dominic-fletcher/26149/stats" xr:uid="{2A60B577-F288-0C4D-9208-C1092C18CC59}"/>
    <hyperlink ref="C1414" r:id="rId2702" display="https://www.fangraphs.com/teams/pirates" xr:uid="{2D1FE2BA-521D-F947-A9E6-5E13470DF2AA}"/>
    <hyperlink ref="B1415" r:id="rId2703" display="https://www.fangraphs.com/players/jose-azocar/18821/stats" xr:uid="{378C45F0-0621-5A44-A113-B8D7CAAF7CC0}"/>
    <hyperlink ref="C1415" r:id="rId2704" display="https://www.fangraphs.com/teams/braves" xr:uid="{87DBDD2F-07BF-1A4D-99CF-A98DC66E56B5}"/>
    <hyperlink ref="B1416" r:id="rId2705" display="https://www.fangraphs.com/players/mark-canha/11445/stats" xr:uid="{80ACBF28-9D5C-A84D-833C-8C722757F406}"/>
    <hyperlink ref="C1416" r:id="rId2706" display="https://www.fangraphs.com/teams/rangers" xr:uid="{AEBCD8A2-236D-DD40-8D58-9435F2D61DD8}"/>
    <hyperlink ref="B1417" r:id="rId2707" display="https://www.fangraphs.com/players/dairon-blanco/19779/stats" xr:uid="{10C874BD-15A4-5741-91A2-8EFFFFEB03C6}"/>
    <hyperlink ref="C1417" r:id="rId2708" display="https://www.fangraphs.com/teams/royals" xr:uid="{6D30FFD9-D794-5049-987F-52F7D367C185}"/>
    <hyperlink ref="B1418" r:id="rId2709" display="https://www.fangraphs.com/players/sean-bouchard/21270/stats" xr:uid="{53B82584-E1DC-7041-A1DB-01ACF543DBA4}"/>
    <hyperlink ref="B1419" r:id="rId2710" display="https://www.fangraphs.com/players/cavan-biggio/19252/stats" xr:uid="{B0030D7D-6DB0-464B-8376-2F346E86B7C3}"/>
    <hyperlink ref="C1419" r:id="rId2711" display="https://www.fangraphs.com/teams/astros" xr:uid="{EF598C92-DEA9-7941-A822-8F51E78FEB46}"/>
    <hyperlink ref="B1420" r:id="rId2712" display="https://www.fangraphs.com/players/bob-seymour/30028/stats" xr:uid="{C5F6ACB8-8322-184B-93EE-25F44CBEA955}"/>
    <hyperlink ref="B1421" r:id="rId2713" display="https://www.fangraphs.com/players/kevin-alcantara/25971/stats" xr:uid="{C9781A6D-BC6C-D841-8FDD-DCFEA2C3F7FF}"/>
    <hyperlink ref="C1421" r:id="rId2714" display="https://www.fangraphs.com/teams/cubs" xr:uid="{73F82B9C-29C1-2D49-B630-9D725BC3DC4E}"/>
    <hyperlink ref="B1422" r:id="rId2715" display="https://www.fangraphs.com/players/dustin-harris/25705/stats" xr:uid="{F26192D5-30B9-B942-B037-138B05F7E4D0}"/>
    <hyperlink ref="C1422" r:id="rId2716" display="https://www.fangraphs.com/teams/white-sox" xr:uid="{0A09B87A-FC82-FF42-B989-12DC75DACFCB}"/>
    <hyperlink ref="B1423" r:id="rId2717" display="https://www.fangraphs.com/players/ryan-rolison/22200/stats" xr:uid="{0F187AC7-A33E-5F47-8D3C-6859BACCA67D}"/>
    <hyperlink ref="C1423" r:id="rId2718" display="https://www.fangraphs.com/teams/cubs" xr:uid="{657049DB-679A-D14E-83EC-615E837BFEB1}"/>
    <hyperlink ref="B1424" r:id="rId2719" display="https://www.fangraphs.com/players/ryan-bliss/29547/stats" xr:uid="{34F31FDD-BAC1-4246-B2F1-1AAEE759C049}"/>
    <hyperlink ref="C1424" r:id="rId2720" display="https://www.fangraphs.com/teams/mariners" xr:uid="{3484AF8D-647A-C74D-AD7D-C340235BBAD8}"/>
    <hyperlink ref="B1425" r:id="rId2721" display="https://www.fangraphs.com/players/jorge-alcala/19459/stats" xr:uid="{AA59679A-1B7E-584A-8F97-3B12576E8368}"/>
    <hyperlink ref="C1425" r:id="rId2722" display="https://www.fangraphs.com/teams/blue-jays" xr:uid="{8C847F59-95B2-404E-BEE7-15D291BA5D2D}"/>
    <hyperlink ref="B1426" r:id="rId2723" display="https://www.fangraphs.com/players/anthony-seigler/23802/stats" xr:uid="{7318BB33-376D-D642-A38C-2A99C3B30B34}"/>
    <hyperlink ref="C1426" r:id="rId2724" display="https://www.fangraphs.com/teams/red-sox" xr:uid="{0AB45A31-AA57-B044-968D-63B6D385F9BD}"/>
    <hyperlink ref="B1427" r:id="rId2725" display="https://www.fangraphs.com/players/brewer-hicklen/20450/stats" xr:uid="{41538AD1-4996-C340-82CA-546CACC9C69F}"/>
    <hyperlink ref="C1427" r:id="rId2726" display="https://www.fangraphs.com/teams/braves" xr:uid="{93A7528F-D69C-2C41-B43C-693ABBC512E1}"/>
    <hyperlink ref="B1428" r:id="rId2727" display="https://www.fangraphs.com/players/petey-halpin/27931/stats" xr:uid="{E51D077A-127C-5E4D-BC10-AD53457C580F}"/>
    <hyperlink ref="C1428" r:id="rId2728" display="https://www.fangraphs.com/teams/guardians" xr:uid="{CC89693F-F6CC-134F-B6BD-005D4D5B9CCD}"/>
    <hyperlink ref="B1429" r:id="rId2729" display="https://www.fangraphs.com/players/manuel-margot/14712/stats" xr:uid="{15EE9565-4559-DE42-B666-A2F551CB7C72}"/>
    <hyperlink ref="B1430" r:id="rId2730" display="https://www.fangraphs.com/players/tim-elko/31522/stats" xr:uid="{CC5BC07D-868E-0641-9688-11D08080C2C5}"/>
    <hyperlink ref="C1430" r:id="rId2731" display="https://www.fangraphs.com/teams/white-sox" xr:uid="{9065A504-EFAE-E844-801B-24F422E450FC}"/>
    <hyperlink ref="B1431" r:id="rId2732" display="https://www.fangraphs.com/players/matt-gorski/25855/stats" xr:uid="{42007019-0435-784D-8B0E-44FE6FFDD82E}"/>
    <hyperlink ref="C1431" r:id="rId2733" display="https://www.fangraphs.com/teams/dodgers" xr:uid="{19FDC8E3-9024-2549-87DC-1F9DB17EFAC6}"/>
    <hyperlink ref="B1432" r:id="rId2734" display="https://www.fangraphs.com/players/pablo-reyes/16357/stats" xr:uid="{4016A8A4-2F67-B140-9CCC-726908922A89}"/>
    <hyperlink ref="C1432" r:id="rId2735" display="https://www.fangraphs.com/teams/padres" xr:uid="{2C9187D2-994E-F44F-94F9-E96E59554AF1}"/>
    <hyperlink ref="B1433" r:id="rId2736" display="https://www.fangraphs.com/players/nick-maton/21635/stats" xr:uid="{247FED23-45DE-164E-B36E-3F9EB0ABC1F9}"/>
    <hyperlink ref="B1434" r:id="rId2737" display="https://www.fangraphs.com/players/oliver-dunn/26295/stats" xr:uid="{AE892176-317C-2446-B49F-0C63905E0B43}"/>
    <hyperlink ref="C1434" r:id="rId2738" display="https://www.fangraphs.com/teams/white-sox" xr:uid="{6B925CFF-D1AD-B848-872C-34EA4E49A987}"/>
    <hyperlink ref="B1435" r:id="rId2739" display="https://www.fangraphs.com/players/noah-murdock/27908/stats" xr:uid="{2939F4AA-1B4F-F643-93FE-C3634BDC29B5}"/>
    <hyperlink ref="C1435" r:id="rId2740" display="https://www.fangraphs.com/teams/pirates" xr:uid="{8C99340F-17C2-C344-869F-81B0A90C3F63}"/>
    <hyperlink ref="B1436" r:id="rId2741" display="https://www.fangraphs.com/players/denzer-guzman/28816/stats" xr:uid="{739B489E-5EBA-544D-B372-6B99DC5032EA}"/>
    <hyperlink ref="C1436" r:id="rId2742" display="https://www.fangraphs.com/teams/angels" xr:uid="{C68E08C2-08D6-054E-ADBF-427DC34C34D5}"/>
    <hyperlink ref="B1437" r:id="rId2743" display="https://www.fangraphs.com/players/luis-vazquez/23442/stats" xr:uid="{3E5FD675-95A9-1147-BC81-6BF21CA539A7}"/>
    <hyperlink ref="C1437" r:id="rId2744" display="https://www.fangraphs.com/teams/orioles" xr:uid="{1921B356-9884-7445-91A8-EA691E3937C0}"/>
    <hyperlink ref="B1438" r:id="rId2745" display="https://www.fangraphs.com/players/seth-brown/18171/stats" xr:uid="{AE5F889B-23E8-714A-825D-36EA6761677D}"/>
    <hyperlink ref="C1438" r:id="rId2746" display="https://www.fangraphs.com/teams/yankees" xr:uid="{5FB139F9-4707-3443-8AE0-EAC283FD5358}"/>
    <hyperlink ref="B1439" r:id="rId2747" display="https://www.fangraphs.com/players/jorbit-vivas/23917/stats" xr:uid="{6DFE6452-031D-2C43-B4AE-1D091B35A6C5}"/>
    <hyperlink ref="C1439" r:id="rId2748" display="https://www.fangraphs.com/teams/yankees" xr:uid="{E9CA8D6D-61CB-DB4B-AD8F-B9CDBCF00421}"/>
    <hyperlink ref="B1440" r:id="rId2749" display="https://www.fangraphs.com/players/ji-hwan-bae/23818/stats" xr:uid="{A62456D6-B5AC-244A-A7E6-649888B851F7}"/>
    <hyperlink ref="C1440" r:id="rId2750" display="https://www.fangraphs.com/teams/mets" xr:uid="{0D473C22-1C71-D444-BA31-E5B3A942DC7D}"/>
    <hyperlink ref="B1441" r:id="rId2751" display="https://www.fangraphs.com/players/will-wilson/25434/stats" xr:uid="{0CEB71C4-3615-CC41-899A-9EE05F43D877}"/>
    <hyperlink ref="C1441" r:id="rId2752" display="https://www.fangraphs.com/teams/mariners" xr:uid="{C746CFAC-41E7-A24B-88B4-E5BABB9E1ABC}"/>
    <hyperlink ref="B1442" r:id="rId2753" display="https://www.fangraphs.com/players/mason-mccoy/22232/stats" xr:uid="{4817DACD-F9B3-0444-9CA1-E9462FAA9488}"/>
    <hyperlink ref="C1442" r:id="rId2754" display="https://www.fangraphs.com/teams/padres" xr:uid="{B7F30A31-51F1-FE4C-893E-09389123CEFC}"/>
    <hyperlink ref="B1443" r:id="rId2755" display="https://www.fangraphs.com/players/tim-anderson/15172/stats" xr:uid="{CEEBA82B-6CAE-9E44-99B1-3164B324A9D5}"/>
    <hyperlink ref="B1444" r:id="rId2756" display="https://www.fangraphs.com/players/michael-siani/22557/stats" xr:uid="{EC5587AF-BB0A-F945-8FCB-86EC7F251806}"/>
    <hyperlink ref="C1444" r:id="rId2757" display="https://www.fangraphs.com/teams/dodgers" xr:uid="{8BAD2F4F-2417-EE4D-BB4F-B98A60751671}"/>
    <hyperlink ref="B1445" r:id="rId2758" display="https://www.fangraphs.com/players/jarred-kelenic/22558/stats" xr:uid="{EA518B92-F526-004C-8B67-717FDC3271CE}"/>
    <hyperlink ref="C1445" r:id="rId2759" display="https://www.fangraphs.com/teams/white-sox" xr:uid="{60A91F51-65E3-2E4D-BF5D-EB24211AE634}"/>
    <hyperlink ref="B1446" r:id="rId2760" display="https://www.fangraphs.com/players/billy-mckinney/15654/stats" xr:uid="{2DD39D0F-32E9-4446-A318-0E4F818B4030}"/>
    <hyperlink ref="B1447" r:id="rId2761" display="https://www.fangraphs.com/players/adael-amador/27962/stats" xr:uid="{81B259D5-8A09-CD45-8B98-F33D84357735}"/>
    <hyperlink ref="C1447" r:id="rId2762" display="https://www.fangraphs.com/teams/rockies" xr:uid="{B58EC06F-43E3-C843-89B3-53D54D295CDB}"/>
    <hyperlink ref="B1448" r:id="rId2763" display="https://www.fangraphs.com/players/corey-julks/20311/stats" xr:uid="{3ADB5481-989E-CA43-9B4C-0BCE199F02E7}"/>
    <hyperlink ref="C1448" r:id="rId2764" display="https://www.fangraphs.com/teams/tigers" xr:uid="{1969E292-9C62-4242-B6EE-37D0B52DD39F}"/>
    <hyperlink ref="B1449" r:id="rId2765" display="https://www.fangraphs.com/players/logan-davidson/25844/stats" xr:uid="{2154B9BD-224A-A049-BB24-3AC0C8EA6B6F}"/>
    <hyperlink ref="C1449" r:id="rId2766" display="https://www.fangraphs.com/teams/rays" xr:uid="{05F9DA64-97B7-CE42-AE51-5FF8D186277C}"/>
    <hyperlink ref="B1450" r:id="rId2767" display="https://www.fangraphs.com/players/jorge-barrosa/23968/stats" xr:uid="{3CA75A0E-B086-334C-8791-36484D1D8210}"/>
    <hyperlink ref="C1450" r:id="rId2768" display="https://www.fangraphs.com/teams/diamondbacks" xr:uid="{B25D4BC0-1786-3B47-843C-AA4E9D2AB761}"/>
    <hyperlink ref="B1451" r:id="rId2769" display="https://www.fangraphs.com/players/rhylan-thomas/31793/stats" xr:uid="{375FA04F-5078-C545-9B0F-0B8BA49A211D}"/>
    <hyperlink ref="C1451" r:id="rId2770" display="https://www.fangraphs.com/teams/mariners" xr:uid="{E0B914E2-C811-CF4D-8138-BD8D965D56A2}"/>
    <hyperlink ref="B1452" r:id="rId2771" display="https://www.fangraphs.com/players/jack-winkler/29830/stats" xr:uid="{E69873E5-059E-174F-9B2D-F69DBC97639F}"/>
    <hyperlink ref="C1452" r:id="rId2772" display="https://www.fangraphs.com/teams/astros" xr:uid="{584BB460-5B34-C44E-9F0C-CEF8D09BCC7D}"/>
    <hyperlink ref="B1453" r:id="rId2773" display="https://www.fangraphs.com/players/oscar-gonzalez/20970/stats" xr:uid="{C074CB06-9A6C-AB42-A76D-CD12ED7B9A7D}"/>
    <hyperlink ref="B1454" r:id="rId2774" display="https://www.fangraphs.com/players/tyler-black/29949/stats" xr:uid="{15D5611C-ECF9-0943-B0B8-D3A28A311D19}"/>
    <hyperlink ref="C1454" r:id="rId2775" display="https://www.fangraphs.com/teams/brewers" xr:uid="{B6E22159-6E70-E84A-AA97-12E400189458}"/>
    <hyperlink ref="B1455" r:id="rId2776" display="https://www.fangraphs.com/players/billy-cook/29573/stats" xr:uid="{6922DAFA-A494-3E4E-A319-A1B5DA9519A3}"/>
    <hyperlink ref="C1455" r:id="rId2777" display="https://www.fangraphs.com/teams/pirates" xr:uid="{21988BC9-3428-9F4E-ACB3-A1F2FCB8D21C}"/>
    <hyperlink ref="B1456" r:id="rId2778" display="https://www.fangraphs.com/players/jose-miranda/20538/stats" xr:uid="{E15F5955-1E88-C441-BC6D-0ECAA6D51605}"/>
    <hyperlink ref="C1456" r:id="rId2779" display="https://www.fangraphs.com/teams/padres" xr:uid="{5C2E44C4-674C-854D-8B9D-4D63E145FBC8}"/>
    <hyperlink ref="B1457" r:id="rId2780" display="https://www.fangraphs.com/players/david-villar/24782/stats" xr:uid="{FA37D098-2CBC-2249-BF45-C878AED0F610}"/>
    <hyperlink ref="B1458" r:id="rId2781" display="https://www.fangraphs.com/players/jose-barrero/23378/stats" xr:uid="{E2F29533-A729-504C-841D-E4BEFFCD2E70}"/>
    <hyperlink ref="C1458" r:id="rId2782" display="https://www.fangraphs.com/teams/orioles" xr:uid="{42036829-B5B4-DC47-9086-946717C0D838}"/>
    <hyperlink ref="B1459" r:id="rId2783" display="https://www.fangraphs.com/players/trey-lipscomb/31567/stats" xr:uid="{CEEB20B6-E404-D249-9CCA-B2378EE6145C}"/>
    <hyperlink ref="C1459" r:id="rId2784" display="https://www.fangraphs.com/teams/nationals" xr:uid="{F882D14F-0274-FB49-9C9F-F731C6C1ED7E}"/>
    <hyperlink ref="B1460" r:id="rId2785" display="https://www.fangraphs.com/players/trenton-brooks/19384/stats" xr:uid="{00E9D6EF-E18B-5847-8B19-A3F345D30221}"/>
    <hyperlink ref="B1461" r:id="rId2786" display="https://www.fangraphs.com/players/justin-dean/25005/stats" xr:uid="{1175B557-4001-4C4F-B3C3-C956F8312C5E}"/>
    <hyperlink ref="C1461" r:id="rId2787" display="https://www.fangraphs.com/teams/cubs" xr:uid="{55AD005C-2758-3848-9059-D69D0007D38D}"/>
    <hyperlink ref="B1462" r:id="rId2788" display="https://www.fangraphs.com/players/greg-jones/25448/stats" xr:uid="{0929977C-FF68-6748-B4F1-B144F248266A}"/>
    <hyperlink ref="C1462" r:id="rId2789" display="https://www.fangraphs.com/teams/brewers" xr:uid="{7FB58ED7-2A21-0A43-A3A3-DD5582AFA287}"/>
    <hyperlink ref="B1463" r:id="rId2790" display="https://www.fangraphs.com/players/cal-stevenson/22411/stats" xr:uid="{F12AABC5-61C8-1A4D-AE4E-4F2BA46D800A}"/>
    <hyperlink ref="C1463" r:id="rId2791" display="https://www.fangraphs.com/teams/tigers" xr:uid="{AF8ECC11-2AD1-B843-9E5F-2561794A0B2B}"/>
    <hyperlink ref="B1464" r:id="rId2792" display="https://www.fangraphs.com/players/jose-siri/17452/stats" xr:uid="{1D93645D-83FF-D84F-9386-95CE145DB860}"/>
    <hyperlink ref="C1464" r:id="rId2793" display="https://www.fangraphs.com/teams/angels" xr:uid="{F17F885A-ED3A-5C49-8C8E-1837CDAFFAD2}"/>
    <hyperlink ref="B1465" r:id="rId2794" display="https://www.fangraphs.com/players/donovan-walton/19314/stats" xr:uid="{94576D38-2F1E-A44B-AE8F-CB0DEED1832F}"/>
    <hyperlink ref="C1465" r:id="rId2795" display="https://www.fangraphs.com/teams/angels" xr:uid="{062886A0-4740-894A-ABA3-EBCAD8A6B413}"/>
    <hyperlink ref="B1466" r:id="rId2796" display="https://www.fangraphs.com/players/tyler-callihan/27497/stats" xr:uid="{DED609BE-0223-CB49-B787-0707A5022B40}"/>
    <hyperlink ref="C1466" r:id="rId2797" display="https://www.fangraphs.com/teams/reds" xr:uid="{7B7357B1-FE21-7B43-AA16-97F89E1C21B5}"/>
    <hyperlink ref="B1467" r:id="rId2798" display="https://www.fangraphs.com/players/connor-joe/16572/stats" xr:uid="{5B4B3CB9-CB2E-1D41-BF76-B4DA364E09FE}"/>
    <hyperlink ref="C1467" r:id="rId2799" display="https://www.fangraphs.com/teams/mariners" xr:uid="{C4FF3CC1-5898-EF40-AE26-ADD50D42DA5F}"/>
    <hyperlink ref="B1468" r:id="rId2800" display="https://www.fangraphs.com/players/coco-montes/21547/stats" xr:uid="{72C0F5D1-B0A1-4441-9E45-AED70972322D}"/>
    <hyperlink ref="B1469" r:id="rId2801" display="https://www.fangraphs.com/players/bobby-dalbec/19966/stats" xr:uid="{8B3D5158-9ACE-6C42-93C2-81CFF091F21D}"/>
    <hyperlink ref="B1470" r:id="rId2802" display="https://www.fangraphs.com/players/owen-miller/24655/stats" xr:uid="{AD747EE7-63FD-2A4B-866B-51578738A311}"/>
    <hyperlink ref="C1470" r:id="rId2803" display="https://www.fangraphs.com/teams/cubs" xr:uid="{B99541CA-044C-9A4A-A530-FE09DD80BE7E}"/>
    <hyperlink ref="B1471" r:id="rId2804" display="https://www.fangraphs.com/players/eduardo-salazar/23135/stats" xr:uid="{EB5CA1BE-EC92-7944-BF0B-40459D8CB90B}"/>
    <hyperlink ref="B1472" r:id="rId2805" display="https://www.fangraphs.com/players/gage-workman/27573/stats" xr:uid="{3F794FF6-DB07-B047-811A-3D44BCC4A554}"/>
    <hyperlink ref="C1472" r:id="rId2806" display="https://www.fangraphs.com/teams/tigers" xr:uid="{4B62F374-7968-3B4E-AE5A-7118893C1128}"/>
    <hyperlink ref="B1473" r:id="rId2807" display="https://www.fangraphs.com/players/luken-baker/21497/stats" xr:uid="{BE7CF448-E7A8-BC41-BB6E-9607F25832E1}"/>
    <hyperlink ref="C1473" r:id="rId2808" display="https://www.fangraphs.com/teams/diamondbacks" xr:uid="{7D9AD64E-4A94-E94F-B81A-D9E3F27DCC59}"/>
    <hyperlink ref="B1474" r:id="rId2809" display="https://www.fangraphs.com/players/shay-whitcomb/27789/stats" xr:uid="{02ABD27E-2386-E042-8B00-84319CEB4E8C}"/>
    <hyperlink ref="C1474" r:id="rId2810" display="https://www.fangraphs.com/teams/astros" xr:uid="{50C091D8-075B-4C47-9535-D803C4945E97}"/>
    <hyperlink ref="B1475" r:id="rId2811" display="https://www.fangraphs.com/players/drew-avans/25183/stats" xr:uid="{EF32C5BB-9F56-A24C-A681-E417427EE43F}"/>
    <hyperlink ref="C1475" r:id="rId2812" display="https://www.fangraphs.com/teams/rockies" xr:uid="{2B65A619-E4E2-6C4A-851F-0537DAD8944E}"/>
    <hyperlink ref="B1476" r:id="rId2813" display="https://www.fangraphs.com/players/jacob-amaya/23296/stats" xr:uid="{B311433A-9CEC-4C43-8D81-5571BA4DC1D4}"/>
    <hyperlink ref="C1476" r:id="rId2814" display="https://www.fangraphs.com/teams/diamondbacks" xr:uid="{4769B4EC-EE8A-CA4F-BCED-A28185975EB2}"/>
    <hyperlink ref="B1477" r:id="rId2815" display="https://www.fangraphs.com/players/bryan-ramos/25621/stats" xr:uid="{252D5DE3-36B1-2D42-A51C-9273EA50C6FF}"/>
    <hyperlink ref="C1477" r:id="rId2816" display="https://www.fangraphs.com/teams/orioles" xr:uid="{0DA39F46-EBEF-374A-AA08-F1423EAAD9B2}"/>
    <hyperlink ref="B1478" r:id="rId2817" display="https://www.fangraphs.com/players/steward-berroa/22766/stats" xr:uid="{DF0877AF-493E-6F4A-9E2F-75DA24A05D8D}"/>
    <hyperlink ref="C1478" r:id="rId2818" display="https://www.fangraphs.com/teams/brewers" xr:uid="{C54B7083-DD9A-4A41-AE80-046DB3BD71D5}"/>
    <hyperlink ref="B1479" r:id="rId2819" display="https://www.fangraphs.com/players/cesar-prieto/30163/stats" xr:uid="{C518D3B7-70E3-1B47-9715-83EB940B73FA}"/>
    <hyperlink ref="C1479" r:id="rId2820" display="https://www.fangraphs.com/teams/cardinals" xr:uid="{088CD871-BE3A-6042-BB35-9170A827EDE2}"/>
    <hyperlink ref="B1480" r:id="rId2821" display="https://www.fangraphs.com/players/keston-hiura/20003/stats" xr:uid="{0A15B566-8F6E-2645-BE5E-5D3E35AB8DBC}"/>
    <hyperlink ref="C1480" r:id="rId2822" display="https://www.fangraphs.com/teams/dodgers" xr:uid="{135B9393-8343-AB47-85DA-4D7FD545EB12}"/>
    <hyperlink ref="B1481" r:id="rId2823" display="https://www.fangraphs.com/players/jacob-hurtubise/27599/stats" xr:uid="{7EB9604C-834B-2441-9CA0-6307FBEB661A}"/>
    <hyperlink ref="C1481" r:id="rId2824" display="https://www.fangraphs.com/teams/brewers" xr:uid="{CE818608-FF5F-5949-9FAC-B7EDF6848449}"/>
    <hyperlink ref="B1482" r:id="rId2825" display="https://www.fangraphs.com/players/vimael-machin/17684/stats" xr:uid="{BAA44BEB-D585-4B4C-B0E5-CCAB95502178}"/>
    <hyperlink ref="C1482" r:id="rId2826" display="https://www.fangraphs.com/teams/rockies" xr:uid="{881329BE-A4FA-7242-86F1-1AE6E2D7CA61}"/>
    <hyperlink ref="B1483" r:id="rId2827" display="https://www.fangraphs.com/players/eddie-rosario/12155/stats" xr:uid="{273D3E68-0BE2-4148-AE47-1D86E4DDCB73}"/>
    <hyperlink ref="B1484" r:id="rId2828" display="https://www.fangraphs.com/players/samad-taylor/22274/stats" xr:uid="{782614A3-8E9A-114C-8A90-9A921FCCDDE9}"/>
    <hyperlink ref="C1484" r:id="rId2829" display="https://www.fangraphs.com/teams/padres" xr:uid="{CEBB6922-BBD6-6E4C-AA44-D092AD1E6C49}"/>
    <hyperlink ref="B1485" r:id="rId2830" display="https://www.fangraphs.com/players/kenedy-corona/26244/stats" xr:uid="{4AD79A38-33D0-224B-BD52-480A6A341340}"/>
    <hyperlink ref="C1485" r:id="rId2831" display="https://www.fangraphs.com/teams/yankees" xr:uid="{9C219F75-66E7-D64B-AC3B-78C4426CE0A9}"/>
    <hyperlink ref="B1486" r:id="rId2832" display="https://www.fangraphs.com/players/chad-stevens/29614/stats" xr:uid="{12369857-8276-5946-B359-3569298BD0B7}"/>
    <hyperlink ref="C1486" r:id="rId2833" display="https://www.fangraphs.com/teams/rockies" xr:uid="{4B9FF856-A4A8-3247-8D84-5F0C4738E832}"/>
    <hyperlink ref="B1487" r:id="rId2834" display="https://www.fangraphs.com/players/jonathan-ornelas/24597/stats" xr:uid="{D7B9450B-26FF-544B-8DCD-96F8B5891E0B}"/>
    <hyperlink ref="C1487" r:id="rId2835" display="https://www.fangraphs.com/teams/yankees" xr:uid="{6A5A92BF-3E5C-454B-9528-7C9CF2832852}"/>
    <hyperlink ref="B1488" r:id="rId2836" display="https://www.fangraphs.com/players/connor-kaiser/21535/stats" xr:uid="{5CBAECB9-D481-514C-A1D2-70197D7BCB1D}"/>
    <hyperlink ref="C1488" r:id="rId2837" display="https://www.fangraphs.com/teams/royals" xr:uid="{518914B0-D39D-514C-A63A-C710F00C793C}"/>
    <hyperlink ref="B1489" r:id="rId2838" display="https://www.fangraphs.com/players/jordyn-adams/23788/stats" xr:uid="{023D313F-A65E-BA4E-B8AC-5E3432DA7319}"/>
    <hyperlink ref="C1489" r:id="rId2839" display="https://www.fangraphs.com/teams/brewers" xr:uid="{673B3B33-293F-994A-93FB-34B49982125B}"/>
    <hyperlink ref="B1490" r:id="rId2840" display="https://www.fangraphs.com/players/grant-mccray/25690/stats" xr:uid="{3333CB0F-0BAE-454A-84BE-BE14B8C72B61}"/>
    <hyperlink ref="C1490" r:id="rId2841" display="https://www.fangraphs.com/teams/giants" xr:uid="{C100CDE5-70E7-C14F-B612-8D91211265F7}"/>
    <hyperlink ref="B1491" r:id="rId2842" display="https://www.fangraphs.com/players/luis-guillorme/16451/stats" xr:uid="{A50D1B1C-0109-EC44-9DA8-996B4B9FE9CE}"/>
    <hyperlink ref="B1492" r:id="rId2843" display="https://www.fangraphs.com/players/andres-chaparro/21797/stats" xr:uid="{9A20730B-650B-B042-B72E-9664427DC6C2}"/>
    <hyperlink ref="C1492" r:id="rId2844" display="https://www.fangraphs.com/teams/nationals" xr:uid="{2F5A665C-0ADE-DD44-A60E-96E54EBEC4CD}"/>
    <hyperlink ref="B1493" r:id="rId2845" display="https://www.fangraphs.com/players/jhostynxon-garcia/28142/stats" xr:uid="{08215663-C0B0-BE4A-8050-BF69DB2AA6EF}"/>
    <hyperlink ref="C1493" r:id="rId2846" display="https://www.fangraphs.com/teams/pirates" xr:uid="{CC5767CF-41AD-824A-BFA0-A28F456DC699}"/>
    <hyperlink ref="B1494" r:id="rId2847" display="https://www.fangraphs.com/players/akil-baddoo/22168/stats" xr:uid="{686ACA91-8077-4B4E-BCD1-0CB9627426AD}"/>
    <hyperlink ref="C1494" r:id="rId2848" display="https://www.fangraphs.com/teams/brewers" xr:uid="{A85A7AB8-E0AD-774E-9C8D-79C18F9CC5CD}"/>
    <hyperlink ref="B1495" r:id="rId2849" display="https://www.fangraphs.com/players/ryan-kreidler/25867/stats" xr:uid="{B9C43330-1D45-C84A-BE58-A4C476016245}"/>
    <hyperlink ref="C1495" r:id="rId2850" display="https://www.fangraphs.com/teams/twins" xr:uid="{C1B6FC26-42CA-8041-9554-FFC171573487}"/>
    <hyperlink ref="B1496" r:id="rId2851" display="https://www.fangraphs.com/players/zac-veen/27770/stats" xr:uid="{9450A000-90D9-CA40-8B14-1464D0D7EBB2}"/>
    <hyperlink ref="C1496" r:id="rId2852" display="https://www.fangraphs.com/teams/rockies" xr:uid="{E7A42EFF-9CE9-4047-A39D-8F615F46056A}"/>
    <hyperlink ref="B1497" r:id="rId2853" display="https://www.fangraphs.com/players/scott-kingery/17975/stats" xr:uid="{095E7B9D-522E-A741-8DB4-E941D840EFC4}"/>
    <hyperlink ref="C1497" r:id="rId2854" display="https://www.fangraphs.com/teams/cubs" xr:uid="{C6C17978-16D8-8349-A557-16A0EB87A53E}"/>
    <hyperlink ref="B1498" r:id="rId2855" display="https://www.fangraphs.com/players/vinny-capra/25040/stats" xr:uid="{43D47974-9059-B045-9FA6-B8505F4C33F9}"/>
    <hyperlink ref="C1498" r:id="rId2856" display="https://www.fangraphs.com/teams/red-sox" xr:uid="{7FDC8D9A-3151-2F46-8D24-48AE42E1E608}"/>
    <hyperlink ref="B1499" r:id="rId2857" display="https://www.fangraphs.com/players/carter-kieboom/19958/stats" xr:uid="{25E175B6-6432-1C44-A43A-02659B2F0529}"/>
    <hyperlink ref="C1499" r:id="rId2858" display="https://www.fangraphs.com/teams/guardians" xr:uid="{7B7B3FDF-1866-2540-A384-26B215AE89EA}"/>
    <hyperlink ref="B1500" r:id="rId2859" display="https://www.fangraphs.com/players/nick-ahmed/12147/stats" xr:uid="{0EB0E458-D7D3-9C43-A80D-31D596D7F0E4}"/>
    <hyperlink ref="B1501" r:id="rId2860" display="https://www.fangraphs.com/players/nick-solak/19294/stats" xr:uid="{023F36B1-02F7-6E42-9478-1C9A610A267C}"/>
    <hyperlink ref="C1501" r:id="rId2861" display="https://www.fangraphs.com/teams/padres" xr:uid="{4EA33FF0-33C5-694D-A295-4EC508F31982}"/>
    <hyperlink ref="B1502" r:id="rId2862" display="https://www.fangraphs.com/players/jace-jung/31437/stats" xr:uid="{F7D879E0-34DC-1841-B77A-B9246E039205}"/>
    <hyperlink ref="C1502" r:id="rId2863" display="https://www.fangraphs.com/teams/tigers" xr:uid="{5DDFF4EE-03D4-6A4F-B128-2A17626C3C7D}"/>
    <hyperlink ref="B1503" r:id="rId2864" display="https://www.fangraphs.com/players/bryan-de-la-cruz/19600/stats" xr:uid="{C6F19C7C-C419-804C-8B00-379707A3D7F7}"/>
    <hyperlink ref="C1503" r:id="rId2865" display="https://www.fangraphs.com/teams/phillies" xr:uid="{A984A04B-F663-6C46-BF68-C12845A3A4C5}"/>
    <hyperlink ref="B1504" r:id="rId2866" display="https://www.fangraphs.com/players/ryan-vilade/22165/stats" xr:uid="{E56DB67B-FC28-D44D-A047-8A8509B87224}"/>
    <hyperlink ref="C1504" r:id="rId2867" display="https://www.fangraphs.com/teams/rays" xr:uid="{066FAC70-548E-E643-9458-1AF1767971CC}"/>
    <hyperlink ref="B1505" r:id="rId2868" display="https://www.fangraphs.com/players/will-brennan/25660/stats" xr:uid="{F1F0859B-D7C5-D845-A348-BB0A171EBF70}"/>
    <hyperlink ref="C1505" r:id="rId2869" display="https://www.fangraphs.com/teams/giants" xr:uid="{15C827BB-CDAA-0A45-B77F-C2E682220701}"/>
    <hyperlink ref="B1506" r:id="rId2870" display="https://www.fangraphs.com/players/sergio-alcantara/16417/stats" xr:uid="{A358DC09-F5D6-5A4C-B5E6-45CA6413B91F}"/>
    <hyperlink ref="C1506" r:id="rId2871" display="https://www.fangraphs.com/teams/nationals" xr:uid="{7188BC7A-346C-414C-8796-428E7052860A}"/>
    <hyperlink ref="B1507" r:id="rId2872" display="https://www.fangraphs.com/players/alan-trejo/20056/stats" xr:uid="{07214D0A-A645-A049-A6ED-2DB10438F446}"/>
    <hyperlink ref="B1508" r:id="rId2873" display="https://www.fangraphs.com/players/carson-mccusker/33098/stats" xr:uid="{C3FD3055-7402-A84E-B4F9-E959C107C89E}"/>
    <hyperlink ref="B1509" r:id="rId2874" display="https://www.fangraphs.com/players/michael-stefanic/25353/stats" xr:uid="{2BBC4404-99BB-0049-B7C6-015379A80984}"/>
    <hyperlink ref="C1509" r:id="rId2875" display="https://www.fangraphs.com/teams/athletics" xr:uid="{BB8BC388-2DD1-7547-A770-8C3C7F201649}"/>
    <hyperlink ref="B1510" r:id="rId2876" display="https://www.fangraphs.com/players/tirso-ornelas/22566/stats" xr:uid="{745DBD0E-E53D-B449-8E33-81EC5D053156}"/>
    <hyperlink ref="C1510" r:id="rId2877" display="https://www.fangraphs.com/teams/padres" xr:uid="{F4721270-EF93-E441-8EA8-523FC9E16A6B}"/>
    <hyperlink ref="B1511" r:id="rId2878" display="https://www.fangraphs.com/players/justin-foscue/27501/stats" xr:uid="{5244EE2F-4BC3-D04A-AAE9-E248E7710855}"/>
    <hyperlink ref="C1511" r:id="rId2879" display="https://www.fangraphs.com/teams/rangers" xr:uid="{F1CC0B97-281A-7D4B-AF26-122D501D1F55}"/>
    <hyperlink ref="B1512" r:id="rId2880" display="https://www.fangraphs.com/players/ryan-noda/23312/stats" xr:uid="{01DDEC76-15F7-0443-8742-8855EEB1F90D}"/>
    <hyperlink ref="C1512" r:id="rId2881" display="https://www.fangraphs.com/teams/orioles" xr:uid="{0DA1CBAA-AF22-164F-83A9-2C802427DDFD}"/>
    <hyperlink ref="B1513" r:id="rId2882" display="https://www.fangraphs.com/players/jd-davis/16219/stats" xr:uid="{96AB6760-C0FD-BA4C-B458-D89AA9386FA3}"/>
    <hyperlink ref="B1514" r:id="rId2883" display="https://www.fangraphs.com/players/david-banuelos/23250/stats" xr:uid="{95BD36C0-3BEB-2147-A5C6-EE171C3ECC9E}"/>
    <hyperlink ref="C1514" r:id="rId2884" display="https://www.fangraphs.com/teams/twins" xr:uid="{FCB70551-2901-4B48-8DF4-C777089B884A}"/>
    <hyperlink ref="B1515" r:id="rId2885" display="https://www.fangraphs.com/players/cj-alexander/20557/stats" xr:uid="{0CAF2A05-0014-0949-99F6-1809B4893C5F}"/>
    <hyperlink ref="C1515" r:id="rId2886" display="https://www.fangraphs.com/teams/astros" xr:uid="{F5D1260A-8255-254A-A4E5-5F6C50A4BB61}"/>
    <hyperlink ref="B1516" r:id="rId2887" display="https://www.fangraphs.com/players/hunter-renfroe/15464/stats" xr:uid="{CA7AB181-5B44-3A42-B592-3EDCFA04CBC6}"/>
    <hyperlink ref="B1517" r:id="rId2888" display="https://www.fangraphs.com/players/aaron-schunk/25524/stats" xr:uid="{FC48C669-A5C4-6442-A2C9-C1B940CB8C7C}"/>
    <hyperlink ref="C1517" r:id="rId2889" display="https://www.fangraphs.com/teams/braves" xr:uid="{CD88B397-D851-494D-B889-955645445BC1}"/>
    <hyperlink ref="B1518" r:id="rId2890" display="https://www.fangraphs.com/players/tsung-che-cheng/28344/stats" xr:uid="{8CA87E2F-6F51-B64F-BF58-91A57AA1FCFB}"/>
    <hyperlink ref="C1518" r:id="rId2891" display="https://www.fangraphs.com/teams/red-sox" xr:uid="{6D675ED8-E7B5-D441-B674-815F56677104}"/>
    <hyperlink ref="B1519" r:id="rId2892" display="https://www.fangraphs.com/players/will-robertson/25467/stats" xr:uid="{9E123E6A-42A5-814C-AE65-B41049BBEFCE}"/>
    <hyperlink ref="C1519" r:id="rId2893" display="https://www.fangraphs.com/teams/orioles" xr:uid="{AEA2137E-FCF0-714A-B58F-0E5298F81E8B}"/>
    <hyperlink ref="B1520" r:id="rId2894" display="https://www.fangraphs.com/players/jeimer-candelario/13621/stats" xr:uid="{600137FF-137F-A745-8FCB-29A392ACDD42}"/>
    <hyperlink ref="C1520" r:id="rId2895" display="https://www.fangraphs.com/teams/angels" xr:uid="{DD544C8A-EF80-5849-A97C-2E459456901C}"/>
    <hyperlink ref="B1521" r:id="rId2896" display="https://www.fangraphs.com/players/greg-allen/16623/stats" xr:uid="{95EAFA4A-5294-1045-9D4A-62C40BF7FD93}"/>
    <hyperlink ref="B1522" r:id="rId2897" display="https://www.fangraphs.com/players/tristan-peters/30063/stats" xr:uid="{032C6CD8-3C7B-9445-9193-5B33FC66D014}"/>
    <hyperlink ref="C1522" r:id="rId2898" display="https://www.fangraphs.com/teams/white-sox" xr:uid="{CD1F1E52-2653-4D42-8516-AE7DAD1F7458}"/>
    <hyperlink ref="B1523" r:id="rId2899" display="https://www.fangraphs.com/players/jon-singleton/10441/stats" xr:uid="{2B724024-818D-3F41-A2D3-F3001A4B7486}"/>
    <hyperlink ref="B1524" r:id="rId2900" display="https://www.fangraphs.com/players/bryce-eldridge/33390/stats" xr:uid="{88E6B874-6A35-5D45-BD7B-662615C6B44F}"/>
    <hyperlink ref="C1524" r:id="rId2901" display="https://www.fangraphs.com/teams/giants" xr:uid="{51CC121F-8120-3E43-8F23-0354424208BF}"/>
    <hyperlink ref="B1525" r:id="rId2902" display="https://www.fangraphs.com/players/bradley-blalock/26419/stats" xr:uid="{FB57AFD1-CAF7-8F43-A654-1DF642998622}"/>
    <hyperlink ref="C1525" r:id="rId2903" display="https://www.fangraphs.com/teams/marlins" xr:uid="{066D5E32-9B40-1F40-9B19-119003690205}"/>
    <hyperlink ref="B1526" r:id="rId2904" display="https://www.fangraphs.com/players/leo-jimenez/23782/stats" xr:uid="{E8E00E04-1F28-2F4C-AA5C-3E4FD7E888B0}"/>
    <hyperlink ref="C1526" r:id="rId2905" display="https://www.fangraphs.com/teams/blue-jays" xr:uid="{5E4324E4-F13B-2C47-BD82-ADA6D0CF5121}"/>
    <hyperlink ref="B1527" r:id="rId2906" display="https://www.fangraphs.com/players/buddy-kennedy/22505/stats" xr:uid="{B3CEFFC3-9635-F54A-A167-678F96B255FE}"/>
    <hyperlink ref="C1527" r:id="rId2907" display="https://www.fangraphs.com/teams/giants" xr:uid="{C5FCFEFE-83BA-6C41-AFC0-902B19704632}"/>
    <hyperlink ref="B1528" r:id="rId2908" display="https://www.fangraphs.com/players/jonah-bride/24703/stats" xr:uid="{A633A7A0-08A8-544C-9E39-ED4D1DDCD3FC}"/>
    <hyperlink ref="C1528" r:id="rId2909" display="https://www.fangraphs.com/teams/rangers" xr:uid="{BB7E83BC-9BF0-4945-AC26-9E59A9C6C66B}"/>
    <hyperlink ref="B1529" r:id="rId2910" display="https://www.fangraphs.com/players/cam-devanney/25688/stats" xr:uid="{91AF11B6-BEE4-A045-8EDE-4A6D656B8981}"/>
    <hyperlink ref="B1530" r:id="rId2911" display="https://www.fangraphs.com/players/nicky-lopez/19339/stats" xr:uid="{83F81A8E-F295-E942-9FA8-3C10AA0D4710}"/>
    <hyperlink ref="C1530" r:id="rId2912" display="https://www.fangraphs.com/teams/rockies" xr:uid="{6692A4D1-AAA4-6D48-A43F-B5F03ADFD206}"/>
    <hyperlink ref="B1531" r:id="rId2913" display="https://www.fangraphs.com/players/kris-bryant/15429/stats" xr:uid="{B9927F44-228A-2245-B044-295D0B7DB224}"/>
    <hyperlink ref="C1531" r:id="rId2914" display="https://www.fangraphs.com/teams/rockies" xr:uid="{8835F00A-505C-5D4C-84BD-46F66CD5AA2B}"/>
    <hyperlink ref="B1532" r:id="rId2915" display="https://www.fangraphs.com/players/yuli-gurriel/19198/stats" xr:uid="{9746E4E0-10DF-2148-BFD4-D5777573AE57}"/>
    <hyperlink ref="C1532" r:id="rId2916" display="https://www.fangraphs.com/teams/padres" xr:uid="{1E8F9F57-46CD-A045-86F6-70D6D94028F3}"/>
    <hyperlink ref="B1533" r:id="rId2917" display="https://www.fangraphs.com/players/tristin-english/26148/stats" xr:uid="{28D0B335-D80C-BF49-AECE-7B6AD19EA210}"/>
    <hyperlink ref="C1533" r:id="rId2918" display="https://www.fangraphs.com/teams/braves" xr:uid="{2A3A8114-B22C-3945-A105-6D416E35543C}"/>
    <hyperlink ref="B1534" r:id="rId2919" display="https://www.fangraphs.com/players/niko-kavadas/29782/stats" xr:uid="{00B9CCF6-CF97-E74C-BC5E-D9CB870CEE6A}"/>
    <hyperlink ref="C1534" r:id="rId2920" display="https://www.fangraphs.com/teams/angels" xr:uid="{777DDEB8-684E-3B43-8938-3370ED9F8F45}"/>
    <hyperlink ref="B1535" r:id="rId2921" display="https://www.fangraphs.com/players/angel-chivilli/26790/stats" xr:uid="{7A6F7481-4B47-8045-B84A-64E8B52C7743}"/>
    <hyperlink ref="C1535" r:id="rId2922" display="https://www.fangraphs.com/teams/yankees" xr:uid="{633A7113-9855-D647-9DA8-B4B66FAF0E6C}"/>
    <hyperlink ref="B1536" r:id="rId2923" display="https://www.fangraphs.com/players/mj-melendez/22197/stats" xr:uid="{0857EBA3-490A-954A-B611-C4E8461DEC9B}"/>
    <hyperlink ref="C1536" r:id="rId2924" display="https://www.fangraphs.com/teams/mets" xr:uid="{62AC0934-E0FB-9246-86C5-133EAAEBBB00}"/>
    <hyperlink ref="B1537" r:id="rId2925" display="https://www.fangraphs.com/players/luis-campusano/22217/stats" xr:uid="{8E9184E5-C773-6640-B779-62FF0FD3892C}"/>
    <hyperlink ref="C1537" r:id="rId2926" display="https://www.fangraphs.com/teams/padres" xr:uid="{0D7B81B4-5F90-4341-A117-E0C64A435F2D}"/>
    <hyperlink ref="B1538" r:id="rId2927" display="https://www.fangraphs.com/players/jack-kochanowicz/27688/stats" xr:uid="{A15800B7-BE4C-854D-80B6-C73844920BA2}"/>
    <hyperlink ref="C1538" r:id="rId2928" display="https://www.fangraphs.com/teams/angels" xr:uid="{24EE3947-FC5C-FA47-AE37-FFF1C16B7206}"/>
    <hyperlink ref="B1539" r:id="rId2929" display="https://www.fangraphs.com/players/german-marquez/15038/stats" xr:uid="{C8DDDC70-FA1B-0F45-A436-A7380798B660}"/>
    <hyperlink ref="C1539" r:id="rId2930" display="https://www.fangraphs.com/teams/padres" xr:uid="{702FF962-2DFF-1E4E-82F9-DA683E71C142}"/>
    <hyperlink ref="B1540" r:id="rId2931" display="https://www.fangraphs.com/players/antonio-senzatela/15488/stats" xr:uid="{C6244239-5154-CD4F-A55A-65A591424CC8}"/>
    <hyperlink ref="C1540" r:id="rId2932" display="https://www.fangraphs.com/teams/rockies" xr:uid="{F80DE398-CFCC-5341-BAD9-233EDF9DA0A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Ideal_Lineup</vt:lpstr>
      <vt:lpstr>Combined_Tiers</vt:lpstr>
      <vt:lpstr>Batter_Tiers</vt:lpstr>
      <vt:lpstr>Pitcher_Tiers</vt:lpstr>
      <vt:lpstr>ADP</vt:lpstr>
      <vt:lpstr>Ideal_Lineup!_FilterDatabase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 Gilgo</cp:lastModifiedBy>
  <dcterms:created xsi:type="dcterms:W3CDTF">2026-02-26T04:38:16Z</dcterms:created>
  <dcterms:modified xsi:type="dcterms:W3CDTF">2026-03-02T03:51:11Z</dcterms:modified>
</cp:coreProperties>
</file>